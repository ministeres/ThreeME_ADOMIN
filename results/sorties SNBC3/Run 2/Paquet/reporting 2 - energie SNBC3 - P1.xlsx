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7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ma.monserand\Documents\GitHub\ThreeME\results\sorties SNBC3\Run 2\Paquet\"/>
    </mc:Choice>
  </mc:AlternateContent>
  <xr:revisionPtr revIDLastSave="0" documentId="13_ncr:1_{4D9C3217-BEF8-417F-8CE7-ED85A42E8B01}" xr6:coauthVersionLast="47" xr6:coauthVersionMax="47" xr10:uidLastSave="{00000000-0000-0000-0000-000000000000}"/>
  <bookViews>
    <workbookView xWindow="-5160" yWindow="-16320" windowWidth="29040" windowHeight="15840" activeTab="1" xr2:uid="{00000000-000D-0000-FFFF-FFFF00000000}"/>
  </bookViews>
  <sheets>
    <sheet name="T energie vecteurs" sheetId="13" r:id="rId1"/>
    <sheet name="T energie usages" sheetId="16" r:id="rId2"/>
    <sheet name="T transport" sheetId="32" r:id="rId3"/>
    <sheet name="Résultats" sheetId="2" r:id="rId4"/>
    <sheet name="T CO2" sheetId="31" r:id="rId5"/>
    <sheet name="T logement" sheetId="14" r:id="rId6"/>
    <sheet name="G energie" sheetId="27" r:id="rId7"/>
    <sheet name="G mix energie" sheetId="30" r:id="rId8"/>
    <sheet name="G mix élec" sheetId="22" r:id="rId9"/>
    <sheet name="G mix carb" sheetId="23" r:id="rId10"/>
    <sheet name="G mix gaz" sheetId="24" r:id="rId11"/>
    <sheet name="G CO2" sheetId="26" r:id="rId12"/>
    <sheet name="T parc auto" sheetId="25" r:id="rId13"/>
    <sheet name="G parc auto total" sheetId="28" r:id="rId14"/>
    <sheet name="G parc elec" sheetId="29" r:id="rId15"/>
    <sheet name="G parc auto" sheetId="19" r:id="rId16"/>
    <sheet name="G parc logt" sheetId="20" r:id="rId17"/>
    <sheet name="Table Graphs" sheetId="3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Print_Area" localSheetId="12">'T parc auto'!$C$26:$AM$107</definedName>
    <definedName name="_xlnm.Print_Area" localSheetId="2">'T transport'!$B$1:$AU$32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58" i="16" l="1"/>
  <c r="Q58" i="16"/>
  <c r="P58" i="16"/>
  <c r="O58" i="16"/>
  <c r="R57" i="16"/>
  <c r="P57" i="16"/>
  <c r="O57" i="16"/>
  <c r="S57" i="16" s="1"/>
  <c r="R56" i="16"/>
  <c r="R55" i="16" s="1"/>
  <c r="Q56" i="16"/>
  <c r="P56" i="16"/>
  <c r="P55" i="16" s="1"/>
  <c r="O56" i="16"/>
  <c r="Q55" i="16"/>
  <c r="R54" i="16"/>
  <c r="Q54" i="16"/>
  <c r="P54" i="16"/>
  <c r="O54" i="16"/>
  <c r="S54" i="16" s="1"/>
  <c r="R53" i="16"/>
  <c r="Q53" i="16"/>
  <c r="P53" i="16"/>
  <c r="O53" i="16"/>
  <c r="R50" i="16"/>
  <c r="Q50" i="16"/>
  <c r="P50" i="16"/>
  <c r="O50" i="16"/>
  <c r="R45" i="16"/>
  <c r="Q45" i="16"/>
  <c r="P45" i="16"/>
  <c r="O45" i="16"/>
  <c r="S45" i="16" s="1"/>
  <c r="R44" i="16"/>
  <c r="P44" i="16"/>
  <c r="O44" i="16"/>
  <c r="R43" i="16"/>
  <c r="R42" i="16" s="1"/>
  <c r="Q43" i="16"/>
  <c r="P43" i="16"/>
  <c r="P42" i="16" s="1"/>
  <c r="O43" i="16"/>
  <c r="Q42" i="16"/>
  <c r="R41" i="16"/>
  <c r="Q41" i="16"/>
  <c r="P41" i="16"/>
  <c r="O41" i="16"/>
  <c r="S41" i="16" s="1"/>
  <c r="R40" i="16"/>
  <c r="Q40" i="16"/>
  <c r="P40" i="16"/>
  <c r="O40" i="16"/>
  <c r="R37" i="16"/>
  <c r="Q37" i="16"/>
  <c r="P37" i="16"/>
  <c r="O37" i="16"/>
  <c r="S37" i="16" s="1"/>
  <c r="K58" i="16"/>
  <c r="J58" i="16"/>
  <c r="I58" i="16"/>
  <c r="H58" i="16"/>
  <c r="K57" i="16"/>
  <c r="J57" i="16"/>
  <c r="I57" i="16"/>
  <c r="H57" i="16"/>
  <c r="K56" i="16"/>
  <c r="J56" i="16"/>
  <c r="I56" i="16"/>
  <c r="H56" i="16"/>
  <c r="K54" i="16"/>
  <c r="J54" i="16"/>
  <c r="I54" i="16"/>
  <c r="H54" i="16"/>
  <c r="K53" i="16"/>
  <c r="J53" i="16"/>
  <c r="I53" i="16"/>
  <c r="H53" i="16"/>
  <c r="K52" i="16"/>
  <c r="J52" i="16"/>
  <c r="I52" i="16"/>
  <c r="H52" i="16"/>
  <c r="K51" i="16"/>
  <c r="J51" i="16"/>
  <c r="I51" i="16"/>
  <c r="H51" i="16"/>
  <c r="H50" i="16" s="1"/>
  <c r="K45" i="16"/>
  <c r="J45" i="16"/>
  <c r="I45" i="16"/>
  <c r="H45" i="16"/>
  <c r="K44" i="16"/>
  <c r="J44" i="16"/>
  <c r="I44" i="16"/>
  <c r="H44" i="16"/>
  <c r="K43" i="16"/>
  <c r="J43" i="16"/>
  <c r="I43" i="16"/>
  <c r="H43" i="16"/>
  <c r="K41" i="16"/>
  <c r="J41" i="16"/>
  <c r="I41" i="16"/>
  <c r="H41" i="16"/>
  <c r="K40" i="16"/>
  <c r="J40" i="16"/>
  <c r="I40" i="16"/>
  <c r="H40" i="16"/>
  <c r="K39" i="16"/>
  <c r="J39" i="16"/>
  <c r="I39" i="16"/>
  <c r="H39" i="16"/>
  <c r="K38" i="16"/>
  <c r="J38" i="16"/>
  <c r="I38" i="16"/>
  <c r="H38" i="16"/>
  <c r="K110" i="16"/>
  <c r="J110" i="16"/>
  <c r="I110" i="16"/>
  <c r="H110" i="16"/>
  <c r="K109" i="16"/>
  <c r="J109" i="16"/>
  <c r="I109" i="16"/>
  <c r="H109" i="16"/>
  <c r="K108" i="16"/>
  <c r="J108" i="16"/>
  <c r="I108" i="16"/>
  <c r="H108" i="16"/>
  <c r="K106" i="16"/>
  <c r="J106" i="16"/>
  <c r="I106" i="16"/>
  <c r="H106" i="16"/>
  <c r="K105" i="16"/>
  <c r="J105" i="16"/>
  <c r="I105" i="16"/>
  <c r="H105" i="16"/>
  <c r="K104" i="16"/>
  <c r="J104" i="16"/>
  <c r="I104" i="16"/>
  <c r="H104" i="16"/>
  <c r="K103" i="16"/>
  <c r="J103" i="16"/>
  <c r="I103" i="16"/>
  <c r="H103" i="16"/>
  <c r="AU20" i="32"/>
  <c r="AA20" i="32"/>
  <c r="Q20" i="32"/>
  <c r="AU17" i="32"/>
  <c r="AA17" i="32"/>
  <c r="Q17" i="32"/>
  <c r="BB10" i="32"/>
  <c r="BB9" i="32"/>
  <c r="BB8" i="32"/>
  <c r="BB7" i="32"/>
  <c r="K102" i="16" l="1"/>
  <c r="I37" i="16"/>
  <c r="L110" i="16"/>
  <c r="L40" i="16"/>
  <c r="R59" i="16"/>
  <c r="Q46" i="16"/>
  <c r="S44" i="16"/>
  <c r="S58" i="16"/>
  <c r="S53" i="16"/>
  <c r="O55" i="16"/>
  <c r="S55" i="16" s="1"/>
  <c r="Q59" i="16"/>
  <c r="S43" i="16"/>
  <c r="R46" i="16"/>
  <c r="S56" i="16"/>
  <c r="L39" i="16"/>
  <c r="L54" i="16"/>
  <c r="L41" i="16"/>
  <c r="I102" i="16"/>
  <c r="L52" i="16"/>
  <c r="I107" i="16"/>
  <c r="L38" i="16"/>
  <c r="L45" i="16"/>
  <c r="L53" i="16"/>
  <c r="L57" i="16"/>
  <c r="I55" i="16"/>
  <c r="L51" i="16"/>
  <c r="L58" i="16"/>
  <c r="J37" i="16"/>
  <c r="J42" i="16"/>
  <c r="J50" i="16"/>
  <c r="K37" i="16"/>
  <c r="K42" i="16"/>
  <c r="L44" i="16"/>
  <c r="H55" i="16"/>
  <c r="J107" i="16"/>
  <c r="I42" i="16"/>
  <c r="I46" i="16" s="1"/>
  <c r="H102" i="16"/>
  <c r="K107" i="16"/>
  <c r="K111" i="16" s="1"/>
  <c r="J55" i="16"/>
  <c r="L105" i="16"/>
  <c r="H107" i="16"/>
  <c r="H111" i="16" s="1"/>
  <c r="K50" i="16"/>
  <c r="K55" i="16"/>
  <c r="P59" i="16"/>
  <c r="S50" i="16"/>
  <c r="O59" i="16"/>
  <c r="S59" i="16" s="1"/>
  <c r="P46" i="16"/>
  <c r="O42" i="16"/>
  <c r="S42" i="16" s="1"/>
  <c r="S40" i="16"/>
  <c r="I50" i="16"/>
  <c r="H42" i="16"/>
  <c r="L43" i="16"/>
  <c r="H37" i="16"/>
  <c r="L106" i="16"/>
  <c r="L56" i="16"/>
  <c r="J102" i="16"/>
  <c r="I111" i="16"/>
  <c r="J111" i="16"/>
  <c r="L109" i="16"/>
  <c r="L104" i="16"/>
  <c r="L103" i="16"/>
  <c r="L108" i="16"/>
  <c r="BD10" i="32"/>
  <c r="BD9" i="32"/>
  <c r="BD8" i="32"/>
  <c r="BD7" i="32"/>
  <c r="BC10" i="32"/>
  <c r="BC9" i="32"/>
  <c r="BC8" i="32"/>
  <c r="BC7" i="32"/>
  <c r="AU6" i="32"/>
  <c r="AA6" i="32"/>
  <c r="Q6" i="32"/>
  <c r="AU9" i="32"/>
  <c r="AA9" i="32"/>
  <c r="Q9" i="32"/>
  <c r="K46" i="16" l="1"/>
  <c r="L42" i="16"/>
  <c r="L107" i="16"/>
  <c r="I59" i="16"/>
  <c r="K59" i="16"/>
  <c r="J59" i="16"/>
  <c r="L102" i="16"/>
  <c r="J46" i="16"/>
  <c r="L55" i="16"/>
  <c r="H59" i="16"/>
  <c r="L59" i="16" s="1"/>
  <c r="O46" i="16"/>
  <c r="S46" i="16" s="1"/>
  <c r="L50" i="16"/>
  <c r="L37" i="16"/>
  <c r="H46" i="16"/>
  <c r="L111" i="16"/>
  <c r="R123" i="16"/>
  <c r="Q123" i="16"/>
  <c r="P123" i="16"/>
  <c r="O123" i="16"/>
  <c r="R122" i="16"/>
  <c r="P122" i="16"/>
  <c r="O122" i="16"/>
  <c r="R121" i="16"/>
  <c r="Q121" i="16"/>
  <c r="P121" i="16"/>
  <c r="O121" i="16"/>
  <c r="R119" i="16"/>
  <c r="Q119" i="16"/>
  <c r="P119" i="16"/>
  <c r="O119" i="16"/>
  <c r="R118" i="16"/>
  <c r="Q118" i="16"/>
  <c r="P118" i="16"/>
  <c r="O118" i="16"/>
  <c r="R115" i="16"/>
  <c r="Q115" i="16"/>
  <c r="P115" i="16"/>
  <c r="O115" i="16"/>
  <c r="R110" i="16"/>
  <c r="Q110" i="16"/>
  <c r="P110" i="16"/>
  <c r="O110" i="16"/>
  <c r="R109" i="16"/>
  <c r="P109" i="16"/>
  <c r="O109" i="16"/>
  <c r="R108" i="16"/>
  <c r="Q108" i="16"/>
  <c r="P108" i="16"/>
  <c r="O108" i="16"/>
  <c r="R106" i="16"/>
  <c r="Q106" i="16"/>
  <c r="P106" i="16"/>
  <c r="O106" i="16"/>
  <c r="R105" i="16"/>
  <c r="Q105" i="16"/>
  <c r="P105" i="16"/>
  <c r="O105" i="16"/>
  <c r="R102" i="16"/>
  <c r="Q102" i="16"/>
  <c r="P102" i="16"/>
  <c r="O102" i="16"/>
  <c r="R97" i="16"/>
  <c r="Q97" i="16"/>
  <c r="P97" i="16"/>
  <c r="O97" i="16"/>
  <c r="R96" i="16"/>
  <c r="P96" i="16"/>
  <c r="O96" i="16"/>
  <c r="R95" i="16"/>
  <c r="Q95" i="16"/>
  <c r="P95" i="16"/>
  <c r="O95" i="16"/>
  <c r="R93" i="16"/>
  <c r="Q93" i="16"/>
  <c r="P93" i="16"/>
  <c r="O93" i="16"/>
  <c r="R92" i="16"/>
  <c r="Q92" i="16"/>
  <c r="P92" i="16"/>
  <c r="O92" i="16"/>
  <c r="R89" i="16"/>
  <c r="Q89" i="16"/>
  <c r="P89" i="16"/>
  <c r="O89" i="16"/>
  <c r="R84" i="16"/>
  <c r="Q84" i="16"/>
  <c r="P84" i="16"/>
  <c r="O84" i="16"/>
  <c r="R83" i="16"/>
  <c r="P83" i="16"/>
  <c r="O83" i="16"/>
  <c r="R82" i="16"/>
  <c r="Q82" i="16"/>
  <c r="P82" i="16"/>
  <c r="O82" i="16"/>
  <c r="R80" i="16"/>
  <c r="Q80" i="16"/>
  <c r="P80" i="16"/>
  <c r="O80" i="16"/>
  <c r="R79" i="16"/>
  <c r="Q79" i="16"/>
  <c r="P79" i="16"/>
  <c r="O79" i="16"/>
  <c r="R76" i="16"/>
  <c r="Q76" i="16"/>
  <c r="P76" i="16"/>
  <c r="O76" i="16"/>
  <c r="R71" i="16"/>
  <c r="Q71" i="16"/>
  <c r="P71" i="16"/>
  <c r="O71" i="16"/>
  <c r="R70" i="16"/>
  <c r="P70" i="16"/>
  <c r="O70" i="16"/>
  <c r="R69" i="16"/>
  <c r="Q69" i="16"/>
  <c r="P69" i="16"/>
  <c r="O69" i="16"/>
  <c r="R67" i="16"/>
  <c r="Q67" i="16"/>
  <c r="P67" i="16"/>
  <c r="O67" i="16"/>
  <c r="R66" i="16"/>
  <c r="Q66" i="16"/>
  <c r="P66" i="16"/>
  <c r="O66" i="16"/>
  <c r="R63" i="16"/>
  <c r="Q63" i="16"/>
  <c r="P63" i="16"/>
  <c r="O63" i="16"/>
  <c r="R32" i="16"/>
  <c r="Q32" i="16"/>
  <c r="P32" i="16"/>
  <c r="O32" i="16"/>
  <c r="R31" i="16"/>
  <c r="P31" i="16"/>
  <c r="O31" i="16"/>
  <c r="R30" i="16"/>
  <c r="Q30" i="16"/>
  <c r="P30" i="16"/>
  <c r="O30" i="16"/>
  <c r="R28" i="16"/>
  <c r="Q28" i="16"/>
  <c r="P28" i="16"/>
  <c r="O28" i="16"/>
  <c r="R27" i="16"/>
  <c r="Q27" i="16"/>
  <c r="P27" i="16"/>
  <c r="O27" i="16"/>
  <c r="R24" i="16"/>
  <c r="Q24" i="16"/>
  <c r="P24" i="16"/>
  <c r="O24" i="16"/>
  <c r="R19" i="16"/>
  <c r="Q19" i="16"/>
  <c r="P19" i="16"/>
  <c r="O19" i="16"/>
  <c r="R18" i="16"/>
  <c r="P18" i="16"/>
  <c r="O18" i="16"/>
  <c r="R17" i="16"/>
  <c r="Q17" i="16"/>
  <c r="P17" i="16"/>
  <c r="O17" i="16"/>
  <c r="R15" i="16"/>
  <c r="Q15" i="16"/>
  <c r="P15" i="16"/>
  <c r="O15" i="16"/>
  <c r="R14" i="16"/>
  <c r="Q14" i="16"/>
  <c r="P14" i="16"/>
  <c r="O14" i="16"/>
  <c r="R11" i="16"/>
  <c r="Q11" i="16"/>
  <c r="P11" i="16"/>
  <c r="O11" i="16"/>
  <c r="A58" i="32"/>
  <c r="A36" i="32"/>
  <c r="A1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R3" i="32"/>
  <c r="S3" i="32"/>
  <c r="T3" i="32"/>
  <c r="U3" i="32"/>
  <c r="V3" i="32"/>
  <c r="W3" i="32"/>
  <c r="X3" i="32"/>
  <c r="Y3" i="32"/>
  <c r="Z3" i="32"/>
  <c r="AA3" i="32"/>
  <c r="AB3" i="32"/>
  <c r="AC3" i="32"/>
  <c r="AD3" i="32"/>
  <c r="AE3" i="32"/>
  <c r="AF3" i="32"/>
  <c r="AG3" i="32"/>
  <c r="AH3" i="32"/>
  <c r="AI3" i="32"/>
  <c r="AJ3" i="32"/>
  <c r="AK3" i="32"/>
  <c r="AL3" i="32"/>
  <c r="AM3" i="32"/>
  <c r="AN3" i="32"/>
  <c r="AO3" i="32"/>
  <c r="AP3" i="32"/>
  <c r="AQ3" i="32"/>
  <c r="AR3" i="32"/>
  <c r="AS3" i="32"/>
  <c r="AT3" i="32"/>
  <c r="AU3" i="32"/>
  <c r="C4" i="32"/>
  <c r="D4" i="32"/>
  <c r="E4" i="32"/>
  <c r="F4" i="32"/>
  <c r="G4" i="32"/>
  <c r="H4" i="32"/>
  <c r="I4" i="32"/>
  <c r="J4" i="32"/>
  <c r="K4" i="32"/>
  <c r="L4" i="32"/>
  <c r="M4" i="32"/>
  <c r="N4" i="32"/>
  <c r="O4" i="32"/>
  <c r="P4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R5" i="32"/>
  <c r="S5" i="32"/>
  <c r="T5" i="32"/>
  <c r="U5" i="32"/>
  <c r="V5" i="32"/>
  <c r="W5" i="32"/>
  <c r="X5" i="32"/>
  <c r="Y5" i="32"/>
  <c r="Z5" i="32"/>
  <c r="AA5" i="32"/>
  <c r="AA4" i="32" s="1"/>
  <c r="AB5" i="32"/>
  <c r="AC5" i="32"/>
  <c r="AD5" i="32"/>
  <c r="AE5" i="32"/>
  <c r="AF5" i="32"/>
  <c r="AG5" i="32"/>
  <c r="AH5" i="32"/>
  <c r="AI5" i="32"/>
  <c r="AJ5" i="32"/>
  <c r="AK5" i="32"/>
  <c r="AL5" i="32"/>
  <c r="AM5" i="32"/>
  <c r="AN5" i="32"/>
  <c r="AO5" i="32"/>
  <c r="AP5" i="32"/>
  <c r="AQ5" i="32"/>
  <c r="AR5" i="32"/>
  <c r="AS5" i="32"/>
  <c r="AT5" i="32"/>
  <c r="AU5" i="32"/>
  <c r="AU4" i="32" s="1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R6" i="32"/>
  <c r="S6" i="32"/>
  <c r="T6" i="32"/>
  <c r="U6" i="32"/>
  <c r="V6" i="32"/>
  <c r="W6" i="32"/>
  <c r="X6" i="32"/>
  <c r="Y6" i="32"/>
  <c r="Z6" i="32"/>
  <c r="AB6" i="32"/>
  <c r="AC6" i="32"/>
  <c r="AD6" i="32"/>
  <c r="AE6" i="32"/>
  <c r="AF6" i="32"/>
  <c r="AG6" i="32"/>
  <c r="AH6" i="32"/>
  <c r="AI6" i="32"/>
  <c r="AJ6" i="32"/>
  <c r="AK6" i="32"/>
  <c r="AL6" i="32"/>
  <c r="AM6" i="32"/>
  <c r="AN6" i="32"/>
  <c r="AO6" i="32"/>
  <c r="AP6" i="32"/>
  <c r="AQ6" i="32"/>
  <c r="AR6" i="32"/>
  <c r="AS6" i="32"/>
  <c r="AT6" i="32"/>
  <c r="C7" i="32"/>
  <c r="D7" i="32"/>
  <c r="E7" i="32"/>
  <c r="F7" i="32"/>
  <c r="G7" i="32"/>
  <c r="H7" i="32"/>
  <c r="I7" i="32"/>
  <c r="J7" i="32"/>
  <c r="K7" i="32"/>
  <c r="L7" i="32"/>
  <c r="M7" i="32"/>
  <c r="N7" i="32"/>
  <c r="O7" i="32"/>
  <c r="P7" i="32"/>
  <c r="C8" i="32"/>
  <c r="D8" i="32"/>
  <c r="E8" i="32"/>
  <c r="F8" i="32"/>
  <c r="G8" i="32"/>
  <c r="H8" i="32"/>
  <c r="I8" i="32"/>
  <c r="J8" i="32"/>
  <c r="K8" i="32"/>
  <c r="L8" i="32"/>
  <c r="M8" i="32"/>
  <c r="N8" i="32"/>
  <c r="O8" i="32"/>
  <c r="P8" i="32"/>
  <c r="Q8" i="32"/>
  <c r="Q7" i="32" s="1"/>
  <c r="R8" i="32"/>
  <c r="S8" i="32"/>
  <c r="T8" i="32"/>
  <c r="U8" i="32"/>
  <c r="V8" i="32"/>
  <c r="W8" i="32"/>
  <c r="X8" i="32"/>
  <c r="Y8" i="32"/>
  <c r="Z8" i="32"/>
  <c r="AA8" i="32"/>
  <c r="AA7" i="32" s="1"/>
  <c r="AB8" i="32"/>
  <c r="AC8" i="32"/>
  <c r="AD8" i="32"/>
  <c r="AE8" i="32"/>
  <c r="AF8" i="32"/>
  <c r="AG8" i="32"/>
  <c r="AH8" i="32"/>
  <c r="AI8" i="32"/>
  <c r="AJ8" i="32"/>
  <c r="AK8" i="32"/>
  <c r="AL8" i="32"/>
  <c r="AM8" i="32"/>
  <c r="AN8" i="32"/>
  <c r="AO8" i="32"/>
  <c r="AP8" i="32"/>
  <c r="AQ8" i="32"/>
  <c r="AR8" i="32"/>
  <c r="AS8" i="32"/>
  <c r="AT8" i="32"/>
  <c r="AU8" i="32"/>
  <c r="AU7" i="32" s="1"/>
  <c r="C9" i="32"/>
  <c r="D9" i="32"/>
  <c r="E9" i="32"/>
  <c r="F9" i="32"/>
  <c r="G9" i="32"/>
  <c r="H9" i="32"/>
  <c r="I9" i="32"/>
  <c r="J9" i="32"/>
  <c r="K9" i="32"/>
  <c r="L9" i="32"/>
  <c r="M9" i="32"/>
  <c r="N9" i="32"/>
  <c r="O9" i="32"/>
  <c r="P9" i="32"/>
  <c r="R9" i="32"/>
  <c r="S9" i="32"/>
  <c r="T9" i="32"/>
  <c r="U9" i="32"/>
  <c r="V9" i="32"/>
  <c r="W9" i="32"/>
  <c r="X9" i="32"/>
  <c r="Y9" i="32"/>
  <c r="Z9" i="32"/>
  <c r="AB9" i="32"/>
  <c r="AC9" i="32"/>
  <c r="AD9" i="32"/>
  <c r="AE9" i="32"/>
  <c r="AF9" i="32"/>
  <c r="AG9" i="32"/>
  <c r="AH9" i="32"/>
  <c r="AI9" i="32"/>
  <c r="AJ9" i="32"/>
  <c r="AK9" i="32"/>
  <c r="AL9" i="32"/>
  <c r="AM9" i="32"/>
  <c r="AN9" i="32"/>
  <c r="AO9" i="32"/>
  <c r="AP9" i="32"/>
  <c r="AQ9" i="32"/>
  <c r="AR9" i="32"/>
  <c r="AS9" i="32"/>
  <c r="AT9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R14" i="32"/>
  <c r="S14" i="32"/>
  <c r="T14" i="32"/>
  <c r="U14" i="32"/>
  <c r="V14" i="32"/>
  <c r="W14" i="32"/>
  <c r="X14" i="32"/>
  <c r="Y14" i="32"/>
  <c r="Z14" i="32"/>
  <c r="AA14" i="32"/>
  <c r="AB14" i="32"/>
  <c r="AC14" i="32"/>
  <c r="AD14" i="32"/>
  <c r="AE14" i="32"/>
  <c r="AF14" i="32"/>
  <c r="AG14" i="32"/>
  <c r="AH14" i="32"/>
  <c r="AI14" i="32"/>
  <c r="AJ14" i="32"/>
  <c r="AK14" i="32"/>
  <c r="AL14" i="32"/>
  <c r="AM14" i="32"/>
  <c r="AN14" i="32"/>
  <c r="AO14" i="32"/>
  <c r="AP14" i="32"/>
  <c r="AQ14" i="32"/>
  <c r="AR14" i="32"/>
  <c r="AS14" i="32"/>
  <c r="AT14" i="32"/>
  <c r="AU14" i="32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R15" i="32"/>
  <c r="S15" i="32"/>
  <c r="T15" i="32"/>
  <c r="U15" i="32"/>
  <c r="V15" i="32"/>
  <c r="W15" i="32"/>
  <c r="X15" i="32"/>
  <c r="Y15" i="32"/>
  <c r="Z15" i="32"/>
  <c r="AA15" i="32"/>
  <c r="AB15" i="32"/>
  <c r="AC15" i="32"/>
  <c r="AD15" i="32"/>
  <c r="AE15" i="32"/>
  <c r="AF15" i="32"/>
  <c r="AG15" i="32"/>
  <c r="AH15" i="32"/>
  <c r="AI15" i="32"/>
  <c r="AJ15" i="32"/>
  <c r="AK15" i="32"/>
  <c r="AL15" i="32"/>
  <c r="AM15" i="32"/>
  <c r="AN15" i="32"/>
  <c r="AO15" i="32"/>
  <c r="AP15" i="32"/>
  <c r="AQ15" i="32"/>
  <c r="AR15" i="32"/>
  <c r="AS15" i="32"/>
  <c r="AT15" i="32"/>
  <c r="AU15" i="32"/>
  <c r="C16" i="32"/>
  <c r="D16" i="32"/>
  <c r="E16" i="32"/>
  <c r="F16" i="32"/>
  <c r="G16" i="32"/>
  <c r="H16" i="32"/>
  <c r="I16" i="32"/>
  <c r="J16" i="32"/>
  <c r="K16" i="32"/>
  <c r="L16" i="32"/>
  <c r="M16" i="32"/>
  <c r="N16" i="32"/>
  <c r="O16" i="32"/>
  <c r="P16" i="32"/>
  <c r="Q16" i="32"/>
  <c r="R16" i="32"/>
  <c r="S16" i="32"/>
  <c r="T16" i="32"/>
  <c r="U16" i="32"/>
  <c r="V16" i="32"/>
  <c r="W16" i="32"/>
  <c r="X16" i="32"/>
  <c r="Y16" i="32"/>
  <c r="Z16" i="32"/>
  <c r="AA16" i="32"/>
  <c r="AB16" i="32"/>
  <c r="AC16" i="32"/>
  <c r="AD16" i="32"/>
  <c r="AE16" i="32"/>
  <c r="AF16" i="32"/>
  <c r="AG16" i="32"/>
  <c r="AH16" i="32"/>
  <c r="AI16" i="32"/>
  <c r="AJ16" i="32"/>
  <c r="AK16" i="32"/>
  <c r="AL16" i="32"/>
  <c r="AM16" i="32"/>
  <c r="AN16" i="32"/>
  <c r="AO16" i="32"/>
  <c r="AP16" i="32"/>
  <c r="AQ16" i="32"/>
  <c r="AR16" i="32"/>
  <c r="AS16" i="32"/>
  <c r="AT16" i="32"/>
  <c r="AU16" i="32"/>
  <c r="C17" i="32"/>
  <c r="D17" i="32"/>
  <c r="E17" i="32"/>
  <c r="F17" i="32"/>
  <c r="G17" i="32"/>
  <c r="H17" i="32"/>
  <c r="I17" i="32"/>
  <c r="J17" i="32"/>
  <c r="K17" i="32"/>
  <c r="L17" i="32"/>
  <c r="M17" i="32"/>
  <c r="N17" i="32"/>
  <c r="O17" i="32"/>
  <c r="P17" i="32"/>
  <c r="R17" i="32"/>
  <c r="S17" i="32"/>
  <c r="T17" i="32"/>
  <c r="U17" i="32"/>
  <c r="V17" i="32"/>
  <c r="W17" i="32"/>
  <c r="X17" i="32"/>
  <c r="Y17" i="32"/>
  <c r="Z17" i="32"/>
  <c r="AB17" i="32"/>
  <c r="AC17" i="32"/>
  <c r="AD17" i="32"/>
  <c r="AE17" i="32"/>
  <c r="AF17" i="32"/>
  <c r="AG17" i="32"/>
  <c r="AH17" i="32"/>
  <c r="AI17" i="32"/>
  <c r="AJ17" i="32"/>
  <c r="AK17" i="32"/>
  <c r="AL17" i="32"/>
  <c r="AM17" i="32"/>
  <c r="AN17" i="32"/>
  <c r="AO17" i="32"/>
  <c r="AP17" i="32"/>
  <c r="AQ17" i="32"/>
  <c r="AR17" i="32"/>
  <c r="AS17" i="32"/>
  <c r="AT17" i="32"/>
  <c r="C18" i="32"/>
  <c r="D18" i="32"/>
  <c r="E18" i="32"/>
  <c r="F18" i="32"/>
  <c r="G18" i="32"/>
  <c r="H18" i="32"/>
  <c r="I18" i="32"/>
  <c r="J18" i="32"/>
  <c r="K18" i="32"/>
  <c r="L18" i="32"/>
  <c r="M18" i="32"/>
  <c r="N18" i="32"/>
  <c r="O18" i="32"/>
  <c r="P18" i="32"/>
  <c r="Q18" i="32"/>
  <c r="R18" i="32"/>
  <c r="S18" i="32"/>
  <c r="T18" i="32"/>
  <c r="U18" i="32"/>
  <c r="V18" i="32"/>
  <c r="W18" i="32"/>
  <c r="X18" i="32"/>
  <c r="Y18" i="32"/>
  <c r="Z18" i="32"/>
  <c r="AA18" i="32"/>
  <c r="AB18" i="32"/>
  <c r="AC18" i="32"/>
  <c r="AD18" i="32"/>
  <c r="AE18" i="32"/>
  <c r="AF18" i="32"/>
  <c r="AG18" i="32"/>
  <c r="AH18" i="32"/>
  <c r="AI18" i="32"/>
  <c r="AJ18" i="32"/>
  <c r="AK18" i="32"/>
  <c r="AL18" i="32"/>
  <c r="AM18" i="32"/>
  <c r="AN18" i="32"/>
  <c r="AO18" i="32"/>
  <c r="AP18" i="32"/>
  <c r="AQ18" i="32"/>
  <c r="AR18" i="32"/>
  <c r="AS18" i="32"/>
  <c r="AT18" i="32"/>
  <c r="AU18" i="32"/>
  <c r="C19" i="32"/>
  <c r="D19" i="32"/>
  <c r="E19" i="32"/>
  <c r="F19" i="32"/>
  <c r="G19" i="32"/>
  <c r="H19" i="32"/>
  <c r="I19" i="32"/>
  <c r="J19" i="32"/>
  <c r="K19" i="32"/>
  <c r="L19" i="32"/>
  <c r="M19" i="32"/>
  <c r="N19" i="32"/>
  <c r="O19" i="32"/>
  <c r="P19" i="32"/>
  <c r="Q19" i="32"/>
  <c r="R19" i="32"/>
  <c r="S19" i="32"/>
  <c r="T19" i="32"/>
  <c r="U19" i="32"/>
  <c r="V19" i="32"/>
  <c r="W19" i="32"/>
  <c r="X19" i="32"/>
  <c r="Y19" i="32"/>
  <c r="Z19" i="32"/>
  <c r="AA19" i="32"/>
  <c r="AB19" i="32"/>
  <c r="AC19" i="32"/>
  <c r="AD19" i="32"/>
  <c r="AE19" i="32"/>
  <c r="AF19" i="32"/>
  <c r="AG19" i="32"/>
  <c r="AH19" i="32"/>
  <c r="AI19" i="32"/>
  <c r="AJ19" i="32"/>
  <c r="AK19" i="32"/>
  <c r="AL19" i="32"/>
  <c r="AM19" i="32"/>
  <c r="AN19" i="32"/>
  <c r="AO19" i="32"/>
  <c r="AP19" i="32"/>
  <c r="AQ19" i="32"/>
  <c r="AR19" i="32"/>
  <c r="AS19" i="32"/>
  <c r="AT19" i="32"/>
  <c r="AU19" i="32"/>
  <c r="C20" i="32"/>
  <c r="D20" i="32"/>
  <c r="E20" i="32"/>
  <c r="F20" i="32"/>
  <c r="G20" i="32"/>
  <c r="H20" i="32"/>
  <c r="I20" i="32"/>
  <c r="J20" i="32"/>
  <c r="K20" i="32"/>
  <c r="L20" i="32"/>
  <c r="M20" i="32"/>
  <c r="N20" i="32"/>
  <c r="O20" i="32"/>
  <c r="P20" i="32"/>
  <c r="R20" i="32"/>
  <c r="S20" i="32"/>
  <c r="T20" i="32"/>
  <c r="U20" i="32"/>
  <c r="V20" i="32"/>
  <c r="W20" i="32"/>
  <c r="X20" i="32"/>
  <c r="Y20" i="32"/>
  <c r="Z20" i="32"/>
  <c r="AB20" i="32"/>
  <c r="AC20" i="32"/>
  <c r="AD20" i="32"/>
  <c r="AE20" i="32"/>
  <c r="AF20" i="32"/>
  <c r="AG20" i="32"/>
  <c r="AH20" i="32"/>
  <c r="AI20" i="32"/>
  <c r="AJ20" i="32"/>
  <c r="AK20" i="32"/>
  <c r="AL20" i="32"/>
  <c r="AM20" i="32"/>
  <c r="AN20" i="32"/>
  <c r="AO20" i="32"/>
  <c r="AP20" i="32"/>
  <c r="AQ20" i="32"/>
  <c r="AR20" i="32"/>
  <c r="AS20" i="32"/>
  <c r="AT20" i="32"/>
  <c r="A23" i="32"/>
  <c r="H29" i="31"/>
  <c r="T2" i="14"/>
  <c r="X2" i="25"/>
  <c r="T2" i="25"/>
  <c r="L46" i="16" l="1"/>
  <c r="AJ7" i="32"/>
  <c r="AO4" i="32"/>
  <c r="AI7" i="32"/>
  <c r="AN4" i="32"/>
  <c r="AB4" i="32"/>
  <c r="AT7" i="32"/>
  <c r="AH7" i="32"/>
  <c r="V7" i="32"/>
  <c r="AM4" i="32"/>
  <c r="Z4" i="32"/>
  <c r="AS7" i="32"/>
  <c r="AG7" i="32"/>
  <c r="AL4" i="32"/>
  <c r="AR7" i="32"/>
  <c r="AF7" i="32"/>
  <c r="T7" i="32"/>
  <c r="AK4" i="32"/>
  <c r="Y4" i="32"/>
  <c r="X4" i="32"/>
  <c r="S7" i="32"/>
  <c r="X7" i="32"/>
  <c r="AC4" i="32"/>
  <c r="W7" i="32"/>
  <c r="AQ7" i="32"/>
  <c r="AE7" i="32"/>
  <c r="AJ4" i="32"/>
  <c r="AP7" i="32"/>
  <c r="AD7" i="32"/>
  <c r="AI4" i="32"/>
  <c r="W4" i="32"/>
  <c r="V4" i="32"/>
  <c r="Q4" i="32"/>
  <c r="AX3" i="32" s="1"/>
  <c r="Q10" i="32"/>
  <c r="U7" i="32"/>
  <c r="R7" i="32"/>
  <c r="AO7" i="32"/>
  <c r="AC7" i="32"/>
  <c r="AT4" i="32"/>
  <c r="AH4" i="32"/>
  <c r="AN7" i="32"/>
  <c r="AN2" i="32" s="1"/>
  <c r="AN40" i="32" s="1"/>
  <c r="AB7" i="32"/>
  <c r="AS4" i="32"/>
  <c r="AG4" i="32"/>
  <c r="U4" i="32"/>
  <c r="AM7" i="32"/>
  <c r="AR4" i="32"/>
  <c r="AF4" i="32"/>
  <c r="T4" i="32"/>
  <c r="AL7" i="32"/>
  <c r="Z7" i="32"/>
  <c r="AQ4" i="32"/>
  <c r="AE4" i="32"/>
  <c r="S4" i="32"/>
  <c r="AK7" i="32"/>
  <c r="Y7" i="32"/>
  <c r="AP4" i="32"/>
  <c r="AD4" i="32"/>
  <c r="R4" i="32"/>
  <c r="AP31" i="32"/>
  <c r="AD31" i="32"/>
  <c r="R31" i="32"/>
  <c r="F31" i="32"/>
  <c r="AM30" i="32"/>
  <c r="AA30" i="32"/>
  <c r="O30" i="32"/>
  <c r="C30" i="32"/>
  <c r="AS28" i="32"/>
  <c r="AG28" i="32"/>
  <c r="AP27" i="32"/>
  <c r="AD27" i="32"/>
  <c r="R27" i="32"/>
  <c r="F27" i="32"/>
  <c r="L25" i="32"/>
  <c r="AS25" i="32"/>
  <c r="AG25" i="32"/>
  <c r="U25" i="32"/>
  <c r="I25" i="32"/>
  <c r="AL31" i="32"/>
  <c r="Z31" i="32"/>
  <c r="Z10" i="32"/>
  <c r="D30" i="32"/>
  <c r="M31" i="32"/>
  <c r="V30" i="32"/>
  <c r="AK27" i="32"/>
  <c r="Y10" i="32"/>
  <c r="AE25" i="32"/>
  <c r="AD25" i="32"/>
  <c r="AT28" i="32"/>
  <c r="AH21" i="32"/>
  <c r="AG31" i="32"/>
  <c r="U31" i="32"/>
  <c r="AP30" i="32"/>
  <c r="AD30" i="32"/>
  <c r="R30" i="32"/>
  <c r="F30" i="32"/>
  <c r="X28" i="32"/>
  <c r="AS27" i="32"/>
  <c r="AG27" i="32"/>
  <c r="I27" i="32"/>
  <c r="AA25" i="32"/>
  <c r="O25" i="32"/>
  <c r="C25" i="32"/>
  <c r="AR31" i="32"/>
  <c r="AF31" i="32"/>
  <c r="T31" i="32"/>
  <c r="H31" i="32"/>
  <c r="AO30" i="32"/>
  <c r="AC30" i="32"/>
  <c r="Q30" i="32"/>
  <c r="AU28" i="32"/>
  <c r="AI28" i="32"/>
  <c r="W28" i="32"/>
  <c r="K28" i="32"/>
  <c r="AR27" i="32"/>
  <c r="AF27" i="32"/>
  <c r="AL25" i="32"/>
  <c r="Z25" i="32"/>
  <c r="N25" i="32"/>
  <c r="AS10" i="32"/>
  <c r="AG10" i="32"/>
  <c r="U10" i="32"/>
  <c r="I10" i="32"/>
  <c r="S31" i="32"/>
  <c r="AN30" i="32"/>
  <c r="AH28" i="32"/>
  <c r="V28" i="32"/>
  <c r="J28" i="32"/>
  <c r="AE27" i="32"/>
  <c r="AS31" i="32"/>
  <c r="I31" i="32"/>
  <c r="AM25" i="32"/>
  <c r="N31" i="32"/>
  <c r="AU30" i="32"/>
  <c r="AI30" i="32"/>
  <c r="W30" i="32"/>
  <c r="K30" i="32"/>
  <c r="AO28" i="32"/>
  <c r="N10" i="32"/>
  <c r="S21" i="32"/>
  <c r="G21" i="32"/>
  <c r="H21" i="32"/>
  <c r="T21" i="32"/>
  <c r="AC28" i="32"/>
  <c r="E28" i="32"/>
  <c r="AL27" i="32"/>
  <c r="Z27" i="32"/>
  <c r="AR25" i="32"/>
  <c r="AF25" i="32"/>
  <c r="T25" i="32"/>
  <c r="H25" i="32"/>
  <c r="S27" i="32"/>
  <c r="T27" i="32"/>
  <c r="N27" i="32"/>
  <c r="O28" i="32"/>
  <c r="AJ27" i="32"/>
  <c r="AP25" i="32"/>
  <c r="AG21" i="32"/>
  <c r="AE21" i="32"/>
  <c r="AK31" i="32"/>
  <c r="AT30" i="32"/>
  <c r="AB28" i="32"/>
  <c r="P28" i="32"/>
  <c r="G25" i="32"/>
  <c r="AS21" i="32"/>
  <c r="I21" i="32"/>
  <c r="H27" i="32"/>
  <c r="AJ28" i="32"/>
  <c r="U30" i="32"/>
  <c r="AA28" i="32"/>
  <c r="AJ21" i="32"/>
  <c r="AF21" i="32"/>
  <c r="AO25" i="32"/>
  <c r="Q25" i="32"/>
  <c r="E25" i="32"/>
  <c r="AU2" i="32"/>
  <c r="AI25" i="32"/>
  <c r="K2" i="32"/>
  <c r="K54" i="32" s="1"/>
  <c r="V25" i="32"/>
  <c r="J25" i="32"/>
  <c r="L30" i="32"/>
  <c r="AD28" i="32"/>
  <c r="O10" i="32"/>
  <c r="X30" i="32"/>
  <c r="AM27" i="32"/>
  <c r="AM10" i="32"/>
  <c r="AA27" i="32"/>
  <c r="AA10" i="32"/>
  <c r="C27" i="32"/>
  <c r="C10" i="32"/>
  <c r="C28" i="32"/>
  <c r="L21" i="32"/>
  <c r="AP13" i="32"/>
  <c r="F13" i="32"/>
  <c r="F25" i="32"/>
  <c r="AJ31" i="32"/>
  <c r="O27" i="32"/>
  <c r="AT21" i="32"/>
  <c r="V21" i="32"/>
  <c r="AL10" i="32"/>
  <c r="AO10" i="32"/>
  <c r="AC10" i="32"/>
  <c r="E10" i="32"/>
  <c r="AY3" i="32"/>
  <c r="AK25" i="32"/>
  <c r="Y25" i="32"/>
  <c r="M2" i="32"/>
  <c r="M55" i="32" s="1"/>
  <c r="M25" i="32"/>
  <c r="L27" i="32"/>
  <c r="AK10" i="32"/>
  <c r="M10" i="32"/>
  <c r="AN10" i="32"/>
  <c r="AB10" i="32"/>
  <c r="P10" i="32"/>
  <c r="D10" i="32"/>
  <c r="AJ25" i="32"/>
  <c r="X25" i="32"/>
  <c r="L2" i="32"/>
  <c r="L53" i="32" s="1"/>
  <c r="AM31" i="32"/>
  <c r="R28" i="32"/>
  <c r="AM28" i="32"/>
  <c r="AG30" i="32"/>
  <c r="O31" i="32"/>
  <c r="C31" i="32"/>
  <c r="AJ30" i="32"/>
  <c r="AP28" i="32"/>
  <c r="AN28" i="32"/>
  <c r="D28" i="32"/>
  <c r="Y27" i="32"/>
  <c r="M27" i="32"/>
  <c r="AQ13" i="32"/>
  <c r="AQ25" i="32"/>
  <c r="AE13" i="32"/>
  <c r="S13" i="32"/>
  <c r="S25" i="32"/>
  <c r="G13" i="32"/>
  <c r="F28" i="32"/>
  <c r="AA31" i="32"/>
  <c r="J30" i="32"/>
  <c r="J21" i="32"/>
  <c r="X31" i="32"/>
  <c r="L31" i="32"/>
  <c r="X21" i="32"/>
  <c r="X27" i="32"/>
  <c r="AD13" i="32"/>
  <c r="U21" i="32"/>
  <c r="R13" i="32"/>
  <c r="AZ14" i="32"/>
  <c r="AU21" i="32"/>
  <c r="AI21" i="32"/>
  <c r="W21" i="32"/>
  <c r="K21" i="32"/>
  <c r="AC13" i="32"/>
  <c r="AU31" i="32"/>
  <c r="AR21" i="32"/>
  <c r="Q31" i="32"/>
  <c r="Z21" i="32"/>
  <c r="AR28" i="32"/>
  <c r="T28" i="32"/>
  <c r="AC21" i="32"/>
  <c r="E21" i="32"/>
  <c r="K13" i="32"/>
  <c r="AH31" i="32"/>
  <c r="AQ30" i="32"/>
  <c r="Y28" i="32"/>
  <c r="AT27" i="32"/>
  <c r="V27" i="32"/>
  <c r="I30" i="32"/>
  <c r="AY14" i="32"/>
  <c r="AS13" i="32"/>
  <c r="AG13" i="32"/>
  <c r="U13" i="32"/>
  <c r="I13" i="32"/>
  <c r="AS30" i="32"/>
  <c r="E30" i="32"/>
  <c r="Q28" i="32"/>
  <c r="AQ27" i="32"/>
  <c r="AZ13" i="32"/>
  <c r="AR13" i="32"/>
  <c r="AF13" i="32"/>
  <c r="T13" i="32"/>
  <c r="H13" i="32"/>
  <c r="P30" i="32"/>
  <c r="AE31" i="32"/>
  <c r="I28" i="32"/>
  <c r="AZ2" i="32"/>
  <c r="AX13" i="32"/>
  <c r="AL13" i="32"/>
  <c r="Z13" i="32"/>
  <c r="N13" i="32"/>
  <c r="Y31" i="32"/>
  <c r="AH30" i="32"/>
  <c r="P13" i="32"/>
  <c r="AK13" i="32"/>
  <c r="Y13" i="32"/>
  <c r="M13" i="32"/>
  <c r="AM21" i="32"/>
  <c r="O21" i="32"/>
  <c r="AP21" i="32"/>
  <c r="R21" i="32"/>
  <c r="F21" i="32"/>
  <c r="AJ13" i="32"/>
  <c r="X13" i="32"/>
  <c r="W31" i="32"/>
  <c r="K31" i="32"/>
  <c r="AR30" i="32"/>
  <c r="AF30" i="32"/>
  <c r="T30" i="32"/>
  <c r="H30" i="32"/>
  <c r="AX2" i="32"/>
  <c r="AL28" i="32"/>
  <c r="Z28" i="32"/>
  <c r="N28" i="32"/>
  <c r="AZ3" i="32"/>
  <c r="AI27" i="32"/>
  <c r="W27" i="32"/>
  <c r="K27" i="32"/>
  <c r="AA21" i="32"/>
  <c r="C21" i="32"/>
  <c r="AD21" i="32"/>
  <c r="L13" i="32"/>
  <c r="AO31" i="32"/>
  <c r="AC31" i="32"/>
  <c r="AL21" i="32"/>
  <c r="N21" i="32"/>
  <c r="AF28" i="32"/>
  <c r="AO21" i="32"/>
  <c r="AX14" i="32"/>
  <c r="AI13" i="32"/>
  <c r="V31" i="32"/>
  <c r="AE30" i="32"/>
  <c r="G30" i="32"/>
  <c r="AK28" i="32"/>
  <c r="AH27" i="32"/>
  <c r="J27" i="32"/>
  <c r="R25" i="32"/>
  <c r="AI31" i="32"/>
  <c r="E31" i="32"/>
  <c r="H28" i="32"/>
  <c r="AU13" i="32"/>
  <c r="W13" i="32"/>
  <c r="AT31" i="32"/>
  <c r="J31" i="32"/>
  <c r="S30" i="32"/>
  <c r="M28" i="32"/>
  <c r="AB30" i="32"/>
  <c r="U28" i="32"/>
  <c r="G27" i="32"/>
  <c r="AQ21" i="32"/>
  <c r="AN31" i="32"/>
  <c r="AB31" i="32"/>
  <c r="P31" i="32"/>
  <c r="D31" i="32"/>
  <c r="AK21" i="32"/>
  <c r="Y21" i="32"/>
  <c r="M21" i="32"/>
  <c r="AQ28" i="32"/>
  <c r="AE28" i="32"/>
  <c r="S28" i="32"/>
  <c r="G28" i="32"/>
  <c r="AN21" i="32"/>
  <c r="AB21" i="32"/>
  <c r="P21" i="32"/>
  <c r="D21" i="32"/>
  <c r="AT13" i="32"/>
  <c r="AH13" i="32"/>
  <c r="V13" i="32"/>
  <c r="J13" i="32"/>
  <c r="AP10" i="32"/>
  <c r="AD10" i="32"/>
  <c r="R10" i="32"/>
  <c r="F10" i="32"/>
  <c r="AY2" i="32"/>
  <c r="L28" i="32"/>
  <c r="U27" i="32"/>
  <c r="AN25" i="32"/>
  <c r="AB25" i="32"/>
  <c r="P25" i="32"/>
  <c r="D25" i="32"/>
  <c r="AA2" i="32"/>
  <c r="O2" i="32"/>
  <c r="O44" i="32" s="1"/>
  <c r="C2" i="32"/>
  <c r="C40" i="32" s="1"/>
  <c r="AQ31" i="32"/>
  <c r="G31" i="32"/>
  <c r="AM13" i="32"/>
  <c r="AA13" i="32"/>
  <c r="O13" i="32"/>
  <c r="C13" i="32"/>
  <c r="N2" i="32"/>
  <c r="I2" i="32"/>
  <c r="I42" i="32" s="1"/>
  <c r="AJ10" i="32"/>
  <c r="X10" i="32"/>
  <c r="L10" i="32"/>
  <c r="H2" i="32"/>
  <c r="H50" i="32" s="1"/>
  <c r="G2" i="32"/>
  <c r="G41" i="32" s="1"/>
  <c r="F2" i="32"/>
  <c r="F41" i="32" s="1"/>
  <c r="E2" i="32"/>
  <c r="E54" i="32" s="1"/>
  <c r="P2" i="32"/>
  <c r="P55" i="32" s="1"/>
  <c r="D2" i="32"/>
  <c r="D42" i="32" s="1"/>
  <c r="AO13" i="32"/>
  <c r="J2" i="32"/>
  <c r="J40" i="32" s="1"/>
  <c r="AL30" i="32"/>
  <c r="Z30" i="32"/>
  <c r="N30" i="32"/>
  <c r="AO27" i="32"/>
  <c r="AC27" i="32"/>
  <c r="Q27" i="32"/>
  <c r="E27" i="32"/>
  <c r="AU25" i="32"/>
  <c r="W25" i="32"/>
  <c r="K25" i="32"/>
  <c r="AB13" i="32"/>
  <c r="D13" i="32"/>
  <c r="AK30" i="32"/>
  <c r="Y30" i="32"/>
  <c r="M30" i="32"/>
  <c r="AN27" i="32"/>
  <c r="AB27" i="32"/>
  <c r="P27" i="32"/>
  <c r="D27" i="32"/>
  <c r="AT25" i="32"/>
  <c r="AH25" i="32"/>
  <c r="Q21" i="32"/>
  <c r="AU10" i="32"/>
  <c r="AZ4" i="32" s="1"/>
  <c r="AI10" i="32"/>
  <c r="W10" i="32"/>
  <c r="K10" i="32"/>
  <c r="Q13" i="32"/>
  <c r="AN13" i="32"/>
  <c r="AY13" i="32"/>
  <c r="AT10" i="32"/>
  <c r="AH10" i="32"/>
  <c r="V10" i="32"/>
  <c r="J10" i="32"/>
  <c r="E13" i="32"/>
  <c r="AR10" i="32"/>
  <c r="AF10" i="32"/>
  <c r="T10" i="32"/>
  <c r="H10" i="32"/>
  <c r="AQ10" i="32"/>
  <c r="AE10" i="32"/>
  <c r="S10" i="32"/>
  <c r="G10" i="32"/>
  <c r="AU27" i="32"/>
  <c r="AC25" i="32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AB2" i="32" l="1"/>
  <c r="AB50" i="32" s="1"/>
  <c r="AZ7" i="32"/>
  <c r="AZ8" i="32"/>
  <c r="AE2" i="32"/>
  <c r="AE40" i="32" s="1"/>
  <c r="AL2" i="32"/>
  <c r="AL39" i="32" s="1"/>
  <c r="AT2" i="32"/>
  <c r="AT50" i="32" s="1"/>
  <c r="AM2" i="32"/>
  <c r="AM50" i="32" s="1"/>
  <c r="T2" i="32"/>
  <c r="T50" i="32" s="1"/>
  <c r="AO2" i="32"/>
  <c r="AO43" i="32" s="1"/>
  <c r="AJ2" i="32"/>
  <c r="AJ51" i="32" s="1"/>
  <c r="AK2" i="32"/>
  <c r="AK41" i="32" s="1"/>
  <c r="AS2" i="32"/>
  <c r="AS54" i="32" s="1"/>
  <c r="W2" i="32"/>
  <c r="W41" i="32" s="1"/>
  <c r="AH2" i="32"/>
  <c r="AH43" i="32" s="1"/>
  <c r="Z2" i="32"/>
  <c r="Z43" i="32" s="1"/>
  <c r="AI2" i="32"/>
  <c r="AI24" i="32" s="1"/>
  <c r="AF2" i="32"/>
  <c r="AF54" i="32" s="1"/>
  <c r="AR2" i="32"/>
  <c r="AR53" i="32" s="1"/>
  <c r="AC2" i="32"/>
  <c r="AC52" i="32" s="1"/>
  <c r="Y2" i="32"/>
  <c r="Y43" i="32" s="1"/>
  <c r="AG2" i="32"/>
  <c r="AG50" i="32" s="1"/>
  <c r="V2" i="32"/>
  <c r="V54" i="32" s="1"/>
  <c r="X2" i="32"/>
  <c r="X39" i="32" s="1"/>
  <c r="S2" i="32"/>
  <c r="S41" i="32" s="1"/>
  <c r="AQ2" i="32"/>
  <c r="AQ40" i="32" s="1"/>
  <c r="AP2" i="32"/>
  <c r="AP53" i="32" s="1"/>
  <c r="AD2" i="32"/>
  <c r="AD41" i="32" s="1"/>
  <c r="AX4" i="32"/>
  <c r="U2" i="32"/>
  <c r="U50" i="32" s="1"/>
  <c r="R2" i="32"/>
  <c r="R41" i="32" s="1"/>
  <c r="Q2" i="32"/>
  <c r="AX8" i="32" s="1"/>
  <c r="R26" i="32"/>
  <c r="AA42" i="32"/>
  <c r="AY9" i="32"/>
  <c r="AY8" i="32"/>
  <c r="AU44" i="32"/>
  <c r="AZ9" i="32"/>
  <c r="AY7" i="32"/>
  <c r="F26" i="32"/>
  <c r="AD26" i="32"/>
  <c r="C29" i="32"/>
  <c r="AG26" i="32"/>
  <c r="AS26" i="32"/>
  <c r="C32" i="32"/>
  <c r="K32" i="32"/>
  <c r="K29" i="32"/>
  <c r="O29" i="32"/>
  <c r="W26" i="32"/>
  <c r="AM29" i="32"/>
  <c r="F29" i="32"/>
  <c r="R29" i="32"/>
  <c r="AD29" i="32"/>
  <c r="AP32" i="32"/>
  <c r="AM32" i="32"/>
  <c r="AA29" i="32"/>
  <c r="AP26" i="32"/>
  <c r="F32" i="32"/>
  <c r="V29" i="32"/>
  <c r="H29" i="32"/>
  <c r="AK26" i="32"/>
  <c r="AU24" i="32"/>
  <c r="L41" i="32"/>
  <c r="K39" i="32"/>
  <c r="J26" i="32"/>
  <c r="AC29" i="32"/>
  <c r="AO29" i="32"/>
  <c r="R32" i="32"/>
  <c r="K45" i="32"/>
  <c r="AI29" i="32"/>
  <c r="AH26" i="32"/>
  <c r="AL26" i="32"/>
  <c r="Q29" i="32"/>
  <c r="D29" i="32"/>
  <c r="AN29" i="32"/>
  <c r="AT26" i="32"/>
  <c r="K42" i="32"/>
  <c r="E24" i="32"/>
  <c r="U29" i="32"/>
  <c r="K40" i="32"/>
  <c r="AF26" i="32"/>
  <c r="V26" i="32"/>
  <c r="AR32" i="32"/>
  <c r="AN24" i="32"/>
  <c r="N24" i="32"/>
  <c r="T29" i="32"/>
  <c r="AD32" i="32"/>
  <c r="L55" i="32"/>
  <c r="H26" i="32"/>
  <c r="AE26" i="32"/>
  <c r="AP29" i="32"/>
  <c r="Z26" i="32"/>
  <c r="AR26" i="32"/>
  <c r="S29" i="32"/>
  <c r="AJ26" i="32"/>
  <c r="H45" i="32"/>
  <c r="AF29" i="32"/>
  <c r="O26" i="32"/>
  <c r="G32" i="32"/>
  <c r="N26" i="32"/>
  <c r="W29" i="32"/>
  <c r="I26" i="32"/>
  <c r="AU29" i="32"/>
  <c r="AI32" i="32"/>
  <c r="AH29" i="32"/>
  <c r="S26" i="32"/>
  <c r="D51" i="32"/>
  <c r="P51" i="32"/>
  <c r="AT29" i="32"/>
  <c r="AH32" i="32"/>
  <c r="P29" i="32"/>
  <c r="T26" i="32"/>
  <c r="AJ29" i="32"/>
  <c r="AQ32" i="32"/>
  <c r="AF32" i="32"/>
  <c r="D56" i="32"/>
  <c r="AQ26" i="32"/>
  <c r="E50" i="32"/>
  <c r="K41" i="32"/>
  <c r="K55" i="32"/>
  <c r="M26" i="32"/>
  <c r="AN51" i="32"/>
  <c r="AN62" i="32" s="1"/>
  <c r="J56" i="32"/>
  <c r="AN56" i="32"/>
  <c r="J32" i="32"/>
  <c r="AA26" i="32"/>
  <c r="P50" i="32"/>
  <c r="K52" i="32"/>
  <c r="K43" i="32"/>
  <c r="K65" i="32" s="1"/>
  <c r="K50" i="32"/>
  <c r="AN55" i="32"/>
  <c r="G29" i="32"/>
  <c r="L24" i="32"/>
  <c r="AN50" i="32"/>
  <c r="K24" i="32"/>
  <c r="L43" i="32"/>
  <c r="K53" i="32"/>
  <c r="K56" i="32"/>
  <c r="K44" i="32"/>
  <c r="G26" i="32"/>
  <c r="AE29" i="32"/>
  <c r="K51" i="32"/>
  <c r="F55" i="32"/>
  <c r="P24" i="32"/>
  <c r="AU41" i="32"/>
  <c r="AU54" i="32"/>
  <c r="J42" i="32"/>
  <c r="AU42" i="32"/>
  <c r="AU55" i="32"/>
  <c r="AX55" i="32" s="1"/>
  <c r="W32" i="32"/>
  <c r="I44" i="32"/>
  <c r="M54" i="32"/>
  <c r="AU40" i="32"/>
  <c r="AN42" i="32"/>
  <c r="E44" i="32"/>
  <c r="M56" i="32"/>
  <c r="M53" i="32"/>
  <c r="E29" i="32"/>
  <c r="AU50" i="32"/>
  <c r="C54" i="32"/>
  <c r="M51" i="32"/>
  <c r="AU39" i="32"/>
  <c r="AI26" i="32"/>
  <c r="AU52" i="32"/>
  <c r="D52" i="32"/>
  <c r="AU43" i="32"/>
  <c r="D45" i="32"/>
  <c r="P44" i="32"/>
  <c r="C50" i="32"/>
  <c r="AU51" i="32"/>
  <c r="AE32" i="32"/>
  <c r="AB29" i="32"/>
  <c r="AU53" i="32"/>
  <c r="I43" i="32"/>
  <c r="AN52" i="32"/>
  <c r="AJ32" i="32"/>
  <c r="P40" i="32"/>
  <c r="AN44" i="32"/>
  <c r="C52" i="32"/>
  <c r="K26" i="32"/>
  <c r="C24" i="32"/>
  <c r="V32" i="32"/>
  <c r="AR29" i="32"/>
  <c r="C42" i="32"/>
  <c r="M41" i="32"/>
  <c r="E55" i="32"/>
  <c r="P42" i="32"/>
  <c r="F51" i="32"/>
  <c r="E51" i="32"/>
  <c r="F56" i="32"/>
  <c r="O32" i="32"/>
  <c r="E56" i="32"/>
  <c r="L29" i="32"/>
  <c r="AN45" i="32"/>
  <c r="E53" i="32"/>
  <c r="F53" i="32"/>
  <c r="M50" i="32"/>
  <c r="D50" i="32"/>
  <c r="AA32" i="32"/>
  <c r="AY4" i="32"/>
  <c r="AA45" i="32"/>
  <c r="H41" i="32"/>
  <c r="H39" i="32"/>
  <c r="H61" i="32" s="1"/>
  <c r="N41" i="32"/>
  <c r="D54" i="32"/>
  <c r="H42" i="32"/>
  <c r="D40" i="32"/>
  <c r="L26" i="32"/>
  <c r="L32" i="32"/>
  <c r="N39" i="32"/>
  <c r="D53" i="32"/>
  <c r="AA40" i="32"/>
  <c r="AU45" i="32"/>
  <c r="S32" i="32"/>
  <c r="P43" i="32"/>
  <c r="P39" i="32"/>
  <c r="P41" i="32"/>
  <c r="I40" i="32"/>
  <c r="P56" i="32"/>
  <c r="P54" i="32"/>
  <c r="E39" i="32"/>
  <c r="N42" i="32"/>
  <c r="J29" i="32"/>
  <c r="P52" i="32"/>
  <c r="AA41" i="32"/>
  <c r="N44" i="32"/>
  <c r="P45" i="32"/>
  <c r="P53" i="32"/>
  <c r="J50" i="32"/>
  <c r="AX15" i="32"/>
  <c r="AT32" i="32"/>
  <c r="U26" i="32"/>
  <c r="U32" i="32"/>
  <c r="J53" i="32"/>
  <c r="H52" i="32"/>
  <c r="N54" i="32"/>
  <c r="I52" i="32"/>
  <c r="L52" i="32"/>
  <c r="L42" i="32"/>
  <c r="L64" i="32" s="1"/>
  <c r="L54" i="32"/>
  <c r="L50" i="32"/>
  <c r="L48" i="32" s="1"/>
  <c r="L40" i="32"/>
  <c r="L44" i="32"/>
  <c r="AM26" i="32"/>
  <c r="O42" i="32"/>
  <c r="G43" i="32"/>
  <c r="J45" i="32"/>
  <c r="H32" i="32"/>
  <c r="AN43" i="32"/>
  <c r="AN39" i="32"/>
  <c r="AN41" i="32"/>
  <c r="L45" i="32"/>
  <c r="F43" i="32"/>
  <c r="N56" i="32"/>
  <c r="C56" i="32"/>
  <c r="I45" i="32"/>
  <c r="G51" i="32"/>
  <c r="AN54" i="32"/>
  <c r="H51" i="32"/>
  <c r="X26" i="32"/>
  <c r="X32" i="32"/>
  <c r="F42" i="32"/>
  <c r="M45" i="32"/>
  <c r="I54" i="32"/>
  <c r="E45" i="32"/>
  <c r="G50" i="32"/>
  <c r="AN53" i="32"/>
  <c r="AA53" i="32"/>
  <c r="AA43" i="32"/>
  <c r="AA39" i="32"/>
  <c r="AA51" i="32"/>
  <c r="AA55" i="32"/>
  <c r="AW55" i="32" s="1"/>
  <c r="AA52" i="32"/>
  <c r="AA24" i="32"/>
  <c r="D43" i="32"/>
  <c r="D39" i="32"/>
  <c r="D41" i="32"/>
  <c r="D55" i="32"/>
  <c r="D24" i="32"/>
  <c r="F24" i="32"/>
  <c r="E52" i="32"/>
  <c r="E41" i="32"/>
  <c r="F45" i="32"/>
  <c r="AA54" i="32"/>
  <c r="G55" i="32"/>
  <c r="E43" i="32"/>
  <c r="E65" i="32" s="1"/>
  <c r="H54" i="32"/>
  <c r="G53" i="32"/>
  <c r="M43" i="32"/>
  <c r="E40" i="32"/>
  <c r="G54" i="32"/>
  <c r="X29" i="32"/>
  <c r="J24" i="32"/>
  <c r="J41" i="32"/>
  <c r="J43" i="32"/>
  <c r="J39" i="32"/>
  <c r="G24" i="32"/>
  <c r="T32" i="32"/>
  <c r="AY15" i="32"/>
  <c r="AA56" i="32"/>
  <c r="J52" i="32"/>
  <c r="H40" i="32"/>
  <c r="G56" i="32"/>
  <c r="C44" i="32"/>
  <c r="J51" i="32"/>
  <c r="J62" i="32" s="1"/>
  <c r="H56" i="32"/>
  <c r="J54" i="32"/>
  <c r="G45" i="32"/>
  <c r="I24" i="32"/>
  <c r="I55" i="32"/>
  <c r="I51" i="32"/>
  <c r="I41" i="32"/>
  <c r="I39" i="32"/>
  <c r="I53" i="32"/>
  <c r="I64" i="32" s="1"/>
  <c r="I50" i="32"/>
  <c r="G52" i="32"/>
  <c r="G63" i="32" s="1"/>
  <c r="E42" i="32"/>
  <c r="I29" i="32"/>
  <c r="I32" i="32"/>
  <c r="AQ29" i="32"/>
  <c r="O52" i="32"/>
  <c r="M24" i="32"/>
  <c r="M42" i="32"/>
  <c r="M40" i="32"/>
  <c r="M44" i="32"/>
  <c r="M66" i="32" s="1"/>
  <c r="J55" i="32"/>
  <c r="AA44" i="32"/>
  <c r="O45" i="32"/>
  <c r="N55" i="32"/>
  <c r="N51" i="32"/>
  <c r="N40" i="32"/>
  <c r="F54" i="32"/>
  <c r="F50" i="32"/>
  <c r="F44" i="32"/>
  <c r="F40" i="32"/>
  <c r="F52" i="32"/>
  <c r="F63" i="32" s="1"/>
  <c r="H43" i="32"/>
  <c r="J44" i="32"/>
  <c r="O54" i="32"/>
  <c r="H55" i="32"/>
  <c r="G39" i="32"/>
  <c r="AZ15" i="32"/>
  <c r="AU56" i="32"/>
  <c r="I56" i="32"/>
  <c r="H53" i="32"/>
  <c r="H48" i="32" s="1"/>
  <c r="N45" i="32"/>
  <c r="N43" i="32"/>
  <c r="L39" i="32"/>
  <c r="O53" i="32"/>
  <c r="O43" i="32"/>
  <c r="O39" i="32"/>
  <c r="O55" i="32"/>
  <c r="O66" i="32" s="1"/>
  <c r="O51" i="32"/>
  <c r="O41" i="32"/>
  <c r="O50" i="32"/>
  <c r="O56" i="32"/>
  <c r="H44" i="32"/>
  <c r="M39" i="32"/>
  <c r="D44" i="32"/>
  <c r="L51" i="32"/>
  <c r="C45" i="32"/>
  <c r="G40" i="32"/>
  <c r="G42" i="32"/>
  <c r="G44" i="32"/>
  <c r="AS29" i="32"/>
  <c r="AS32" i="32"/>
  <c r="N50" i="32"/>
  <c r="N52" i="32"/>
  <c r="AG29" i="32"/>
  <c r="AG32" i="32"/>
  <c r="O24" i="32"/>
  <c r="H24" i="32"/>
  <c r="N53" i="32"/>
  <c r="O40" i="32"/>
  <c r="C53" i="32"/>
  <c r="C43" i="32"/>
  <c r="C39" i="32"/>
  <c r="C55" i="32"/>
  <c r="C51" i="32"/>
  <c r="C62" i="32" s="1"/>
  <c r="C41" i="32"/>
  <c r="F39" i="32"/>
  <c r="AA50" i="32"/>
  <c r="Y26" i="32"/>
  <c r="M52" i="32"/>
  <c r="L56" i="32"/>
  <c r="C26" i="32"/>
  <c r="AO32" i="32"/>
  <c r="AO26" i="32"/>
  <c r="N32" i="32"/>
  <c r="N29" i="32"/>
  <c r="AL32" i="32"/>
  <c r="AL29" i="32"/>
  <c r="D26" i="32"/>
  <c r="D32" i="32"/>
  <c r="P26" i="32"/>
  <c r="P32" i="32"/>
  <c r="AB32" i="32"/>
  <c r="AB26" i="32"/>
  <c r="AN32" i="32"/>
  <c r="AN26" i="32"/>
  <c r="M32" i="32"/>
  <c r="M29" i="32"/>
  <c r="Y32" i="32"/>
  <c r="Y29" i="32"/>
  <c r="Z32" i="32"/>
  <c r="Z29" i="32"/>
  <c r="AU26" i="32"/>
  <c r="AU32" i="32"/>
  <c r="AK32" i="32"/>
  <c r="AK29" i="32"/>
  <c r="E32" i="32"/>
  <c r="E26" i="32"/>
  <c r="Q32" i="32"/>
  <c r="Q26" i="32"/>
  <c r="AC32" i="32"/>
  <c r="AC26" i="32"/>
  <c r="Q120" i="16"/>
  <c r="P120" i="16"/>
  <c r="Q107" i="16"/>
  <c r="O107" i="16"/>
  <c r="Q94" i="16"/>
  <c r="Q81" i="16"/>
  <c r="P81" i="16"/>
  <c r="O81" i="16"/>
  <c r="Q68" i="16"/>
  <c r="O68" i="16"/>
  <c r="Q29" i="16"/>
  <c r="Q16" i="16"/>
  <c r="O16" i="16"/>
  <c r="F128" i="16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E39" i="32" l="1"/>
  <c r="AI52" i="32"/>
  <c r="AB24" i="32"/>
  <c r="AB52" i="32"/>
  <c r="AE50" i="32"/>
  <c r="AE43" i="32"/>
  <c r="AE42" i="32"/>
  <c r="AE53" i="32"/>
  <c r="AB40" i="32"/>
  <c r="AL55" i="32"/>
  <c r="AE55" i="32"/>
  <c r="T42" i="32"/>
  <c r="T51" i="32"/>
  <c r="AL50" i="32"/>
  <c r="AL61" i="32" s="1"/>
  <c r="AT45" i="32"/>
  <c r="AE24" i="32"/>
  <c r="AB54" i="32"/>
  <c r="T40" i="32"/>
  <c r="AB45" i="32"/>
  <c r="AL45" i="32"/>
  <c r="AB42" i="32"/>
  <c r="AB44" i="32"/>
  <c r="AB53" i="32"/>
  <c r="AB48" i="32" s="1"/>
  <c r="AB55" i="32"/>
  <c r="AB41" i="32"/>
  <c r="Y42" i="32"/>
  <c r="AB39" i="32"/>
  <c r="AB61" i="32" s="1"/>
  <c r="AB56" i="32"/>
  <c r="AB51" i="32"/>
  <c r="Y24" i="32"/>
  <c r="T52" i="32"/>
  <c r="AB43" i="32"/>
  <c r="AE44" i="32"/>
  <c r="AE54" i="32"/>
  <c r="AE41" i="32"/>
  <c r="AE51" i="32"/>
  <c r="AE62" i="32" s="1"/>
  <c r="AK45" i="32"/>
  <c r="AM42" i="32"/>
  <c r="AT44" i="32"/>
  <c r="AM55" i="32"/>
  <c r="AR56" i="32"/>
  <c r="AE52" i="32"/>
  <c r="AE45" i="32"/>
  <c r="AM39" i="32"/>
  <c r="AM61" i="32" s="1"/>
  <c r="AM53" i="32"/>
  <c r="AM48" i="32" s="1"/>
  <c r="AT40" i="32"/>
  <c r="AR54" i="32"/>
  <c r="AT39" i="32"/>
  <c r="AR50" i="32"/>
  <c r="AR48" i="32" s="1"/>
  <c r="AI53" i="32"/>
  <c r="AL44" i="32"/>
  <c r="AT43" i="32"/>
  <c r="AT54" i="32"/>
  <c r="AC55" i="32"/>
  <c r="AL54" i="32"/>
  <c r="AT53" i="32"/>
  <c r="AT48" i="32" s="1"/>
  <c r="AE56" i="32"/>
  <c r="AO56" i="32"/>
  <c r="T55" i="32"/>
  <c r="AL41" i="32"/>
  <c r="AO42" i="32"/>
  <c r="AO45" i="32"/>
  <c r="AG41" i="32"/>
  <c r="T54" i="32"/>
  <c r="Y39" i="32"/>
  <c r="AL24" i="32"/>
  <c r="AJ42" i="32"/>
  <c r="Q54" i="32"/>
  <c r="AT56" i="32"/>
  <c r="AT42" i="32"/>
  <c r="T56" i="32"/>
  <c r="AT55" i="32"/>
  <c r="AT52" i="32"/>
  <c r="AL43" i="32"/>
  <c r="AT41" i="32"/>
  <c r="T53" i="32"/>
  <c r="T48" i="32" s="1"/>
  <c r="AT24" i="32"/>
  <c r="Q43" i="32"/>
  <c r="AM44" i="32"/>
  <c r="AL40" i="32"/>
  <c r="AO50" i="32"/>
  <c r="AL56" i="32"/>
  <c r="AO54" i="32"/>
  <c r="AO65" i="32" s="1"/>
  <c r="AO53" i="32"/>
  <c r="AO41" i="32"/>
  <c r="AO44" i="32"/>
  <c r="AL53" i="32"/>
  <c r="AO40" i="32"/>
  <c r="T45" i="32"/>
  <c r="AO52" i="32"/>
  <c r="AO39" i="32"/>
  <c r="AL42" i="32"/>
  <c r="AL37" i="32" s="1"/>
  <c r="AO51" i="32"/>
  <c r="AG51" i="32"/>
  <c r="AL51" i="32"/>
  <c r="AL52" i="32"/>
  <c r="AM40" i="32"/>
  <c r="AM45" i="32"/>
  <c r="AM41" i="32"/>
  <c r="AC24" i="32"/>
  <c r="AM54" i="32"/>
  <c r="Q51" i="32"/>
  <c r="AC54" i="32"/>
  <c r="AC56" i="32"/>
  <c r="AM52" i="32"/>
  <c r="AM56" i="32"/>
  <c r="AK50" i="32"/>
  <c r="AC40" i="32"/>
  <c r="Q40" i="32"/>
  <c r="Q56" i="32"/>
  <c r="AS53" i="32"/>
  <c r="AK53" i="32"/>
  <c r="AS39" i="32"/>
  <c r="X40" i="32"/>
  <c r="AS45" i="32"/>
  <c r="AT51" i="32"/>
  <c r="AJ24" i="32"/>
  <c r="AJ52" i="32"/>
  <c r="T24" i="32"/>
  <c r="AJ41" i="32"/>
  <c r="AK40" i="32"/>
  <c r="AK51" i="32"/>
  <c r="AK44" i="32"/>
  <c r="AK42" i="32"/>
  <c r="AK64" i="32" s="1"/>
  <c r="AK43" i="32"/>
  <c r="Y53" i="32"/>
  <c r="AK24" i="32"/>
  <c r="AK55" i="32"/>
  <c r="AJ56" i="32"/>
  <c r="AG39" i="32"/>
  <c r="AG61" i="32" s="1"/>
  <c r="AJ53" i="32"/>
  <c r="Q39" i="32"/>
  <c r="AM43" i="32"/>
  <c r="AJ45" i="32"/>
  <c r="Y56" i="32"/>
  <c r="AJ55" i="32"/>
  <c r="AM24" i="32"/>
  <c r="AJ54" i="32"/>
  <c r="AG40" i="32"/>
  <c r="AJ39" i="32"/>
  <c r="AI40" i="32"/>
  <c r="AJ50" i="32"/>
  <c r="AJ43" i="32"/>
  <c r="AJ44" i="32"/>
  <c r="Y55" i="32"/>
  <c r="Y54" i="32"/>
  <c r="Y65" i="32" s="1"/>
  <c r="T44" i="32"/>
  <c r="Y40" i="32"/>
  <c r="AO55" i="32"/>
  <c r="AJ40" i="32"/>
  <c r="AJ62" i="32" s="1"/>
  <c r="AC53" i="32"/>
  <c r="AS52" i="32"/>
  <c r="T41" i="32"/>
  <c r="AM51" i="32"/>
  <c r="AS43" i="32"/>
  <c r="AS65" i="32" s="1"/>
  <c r="X53" i="32"/>
  <c r="AF44" i="32"/>
  <c r="AI43" i="32"/>
  <c r="AF53" i="32"/>
  <c r="U44" i="32"/>
  <c r="AI42" i="32"/>
  <c r="AI44" i="32"/>
  <c r="AP40" i="32"/>
  <c r="AF43" i="32"/>
  <c r="AF65" i="32" s="1"/>
  <c r="U24" i="32"/>
  <c r="AI45" i="32"/>
  <c r="AF56" i="32"/>
  <c r="AF45" i="32"/>
  <c r="AI55" i="32"/>
  <c r="AP51" i="32"/>
  <c r="AQ53" i="32"/>
  <c r="W40" i="32"/>
  <c r="U52" i="32"/>
  <c r="AI54" i="32"/>
  <c r="AI39" i="32"/>
  <c r="AI51" i="32"/>
  <c r="AI56" i="32"/>
  <c r="AH24" i="32"/>
  <c r="AF42" i="32"/>
  <c r="U53" i="32"/>
  <c r="U48" i="32" s="1"/>
  <c r="AI50" i="32"/>
  <c r="Z56" i="32"/>
  <c r="AH39" i="32"/>
  <c r="W43" i="32"/>
  <c r="Q44" i="32"/>
  <c r="AP24" i="32"/>
  <c r="Z40" i="32"/>
  <c r="AH45" i="32"/>
  <c r="AH40" i="32"/>
  <c r="AH50" i="32"/>
  <c r="AS55" i="32"/>
  <c r="Z45" i="32"/>
  <c r="Z41" i="32"/>
  <c r="T39" i="32"/>
  <c r="T61" i="32" s="1"/>
  <c r="AH41" i="32"/>
  <c r="T43" i="32"/>
  <c r="AR24" i="32"/>
  <c r="AP55" i="32"/>
  <c r="AK54" i="32"/>
  <c r="AO24" i="32"/>
  <c r="AP42" i="32"/>
  <c r="AP64" i="32" s="1"/>
  <c r="AH54" i="32"/>
  <c r="AH65" i="32" s="1"/>
  <c r="AH51" i="32"/>
  <c r="AS41" i="32"/>
  <c r="AH55" i="32"/>
  <c r="R52" i="32"/>
  <c r="R63" i="32" s="1"/>
  <c r="AS51" i="32"/>
  <c r="R40" i="32"/>
  <c r="AH52" i="32"/>
  <c r="R24" i="32"/>
  <c r="AS56" i="32"/>
  <c r="Z51" i="32"/>
  <c r="Z54" i="32"/>
  <c r="Z65" i="32" s="1"/>
  <c r="Z44" i="32"/>
  <c r="AP54" i="32"/>
  <c r="AQ54" i="32"/>
  <c r="AP43" i="32"/>
  <c r="AS24" i="32"/>
  <c r="R50" i="32"/>
  <c r="AR52" i="32"/>
  <c r="R53" i="32"/>
  <c r="W56" i="32"/>
  <c r="R39" i="32"/>
  <c r="Z53" i="32"/>
  <c r="AR40" i="32"/>
  <c r="AD54" i="32"/>
  <c r="AR42" i="32"/>
  <c r="AR64" i="32" s="1"/>
  <c r="Z52" i="32"/>
  <c r="AR41" i="32"/>
  <c r="Z42" i="32"/>
  <c r="Z39" i="32"/>
  <c r="AD45" i="32"/>
  <c r="AH44" i="32"/>
  <c r="AP56" i="32"/>
  <c r="AP50" i="32"/>
  <c r="AP48" i="32" s="1"/>
  <c r="W53" i="32"/>
  <c r="AH42" i="32"/>
  <c r="AS42" i="32"/>
  <c r="AP41" i="32"/>
  <c r="AP39" i="32"/>
  <c r="AQ43" i="32"/>
  <c r="AK56" i="32"/>
  <c r="U43" i="32"/>
  <c r="Z24" i="32"/>
  <c r="AH56" i="32"/>
  <c r="AP52" i="32"/>
  <c r="AF50" i="32"/>
  <c r="AS50" i="32"/>
  <c r="W42" i="32"/>
  <c r="AS44" i="32"/>
  <c r="AK39" i="32"/>
  <c r="W50" i="32"/>
  <c r="AS40" i="32"/>
  <c r="AQ52" i="32"/>
  <c r="AG54" i="32"/>
  <c r="AG43" i="32"/>
  <c r="AQ51" i="32"/>
  <c r="AQ62" i="32" s="1"/>
  <c r="W54" i="32"/>
  <c r="AQ24" i="32"/>
  <c r="AC42" i="32"/>
  <c r="U55" i="32"/>
  <c r="Z50" i="32"/>
  <c r="AH53" i="32"/>
  <c r="AK52" i="32"/>
  <c r="AK63" i="32" s="1"/>
  <c r="U56" i="32"/>
  <c r="AP44" i="32"/>
  <c r="AC41" i="32"/>
  <c r="AC63" i="32" s="1"/>
  <c r="AI41" i="32"/>
  <c r="W45" i="32"/>
  <c r="W44" i="32"/>
  <c r="Z55" i="32"/>
  <c r="AF51" i="32"/>
  <c r="AX40" i="32"/>
  <c r="AQ41" i="32"/>
  <c r="W51" i="32"/>
  <c r="W39" i="32"/>
  <c r="AQ45" i="32"/>
  <c r="W52" i="32"/>
  <c r="W63" i="32" s="1"/>
  <c r="W55" i="32"/>
  <c r="AQ42" i="32"/>
  <c r="W24" i="32"/>
  <c r="AG44" i="32"/>
  <c r="S44" i="32"/>
  <c r="X45" i="32"/>
  <c r="Y50" i="32"/>
  <c r="S42" i="32"/>
  <c r="S50" i="32"/>
  <c r="X51" i="32"/>
  <c r="U41" i="32"/>
  <c r="V50" i="32"/>
  <c r="AR39" i="32"/>
  <c r="AF41" i="32"/>
  <c r="Q24" i="32"/>
  <c r="Y44" i="32"/>
  <c r="AG24" i="32"/>
  <c r="V55" i="32"/>
  <c r="U51" i="32"/>
  <c r="AD55" i="32"/>
  <c r="U54" i="32"/>
  <c r="V45" i="32"/>
  <c r="AF40" i="32"/>
  <c r="S55" i="32"/>
  <c r="S51" i="32"/>
  <c r="S56" i="32"/>
  <c r="AP45" i="32"/>
  <c r="X50" i="32"/>
  <c r="X61" i="32" s="1"/>
  <c r="X54" i="32"/>
  <c r="S54" i="32"/>
  <c r="X42" i="32"/>
  <c r="X37" i="32" s="1"/>
  <c r="S52" i="32"/>
  <c r="S63" i="32" s="1"/>
  <c r="S24" i="32"/>
  <c r="X52" i="32"/>
  <c r="X55" i="32"/>
  <c r="X43" i="32"/>
  <c r="X41" i="32"/>
  <c r="S53" i="32"/>
  <c r="V39" i="32"/>
  <c r="X56" i="32"/>
  <c r="X24" i="32"/>
  <c r="V51" i="32"/>
  <c r="V40" i="32"/>
  <c r="V41" i="32"/>
  <c r="AU61" i="32"/>
  <c r="U45" i="32"/>
  <c r="S40" i="32"/>
  <c r="U42" i="32"/>
  <c r="AD50" i="32"/>
  <c r="AG53" i="32"/>
  <c r="AG48" i="32" s="1"/>
  <c r="U39" i="32"/>
  <c r="U61" i="32" s="1"/>
  <c r="AC43" i="32"/>
  <c r="V24" i="32"/>
  <c r="Q53" i="32"/>
  <c r="X44" i="32"/>
  <c r="Q41" i="32"/>
  <c r="AF55" i="32"/>
  <c r="AR44" i="32"/>
  <c r="S45" i="32"/>
  <c r="AD42" i="32"/>
  <c r="R42" i="32"/>
  <c r="R44" i="32"/>
  <c r="Q45" i="32"/>
  <c r="AC44" i="32"/>
  <c r="AC51" i="32"/>
  <c r="AF39" i="32"/>
  <c r="AR55" i="32"/>
  <c r="AQ50" i="32"/>
  <c r="AF24" i="32"/>
  <c r="AQ56" i="32"/>
  <c r="AD52" i="32"/>
  <c r="AD63" i="32" s="1"/>
  <c r="AG45" i="32"/>
  <c r="V44" i="32"/>
  <c r="Y41" i="32"/>
  <c r="AR43" i="32"/>
  <c r="Q55" i="32"/>
  <c r="AD40" i="32"/>
  <c r="AG56" i="32"/>
  <c r="R54" i="32"/>
  <c r="AC45" i="32"/>
  <c r="AR51" i="32"/>
  <c r="AG52" i="32"/>
  <c r="AC39" i="32"/>
  <c r="V53" i="32"/>
  <c r="Y45" i="32"/>
  <c r="Y67" i="32" s="1"/>
  <c r="AD44" i="32"/>
  <c r="V56" i="32"/>
  <c r="Q52" i="32"/>
  <c r="V52" i="32"/>
  <c r="AG42" i="32"/>
  <c r="V43" i="32"/>
  <c r="V65" i="32" s="1"/>
  <c r="AG55" i="32"/>
  <c r="S39" i="32"/>
  <c r="AR45" i="32"/>
  <c r="S43" i="32"/>
  <c r="AQ55" i="32"/>
  <c r="Y52" i="32"/>
  <c r="AF52" i="32"/>
  <c r="V42" i="32"/>
  <c r="AQ44" i="32"/>
  <c r="AD39" i="32"/>
  <c r="AC50" i="32"/>
  <c r="Y51" i="32"/>
  <c r="Q50" i="32"/>
  <c r="AQ39" i="32"/>
  <c r="AD53" i="32"/>
  <c r="AD24" i="32"/>
  <c r="AD51" i="32"/>
  <c r="R55" i="32"/>
  <c r="R56" i="32"/>
  <c r="R51" i="32"/>
  <c r="AD43" i="32"/>
  <c r="AD56" i="32"/>
  <c r="R45" i="32"/>
  <c r="R43" i="32"/>
  <c r="U40" i="32"/>
  <c r="Q42" i="32"/>
  <c r="AX44" i="32"/>
  <c r="AY10" i="32"/>
  <c r="AW42" i="32"/>
  <c r="AZ10" i="32"/>
  <c r="AX7" i="32"/>
  <c r="AX9" i="32"/>
  <c r="L66" i="32"/>
  <c r="K67" i="32"/>
  <c r="AX51" i="32"/>
  <c r="L63" i="32"/>
  <c r="M62" i="32"/>
  <c r="K62" i="32"/>
  <c r="J64" i="32"/>
  <c r="K37" i="32"/>
  <c r="L65" i="32"/>
  <c r="K61" i="32"/>
  <c r="I63" i="32"/>
  <c r="K64" i="32"/>
  <c r="H67" i="32"/>
  <c r="D48" i="32"/>
  <c r="AW56" i="32"/>
  <c r="P67" i="32"/>
  <c r="D62" i="32"/>
  <c r="C65" i="32"/>
  <c r="D67" i="32"/>
  <c r="C64" i="32"/>
  <c r="AU65" i="32"/>
  <c r="AU63" i="32"/>
  <c r="AX54" i="32"/>
  <c r="P48" i="32"/>
  <c r="AX56" i="32"/>
  <c r="M64" i="32"/>
  <c r="AW51" i="32"/>
  <c r="K63" i="32"/>
  <c r="C63" i="32"/>
  <c r="D63" i="32"/>
  <c r="P62" i="32"/>
  <c r="E48" i="32"/>
  <c r="M67" i="32"/>
  <c r="AN67" i="32"/>
  <c r="AN48" i="32"/>
  <c r="O48" i="32"/>
  <c r="G62" i="32"/>
  <c r="K66" i="32"/>
  <c r="H66" i="32"/>
  <c r="AU48" i="32"/>
  <c r="K48" i="32"/>
  <c r="H62" i="32"/>
  <c r="F67" i="32"/>
  <c r="AN63" i="32"/>
  <c r="E62" i="32"/>
  <c r="O64" i="32"/>
  <c r="M65" i="32"/>
  <c r="AX53" i="32"/>
  <c r="E67" i="32"/>
  <c r="J67" i="32"/>
  <c r="I65" i="32"/>
  <c r="N48" i="32"/>
  <c r="AU37" i="32"/>
  <c r="P66" i="32"/>
  <c r="I48" i="32"/>
  <c r="G48" i="32"/>
  <c r="F62" i="32"/>
  <c r="AN66" i="32"/>
  <c r="F66" i="32"/>
  <c r="F64" i="32"/>
  <c r="O65" i="32"/>
  <c r="F48" i="32"/>
  <c r="E64" i="32"/>
  <c r="AU62" i="32"/>
  <c r="C67" i="32"/>
  <c r="D65" i="32"/>
  <c r="AX50" i="32"/>
  <c r="E66" i="32"/>
  <c r="I66" i="32"/>
  <c r="N65" i="32"/>
  <c r="N62" i="32"/>
  <c r="AX39" i="32"/>
  <c r="M63" i="32"/>
  <c r="P65" i="32"/>
  <c r="C66" i="32"/>
  <c r="G64" i="32"/>
  <c r="D66" i="32"/>
  <c r="AX42" i="32"/>
  <c r="AW53" i="32"/>
  <c r="AA63" i="32"/>
  <c r="P64" i="32"/>
  <c r="N67" i="32"/>
  <c r="AU64" i="32"/>
  <c r="AX43" i="32"/>
  <c r="AU66" i="32"/>
  <c r="H65" i="32"/>
  <c r="AN65" i="32"/>
  <c r="AX52" i="32"/>
  <c r="I62" i="32"/>
  <c r="M48" i="32"/>
  <c r="F37" i="32"/>
  <c r="F61" i="32"/>
  <c r="AA66" i="32"/>
  <c r="AW44" i="32"/>
  <c r="L61" i="32"/>
  <c r="L37" i="32"/>
  <c r="J66" i="32"/>
  <c r="G67" i="32"/>
  <c r="J37" i="32"/>
  <c r="J61" i="32"/>
  <c r="AN64" i="32"/>
  <c r="N66" i="32"/>
  <c r="E61" i="32"/>
  <c r="E37" i="32"/>
  <c r="AU67" i="32"/>
  <c r="AX45" i="32"/>
  <c r="D64" i="32"/>
  <c r="AA48" i="32"/>
  <c r="AW50" i="32"/>
  <c r="G66" i="32"/>
  <c r="J65" i="32"/>
  <c r="H37" i="32"/>
  <c r="H64" i="32"/>
  <c r="C61" i="32"/>
  <c r="C37" i="32"/>
  <c r="J63" i="32"/>
  <c r="AW52" i="32"/>
  <c r="J48" i="32"/>
  <c r="O63" i="32"/>
  <c r="G37" i="32"/>
  <c r="G61" i="32"/>
  <c r="I61" i="32"/>
  <c r="AW39" i="32"/>
  <c r="AA37" i="32"/>
  <c r="AA61" i="32"/>
  <c r="F65" i="32"/>
  <c r="H63" i="32"/>
  <c r="AA64" i="32"/>
  <c r="M61" i="32"/>
  <c r="M37" i="32"/>
  <c r="AA65" i="32"/>
  <c r="AW43" i="32"/>
  <c r="N63" i="32"/>
  <c r="I37" i="32"/>
  <c r="D61" i="32"/>
  <c r="D37" i="32"/>
  <c r="L67" i="32"/>
  <c r="AW54" i="32"/>
  <c r="AW41" i="32"/>
  <c r="P63" i="32"/>
  <c r="AX41" i="32"/>
  <c r="O61" i="32"/>
  <c r="O37" i="32"/>
  <c r="G65" i="32"/>
  <c r="L62" i="32"/>
  <c r="P61" i="32"/>
  <c r="P37" i="32"/>
  <c r="N61" i="32"/>
  <c r="N37" i="32"/>
  <c r="AW45" i="32"/>
  <c r="AA67" i="32"/>
  <c r="AW40" i="32"/>
  <c r="AA62" i="32"/>
  <c r="O62" i="32"/>
  <c r="O67" i="32"/>
  <c r="I67" i="32"/>
  <c r="AN61" i="32"/>
  <c r="AN37" i="32"/>
  <c r="C48" i="32"/>
  <c r="N64" i="32"/>
  <c r="E63" i="32"/>
  <c r="P94" i="16"/>
  <c r="P98" i="16" s="1"/>
  <c r="P29" i="16"/>
  <c r="P33" i="16" s="1"/>
  <c r="O120" i="16"/>
  <c r="O124" i="16" s="1"/>
  <c r="P16" i="16"/>
  <c r="P20" i="16" s="1"/>
  <c r="P68" i="16"/>
  <c r="P72" i="16" s="1"/>
  <c r="Q98" i="16"/>
  <c r="R29" i="16"/>
  <c r="R33" i="16" s="1"/>
  <c r="S70" i="16"/>
  <c r="S122" i="16"/>
  <c r="P124" i="16"/>
  <c r="S66" i="16"/>
  <c r="S123" i="16"/>
  <c r="S32" i="16"/>
  <c r="R94" i="16"/>
  <c r="R98" i="16" s="1"/>
  <c r="O111" i="16"/>
  <c r="R81" i="16"/>
  <c r="S81" i="16" s="1"/>
  <c r="S92" i="16"/>
  <c r="S102" i="16"/>
  <c r="S97" i="16"/>
  <c r="S109" i="16"/>
  <c r="Q124" i="16"/>
  <c r="S67" i="16"/>
  <c r="R68" i="16"/>
  <c r="R72" i="16" s="1"/>
  <c r="S71" i="16"/>
  <c r="O85" i="16"/>
  <c r="S83" i="16"/>
  <c r="S95" i="16"/>
  <c r="Q111" i="16"/>
  <c r="S118" i="16"/>
  <c r="S119" i="16"/>
  <c r="R120" i="16"/>
  <c r="R124" i="16" s="1"/>
  <c r="P85" i="16"/>
  <c r="Q33" i="16"/>
  <c r="O72" i="16"/>
  <c r="S105" i="16"/>
  <c r="S108" i="16"/>
  <c r="S110" i="16"/>
  <c r="S121" i="16"/>
  <c r="S80" i="16"/>
  <c r="S93" i="16"/>
  <c r="O20" i="16"/>
  <c r="S84" i="16"/>
  <c r="S79" i="16"/>
  <c r="S89" i="16"/>
  <c r="S96" i="16"/>
  <c r="R107" i="16"/>
  <c r="R111" i="16" s="1"/>
  <c r="S69" i="16"/>
  <c r="Q72" i="16"/>
  <c r="Q85" i="16"/>
  <c r="S106" i="16"/>
  <c r="S63" i="16"/>
  <c r="S115" i="16"/>
  <c r="S76" i="16"/>
  <c r="S82" i="16"/>
  <c r="O94" i="16"/>
  <c r="P107" i="16"/>
  <c r="P111" i="16" s="1"/>
  <c r="S15" i="16"/>
  <c r="S18" i="16"/>
  <c r="S30" i="16"/>
  <c r="R16" i="16"/>
  <c r="R20" i="16" s="1"/>
  <c r="S19" i="16"/>
  <c r="S27" i="16"/>
  <c r="S28" i="16"/>
  <c r="O29" i="16"/>
  <c r="O33" i="16" s="1"/>
  <c r="S14" i="16"/>
  <c r="Q20" i="16"/>
  <c r="S17" i="16"/>
  <c r="S31" i="16"/>
  <c r="S24" i="16"/>
  <c r="S11" i="16"/>
  <c r="H16" i="31"/>
  <c r="H42" i="31"/>
  <c r="H55" i="31"/>
  <c r="H68" i="31"/>
  <c r="H81" i="31"/>
  <c r="G15" i="31"/>
  <c r="F15" i="31"/>
  <c r="E15" i="31"/>
  <c r="D15" i="31"/>
  <c r="C15" i="31"/>
  <c r="F13" i="31"/>
  <c r="D13" i="31"/>
  <c r="G12" i="31"/>
  <c r="F12" i="31"/>
  <c r="D12" i="31"/>
  <c r="C12" i="31"/>
  <c r="F10" i="31"/>
  <c r="D10" i="31"/>
  <c r="C10" i="31"/>
  <c r="C9" i="31"/>
  <c r="F8" i="31"/>
  <c r="D8" i="31"/>
  <c r="G28" i="31"/>
  <c r="F28" i="31"/>
  <c r="E28" i="31"/>
  <c r="D28" i="31"/>
  <c r="C28" i="31"/>
  <c r="F26" i="31"/>
  <c r="D26" i="31"/>
  <c r="G25" i="31"/>
  <c r="F25" i="31"/>
  <c r="D25" i="31"/>
  <c r="C25" i="31"/>
  <c r="F23" i="31"/>
  <c r="D23" i="31"/>
  <c r="C23" i="31"/>
  <c r="C22" i="31"/>
  <c r="F21" i="31"/>
  <c r="D21" i="31"/>
  <c r="G41" i="31"/>
  <c r="F41" i="31"/>
  <c r="E41" i="31"/>
  <c r="D41" i="31"/>
  <c r="C41" i="31"/>
  <c r="F39" i="31"/>
  <c r="D39" i="31"/>
  <c r="G38" i="31"/>
  <c r="F38" i="31"/>
  <c r="D38" i="31"/>
  <c r="C38" i="31"/>
  <c r="F36" i="31"/>
  <c r="D36" i="31"/>
  <c r="C36" i="31"/>
  <c r="C35" i="31"/>
  <c r="F34" i="31"/>
  <c r="D34" i="31"/>
  <c r="G54" i="31"/>
  <c r="F54" i="31"/>
  <c r="E54" i="31"/>
  <c r="D54" i="31"/>
  <c r="C54" i="31"/>
  <c r="F52" i="31"/>
  <c r="D52" i="31"/>
  <c r="G51" i="31"/>
  <c r="F51" i="31"/>
  <c r="D51" i="31"/>
  <c r="C51" i="31"/>
  <c r="F49" i="31"/>
  <c r="D49" i="31"/>
  <c r="C49" i="31"/>
  <c r="C48" i="31"/>
  <c r="F47" i="31"/>
  <c r="D47" i="31"/>
  <c r="G67" i="31"/>
  <c r="F67" i="31"/>
  <c r="E67" i="31"/>
  <c r="D67" i="31"/>
  <c r="C67" i="31"/>
  <c r="F65" i="31"/>
  <c r="D65" i="31"/>
  <c r="G64" i="31"/>
  <c r="F64" i="31"/>
  <c r="D64" i="31"/>
  <c r="C64" i="31"/>
  <c r="F62" i="31"/>
  <c r="D62" i="31"/>
  <c r="C62" i="31"/>
  <c r="C61" i="31"/>
  <c r="F60" i="31"/>
  <c r="D60" i="31"/>
  <c r="G80" i="31"/>
  <c r="F80" i="31"/>
  <c r="E80" i="31"/>
  <c r="D80" i="31"/>
  <c r="C80" i="31"/>
  <c r="F78" i="31"/>
  <c r="D78" i="31"/>
  <c r="G77" i="31"/>
  <c r="F77" i="31"/>
  <c r="D77" i="31"/>
  <c r="C77" i="31"/>
  <c r="F75" i="31"/>
  <c r="D75" i="31"/>
  <c r="C75" i="31"/>
  <c r="C74" i="31"/>
  <c r="F73" i="31"/>
  <c r="D73" i="31"/>
  <c r="T65" i="32" l="1"/>
  <c r="AE37" i="32"/>
  <c r="AE61" i="32"/>
  <c r="AI63" i="32"/>
  <c r="AE64" i="32"/>
  <c r="AE48" i="32"/>
  <c r="AK67" i="32"/>
  <c r="AE66" i="32"/>
  <c r="AL66" i="32"/>
  <c r="AB63" i="32"/>
  <c r="AG63" i="32"/>
  <c r="AT67" i="32"/>
  <c r="AB37" i="32"/>
  <c r="AE65" i="32"/>
  <c r="T62" i="32"/>
  <c r="AB62" i="32"/>
  <c r="AB67" i="32"/>
  <c r="AJ37" i="32"/>
  <c r="AB65" i="32"/>
  <c r="AT66" i="32"/>
  <c r="AT37" i="32"/>
  <c r="AT64" i="32"/>
  <c r="AL67" i="32"/>
  <c r="AB66" i="32"/>
  <c r="T63" i="32"/>
  <c r="AC65" i="32"/>
  <c r="AT65" i="32"/>
  <c r="AE63" i="32"/>
  <c r="AT61" i="32"/>
  <c r="AB64" i="32"/>
  <c r="AS61" i="32"/>
  <c r="AT62" i="32"/>
  <c r="AC66" i="32"/>
  <c r="AL65" i="32"/>
  <c r="AO67" i="32"/>
  <c r="Y37" i="32"/>
  <c r="AR67" i="32"/>
  <c r="AT63" i="32"/>
  <c r="S61" i="32"/>
  <c r="AL63" i="32"/>
  <c r="AL62" i="32"/>
  <c r="AG62" i="32"/>
  <c r="AM66" i="32"/>
  <c r="AJ64" i="32"/>
  <c r="AE67" i="32"/>
  <c r="AR65" i="32"/>
  <c r="Y64" i="32"/>
  <c r="Q67" i="32"/>
  <c r="AI64" i="32"/>
  <c r="AI48" i="32"/>
  <c r="AJ63" i="32"/>
  <c r="AM37" i="32"/>
  <c r="W64" i="32"/>
  <c r="AO48" i="32"/>
  <c r="AQ67" i="32"/>
  <c r="U67" i="32"/>
  <c r="AM64" i="32"/>
  <c r="Q65" i="32"/>
  <c r="AR61" i="32"/>
  <c r="U64" i="32"/>
  <c r="T66" i="32"/>
  <c r="AO63" i="32"/>
  <c r="AO62" i="32"/>
  <c r="AO61" i="32"/>
  <c r="AK66" i="32"/>
  <c r="AM63" i="32"/>
  <c r="AL64" i="32"/>
  <c r="Q62" i="32"/>
  <c r="AO64" i="32"/>
  <c r="AJ48" i="32"/>
  <c r="T67" i="32"/>
  <c r="Y61" i="32"/>
  <c r="AO37" i="32"/>
  <c r="AO66" i="32"/>
  <c r="AC67" i="32"/>
  <c r="T64" i="32"/>
  <c r="X62" i="32"/>
  <c r="AP61" i="32"/>
  <c r="AF67" i="32"/>
  <c r="AJ66" i="32"/>
  <c r="AL48" i="32"/>
  <c r="AK37" i="32"/>
  <c r="AF64" i="32"/>
  <c r="AJ65" i="32"/>
  <c r="AK48" i="32"/>
  <c r="AS37" i="32"/>
  <c r="AM62" i="32"/>
  <c r="AM67" i="32"/>
  <c r="AC48" i="32"/>
  <c r="X67" i="32"/>
  <c r="V48" i="32"/>
  <c r="AC64" i="32"/>
  <c r="R65" i="32"/>
  <c r="AG67" i="32"/>
  <c r="U66" i="32"/>
  <c r="AH37" i="32"/>
  <c r="AD67" i="32"/>
  <c r="AC62" i="32"/>
  <c r="AS48" i="32"/>
  <c r="AS67" i="32"/>
  <c r="AH63" i="32"/>
  <c r="Z37" i="32"/>
  <c r="AI65" i="32"/>
  <c r="AJ67" i="32"/>
  <c r="AS62" i="32"/>
  <c r="AR63" i="32"/>
  <c r="AP65" i="32"/>
  <c r="AM65" i="32"/>
  <c r="AK62" i="32"/>
  <c r="Z67" i="32"/>
  <c r="AG37" i="32"/>
  <c r="AF37" i="32"/>
  <c r="AH62" i="32"/>
  <c r="AI67" i="32"/>
  <c r="AD37" i="32"/>
  <c r="X65" i="32"/>
  <c r="S66" i="32"/>
  <c r="AJ61" i="32"/>
  <c r="AD65" i="32"/>
  <c r="AQ66" i="32"/>
  <c r="AF48" i="32"/>
  <c r="R61" i="32"/>
  <c r="AK65" i="32"/>
  <c r="R62" i="32"/>
  <c r="V37" i="32"/>
  <c r="W66" i="32"/>
  <c r="W65" i="32"/>
  <c r="AP63" i="32"/>
  <c r="AI66" i="32"/>
  <c r="AK61" i="32"/>
  <c r="Y48" i="32"/>
  <c r="AH61" i="32"/>
  <c r="Z64" i="32"/>
  <c r="AH67" i="32"/>
  <c r="AI62" i="32"/>
  <c r="T37" i="32"/>
  <c r="Q66" i="32"/>
  <c r="Y66" i="32"/>
  <c r="AI61" i="32"/>
  <c r="AP62" i="32"/>
  <c r="W67" i="32"/>
  <c r="V61" i="32"/>
  <c r="R48" i="32"/>
  <c r="AQ37" i="32"/>
  <c r="AF66" i="32"/>
  <c r="AS63" i="32"/>
  <c r="S37" i="32"/>
  <c r="Q61" i="32"/>
  <c r="W62" i="32"/>
  <c r="Y62" i="32"/>
  <c r="U37" i="32"/>
  <c r="AR66" i="32"/>
  <c r="V62" i="32"/>
  <c r="AQ63" i="32"/>
  <c r="Z61" i="32"/>
  <c r="AS66" i="32"/>
  <c r="Z66" i="32"/>
  <c r="AX10" i="32"/>
  <c r="AI37" i="32"/>
  <c r="X48" i="32"/>
  <c r="R64" i="32"/>
  <c r="AR37" i="32"/>
  <c r="AQ64" i="32"/>
  <c r="AG65" i="32"/>
  <c r="Z62" i="32"/>
  <c r="AF61" i="32"/>
  <c r="U63" i="32"/>
  <c r="AP66" i="32"/>
  <c r="AP67" i="32"/>
  <c r="AQ65" i="32"/>
  <c r="AH66" i="32"/>
  <c r="Z63" i="32"/>
  <c r="Q64" i="32"/>
  <c r="AR62" i="32"/>
  <c r="U65" i="32"/>
  <c r="W37" i="32"/>
  <c r="W48" i="32"/>
  <c r="AH64" i="32"/>
  <c r="X64" i="32"/>
  <c r="AF63" i="32"/>
  <c r="Z48" i="32"/>
  <c r="V66" i="32"/>
  <c r="AD61" i="32"/>
  <c r="X63" i="32"/>
  <c r="AS64" i="32"/>
  <c r="AP37" i="32"/>
  <c r="S65" i="32"/>
  <c r="AC61" i="32"/>
  <c r="AF62" i="32"/>
  <c r="AH48" i="32"/>
  <c r="R37" i="32"/>
  <c r="W61" i="32"/>
  <c r="Q63" i="32"/>
  <c r="V64" i="32"/>
  <c r="AD66" i="32"/>
  <c r="Y63" i="32"/>
  <c r="R66" i="32"/>
  <c r="S48" i="32"/>
  <c r="S67" i="32"/>
  <c r="S62" i="32"/>
  <c r="X66" i="32"/>
  <c r="AD48" i="32"/>
  <c r="S64" i="32"/>
  <c r="AD64" i="32"/>
  <c r="U62" i="32"/>
  <c r="AG66" i="32"/>
  <c r="AQ61" i="32"/>
  <c r="V63" i="32"/>
  <c r="AG64" i="32"/>
  <c r="V67" i="32"/>
  <c r="R67" i="32"/>
  <c r="AQ48" i="32"/>
  <c r="Q48" i="32"/>
  <c r="AC37" i="32"/>
  <c r="AD62" i="32"/>
  <c r="Q37" i="32"/>
  <c r="R85" i="16"/>
  <c r="S85" i="16" s="1"/>
  <c r="S120" i="16"/>
  <c r="S68" i="16"/>
  <c r="S94" i="16"/>
  <c r="S124" i="16"/>
  <c r="S33" i="16"/>
  <c r="S16" i="16"/>
  <c r="S20" i="16"/>
  <c r="S29" i="16"/>
  <c r="S111" i="16"/>
  <c r="S107" i="16"/>
  <c r="S72" i="16"/>
  <c r="O98" i="16"/>
  <c r="S98" i="16" s="1"/>
  <c r="H41" i="31"/>
  <c r="F126" i="16" l="1"/>
  <c r="C204" i="16" l="1"/>
  <c r="E5" i="13" l="1"/>
  <c r="F2" i="25" l="1"/>
  <c r="E2" i="25"/>
  <c r="E26" i="25" l="1"/>
  <c r="E28" i="25"/>
  <c r="E30" i="25"/>
  <c r="E32" i="25"/>
  <c r="E34" i="25"/>
  <c r="E36" i="25"/>
  <c r="E38" i="25"/>
  <c r="E40" i="25"/>
  <c r="E42" i="25"/>
  <c r="E44" i="25"/>
  <c r="E46" i="25"/>
  <c r="E48" i="25"/>
  <c r="E50" i="25"/>
  <c r="E52" i="25"/>
  <c r="E54" i="25"/>
  <c r="E56" i="25"/>
  <c r="E58" i="25"/>
  <c r="E60" i="25"/>
  <c r="E62" i="25"/>
  <c r="E64" i="25"/>
  <c r="E63" i="25"/>
  <c r="E27" i="25"/>
  <c r="E29" i="25"/>
  <c r="E31" i="25"/>
  <c r="E33" i="25"/>
  <c r="E35" i="25"/>
  <c r="E37" i="25"/>
  <c r="E39" i="25"/>
  <c r="E41" i="25"/>
  <c r="E43" i="25"/>
  <c r="E45" i="25"/>
  <c r="E47" i="25"/>
  <c r="E49" i="25"/>
  <c r="E51" i="25"/>
  <c r="E53" i="25"/>
  <c r="E55" i="25"/>
  <c r="E57" i="25"/>
  <c r="E59" i="25"/>
  <c r="E61" i="25"/>
  <c r="F63" i="25"/>
  <c r="F26" i="25"/>
  <c r="F28" i="25"/>
  <c r="F30" i="25"/>
  <c r="F32" i="25"/>
  <c r="F34" i="25"/>
  <c r="F36" i="25"/>
  <c r="F38" i="25"/>
  <c r="F40" i="25"/>
  <c r="F42" i="25"/>
  <c r="F44" i="25"/>
  <c r="F46" i="25"/>
  <c r="F48" i="25"/>
  <c r="F50" i="25"/>
  <c r="F52" i="25"/>
  <c r="F54" i="25"/>
  <c r="F56" i="25"/>
  <c r="F58" i="25"/>
  <c r="F60" i="25"/>
  <c r="F62" i="25"/>
  <c r="F64" i="25"/>
  <c r="F61" i="25"/>
  <c r="F59" i="25"/>
  <c r="F27" i="25"/>
  <c r="F29" i="25"/>
  <c r="F31" i="25"/>
  <c r="F33" i="25"/>
  <c r="F35" i="25"/>
  <c r="F37" i="25"/>
  <c r="F39" i="25"/>
  <c r="F41" i="25"/>
  <c r="F43" i="25"/>
  <c r="F45" i="25"/>
  <c r="F47" i="25"/>
  <c r="F49" i="25"/>
  <c r="F51" i="25"/>
  <c r="F53" i="25"/>
  <c r="F55" i="25"/>
  <c r="F57" i="25"/>
  <c r="B11" i="33"/>
  <c r="B10" i="33"/>
  <c r="B9" i="33"/>
  <c r="B8" i="33"/>
  <c r="B7" i="33"/>
  <c r="B6" i="33"/>
  <c r="B5" i="33"/>
  <c r="B4" i="33"/>
  <c r="A4" i="14"/>
  <c r="A26" i="25"/>
  <c r="A4" i="25"/>
  <c r="A3" i="31"/>
  <c r="A4" i="16"/>
  <c r="A31" i="13"/>
  <c r="A4" i="13"/>
  <c r="G76" i="31" l="1"/>
  <c r="G63" i="31"/>
  <c r="G50" i="31"/>
  <c r="G37" i="31"/>
  <c r="G24" i="31"/>
  <c r="C76" i="31"/>
  <c r="C50" i="31"/>
  <c r="C24" i="31"/>
  <c r="G11" i="31"/>
  <c r="C11" i="31"/>
  <c r="C19" i="31"/>
  <c r="G19" i="31"/>
  <c r="C72" i="31"/>
  <c r="C71" i="31" s="1"/>
  <c r="G71" i="31"/>
  <c r="G58" i="31"/>
  <c r="C58" i="31"/>
  <c r="G45" i="31"/>
  <c r="C45" i="31"/>
  <c r="G32" i="31"/>
  <c r="C32" i="31"/>
  <c r="G6" i="31"/>
  <c r="C6" i="31"/>
  <c r="G27" i="31" l="1"/>
  <c r="F63" i="31"/>
  <c r="F37" i="31"/>
  <c r="F76" i="31"/>
  <c r="G14" i="31"/>
  <c r="D24" i="31"/>
  <c r="G79" i="31"/>
  <c r="H80" i="31"/>
  <c r="D63" i="31"/>
  <c r="H54" i="31"/>
  <c r="F24" i="31"/>
  <c r="H67" i="31"/>
  <c r="D76" i="31"/>
  <c r="F50" i="31"/>
  <c r="C79" i="31"/>
  <c r="C53" i="31"/>
  <c r="H15" i="31"/>
  <c r="D37" i="31"/>
  <c r="G40" i="31"/>
  <c r="G53" i="31"/>
  <c r="H28" i="31"/>
  <c r="C14" i="31"/>
  <c r="F11" i="31"/>
  <c r="C27" i="31"/>
  <c r="G66" i="31"/>
  <c r="D11" i="31"/>
  <c r="C37" i="31"/>
  <c r="D50" i="31"/>
  <c r="C63" i="31"/>
  <c r="C40" i="31" l="1"/>
  <c r="C66" i="31"/>
  <c r="E70" i="25" l="1"/>
  <c r="E72" i="25"/>
  <c r="E79" i="25" l="1"/>
  <c r="E75" i="25"/>
  <c r="E78" i="25"/>
  <c r="E74" i="25"/>
  <c r="E91" i="25"/>
  <c r="E71" i="25"/>
  <c r="E82" i="25"/>
  <c r="E83" i="25"/>
  <c r="E81" i="25"/>
  <c r="E69" i="25"/>
  <c r="E106" i="25"/>
  <c r="E94" i="25"/>
  <c r="E105" i="25"/>
  <c r="E87" i="25"/>
  <c r="E95" i="25"/>
  <c r="F97" i="25"/>
  <c r="F80" i="25"/>
  <c r="G2" i="25"/>
  <c r="E103" i="25"/>
  <c r="E96" i="25"/>
  <c r="E100" i="25"/>
  <c r="E98" i="25"/>
  <c r="E93" i="25"/>
  <c r="E80" i="25"/>
  <c r="E76" i="25"/>
  <c r="E77" i="25"/>
  <c r="E101" i="25"/>
  <c r="E92" i="25"/>
  <c r="E99" i="25"/>
  <c r="E104" i="25"/>
  <c r="E102" i="25"/>
  <c r="E97" i="25"/>
  <c r="E68" i="25"/>
  <c r="E73" i="25"/>
  <c r="E84" i="25"/>
  <c r="E89" i="25" l="1"/>
  <c r="E4" i="25"/>
  <c r="F71" i="25"/>
  <c r="F95" i="25"/>
  <c r="G48" i="25"/>
  <c r="G43" i="25"/>
  <c r="G46" i="25"/>
  <c r="G51" i="25"/>
  <c r="G55" i="25"/>
  <c r="G59" i="25"/>
  <c r="G63" i="25"/>
  <c r="G47" i="25"/>
  <c r="G52" i="25"/>
  <c r="G56" i="25"/>
  <c r="G60" i="25"/>
  <c r="G64" i="25"/>
  <c r="G49" i="25"/>
  <c r="G57" i="25"/>
  <c r="G44" i="25"/>
  <c r="G50" i="25"/>
  <c r="G58" i="25"/>
  <c r="G61" i="25"/>
  <c r="G30" i="25"/>
  <c r="G34" i="25"/>
  <c r="G38" i="25"/>
  <c r="G42" i="25"/>
  <c r="G36" i="25"/>
  <c r="G40" i="25"/>
  <c r="G29" i="25"/>
  <c r="G33" i="25"/>
  <c r="G45" i="25"/>
  <c r="G62" i="25"/>
  <c r="G27" i="25"/>
  <c r="G31" i="25"/>
  <c r="G35" i="25"/>
  <c r="G39" i="25"/>
  <c r="G26" i="25"/>
  <c r="G53" i="25"/>
  <c r="G28" i="25"/>
  <c r="G32" i="25"/>
  <c r="G54" i="25"/>
  <c r="G37" i="25"/>
  <c r="G41" i="25"/>
  <c r="F74" i="25"/>
  <c r="F92" i="25"/>
  <c r="F82" i="25"/>
  <c r="F78" i="25"/>
  <c r="F75" i="25"/>
  <c r="F72" i="25"/>
  <c r="F100" i="25"/>
  <c r="F101" i="25"/>
  <c r="F105" i="25"/>
  <c r="F103" i="25"/>
  <c r="F98" i="25"/>
  <c r="F93" i="25"/>
  <c r="F96" i="25"/>
  <c r="F104" i="25"/>
  <c r="F91" i="25"/>
  <c r="F70" i="25"/>
  <c r="F83" i="25"/>
  <c r="F77" i="25"/>
  <c r="F69" i="25"/>
  <c r="F76" i="25"/>
  <c r="F79" i="25"/>
  <c r="F102" i="25"/>
  <c r="F73" i="25"/>
  <c r="F81" i="25"/>
  <c r="F84" i="25"/>
  <c r="F106" i="25"/>
  <c r="E90" i="25"/>
  <c r="E85" i="25"/>
  <c r="H2" i="25"/>
  <c r="F68" i="25"/>
  <c r="F99" i="25"/>
  <c r="F94" i="25"/>
  <c r="E88" i="25"/>
  <c r="E86" i="25"/>
  <c r="G4" i="25" l="1"/>
  <c r="G5" i="25" s="1"/>
  <c r="F86" i="25"/>
  <c r="F4" i="25"/>
  <c r="G78" i="25"/>
  <c r="F88" i="25"/>
  <c r="F87" i="25"/>
  <c r="F89" i="25"/>
  <c r="G75" i="25"/>
  <c r="H43" i="25"/>
  <c r="H44" i="25"/>
  <c r="H45" i="25"/>
  <c r="H46" i="25"/>
  <c r="H47" i="25"/>
  <c r="H48" i="25"/>
  <c r="H50" i="25"/>
  <c r="H51" i="25"/>
  <c r="H52" i="25"/>
  <c r="H53" i="25"/>
  <c r="H49" i="25"/>
  <c r="H26" i="25"/>
  <c r="H30" i="25"/>
  <c r="H34" i="25"/>
  <c r="H38" i="25"/>
  <c r="H42" i="25"/>
  <c r="H32" i="25"/>
  <c r="H40" i="25"/>
  <c r="H33" i="25"/>
  <c r="H54" i="25"/>
  <c r="H55" i="25"/>
  <c r="H56" i="25"/>
  <c r="H57" i="25"/>
  <c r="H58" i="25"/>
  <c r="H59" i="25"/>
  <c r="H60" i="25"/>
  <c r="H61" i="25"/>
  <c r="H62" i="25"/>
  <c r="H63" i="25"/>
  <c r="H64" i="25"/>
  <c r="H27" i="25"/>
  <c r="H31" i="25"/>
  <c r="H35" i="25"/>
  <c r="H39" i="25"/>
  <c r="H28" i="25"/>
  <c r="H36" i="25"/>
  <c r="H29" i="25"/>
  <c r="H37" i="25"/>
  <c r="H41" i="25"/>
  <c r="G97" i="25"/>
  <c r="G71" i="25"/>
  <c r="G81" i="25"/>
  <c r="G82" i="25"/>
  <c r="G69" i="25"/>
  <c r="G94" i="25"/>
  <c r="G84" i="25"/>
  <c r="G102" i="25"/>
  <c r="G92" i="25"/>
  <c r="G83" i="25"/>
  <c r="G99" i="25"/>
  <c r="G73" i="25"/>
  <c r="G80" i="25"/>
  <c r="G86" i="25"/>
  <c r="G105" i="25"/>
  <c r="G96" i="25"/>
  <c r="G103" i="25"/>
  <c r="G68" i="25"/>
  <c r="G77" i="25"/>
  <c r="G93" i="25"/>
  <c r="G106" i="25"/>
  <c r="G100" i="25"/>
  <c r="G91" i="25"/>
  <c r="G6" i="25" s="1"/>
  <c r="G70" i="25"/>
  <c r="I2" i="25"/>
  <c r="G72" i="25"/>
  <c r="G74" i="25"/>
  <c r="G76" i="25"/>
  <c r="G79" i="25"/>
  <c r="G98" i="25"/>
  <c r="G101" i="25"/>
  <c r="G88" i="25"/>
  <c r="G104" i="25"/>
  <c r="G95" i="25"/>
  <c r="F85" i="25"/>
  <c r="F90" i="25"/>
  <c r="H102" i="25" l="1"/>
  <c r="H4" i="25"/>
  <c r="H5" i="25" s="1"/>
  <c r="H91" i="25"/>
  <c r="H6" i="25" s="1"/>
  <c r="I43" i="25"/>
  <c r="I4" i="25" s="1"/>
  <c r="I5" i="25" s="1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44" i="25"/>
  <c r="I45" i="25"/>
  <c r="I46" i="25"/>
  <c r="I47" i="25"/>
  <c r="I48" i="25"/>
  <c r="I27" i="25"/>
  <c r="I32" i="25"/>
  <c r="I36" i="25"/>
  <c r="I49" i="25"/>
  <c r="I26" i="25"/>
  <c r="I31" i="25"/>
  <c r="I35" i="25"/>
  <c r="I39" i="25"/>
  <c r="I34" i="25"/>
  <c r="I29" i="25"/>
  <c r="I28" i="25"/>
  <c r="I33" i="25"/>
  <c r="I42" i="25"/>
  <c r="I30" i="25"/>
  <c r="I38" i="25"/>
  <c r="I41" i="25"/>
  <c r="I37" i="25"/>
  <c r="I40" i="25"/>
  <c r="G7" i="25"/>
  <c r="G8" i="25" s="1"/>
  <c r="G89" i="25"/>
  <c r="H95" i="25"/>
  <c r="H103" i="25"/>
  <c r="H72" i="25"/>
  <c r="H73" i="25"/>
  <c r="H80" i="25"/>
  <c r="H71" i="25"/>
  <c r="H81" i="25"/>
  <c r="H98" i="25"/>
  <c r="H105" i="25"/>
  <c r="H96" i="25"/>
  <c r="H79" i="25"/>
  <c r="H94" i="25"/>
  <c r="H99" i="25"/>
  <c r="H7" i="25" s="1"/>
  <c r="G87" i="25"/>
  <c r="H76" i="25"/>
  <c r="J2" i="25"/>
  <c r="H83" i="25"/>
  <c r="H70" i="25"/>
  <c r="H87" i="25"/>
  <c r="H93" i="25"/>
  <c r="H84" i="25"/>
  <c r="H100" i="25"/>
  <c r="H89" i="25"/>
  <c r="H86" i="25"/>
  <c r="H75" i="25"/>
  <c r="H69" i="25"/>
  <c r="H74" i="25"/>
  <c r="H97" i="25"/>
  <c r="H88" i="25"/>
  <c r="H104" i="25"/>
  <c r="H68" i="25"/>
  <c r="H78" i="25"/>
  <c r="H77" i="25"/>
  <c r="H82" i="25"/>
  <c r="H106" i="25"/>
  <c r="H101" i="25"/>
  <c r="H92" i="25"/>
  <c r="G85" i="25"/>
  <c r="G90" i="25"/>
  <c r="H8" i="25" l="1"/>
  <c r="I96" i="25"/>
  <c r="I103" i="25"/>
  <c r="J44" i="25"/>
  <c r="J45" i="25"/>
  <c r="J46" i="25"/>
  <c r="J47" i="25"/>
  <c r="J48" i="25"/>
  <c r="J49" i="25"/>
  <c r="J43" i="25"/>
  <c r="J4" i="25" s="1"/>
  <c r="J5" i="25" s="1"/>
  <c r="J26" i="25"/>
  <c r="J50" i="25"/>
  <c r="J51" i="25"/>
  <c r="J52" i="25"/>
  <c r="J53" i="25"/>
  <c r="J54" i="25"/>
  <c r="J55" i="25"/>
  <c r="J56" i="25"/>
  <c r="J57" i="25"/>
  <c r="J58" i="25"/>
  <c r="J59" i="25"/>
  <c r="J60" i="25"/>
  <c r="J61" i="25"/>
  <c r="J62" i="25"/>
  <c r="J63" i="25"/>
  <c r="J64" i="25"/>
  <c r="J28" i="25"/>
  <c r="J29" i="25"/>
  <c r="J33" i="25"/>
  <c r="J37" i="25"/>
  <c r="J27" i="25"/>
  <c r="J32" i="25"/>
  <c r="J36" i="25"/>
  <c r="J35" i="25"/>
  <c r="J40" i="25"/>
  <c r="J30" i="25"/>
  <c r="J34" i="25"/>
  <c r="J31" i="25"/>
  <c r="J39" i="25"/>
  <c r="J42" i="25"/>
  <c r="J38" i="25"/>
  <c r="J41" i="25"/>
  <c r="I91" i="25"/>
  <c r="I99" i="25"/>
  <c r="I94" i="25"/>
  <c r="I100" i="25"/>
  <c r="I104" i="25"/>
  <c r="I102" i="25"/>
  <c r="I97" i="25"/>
  <c r="I68" i="25"/>
  <c r="I73" i="25"/>
  <c r="I89" i="25"/>
  <c r="K2" i="25"/>
  <c r="I84" i="25"/>
  <c r="I82" i="25"/>
  <c r="I106" i="25"/>
  <c r="I101" i="25"/>
  <c r="I81" i="25"/>
  <c r="I80" i="25"/>
  <c r="I77" i="25"/>
  <c r="I74" i="25"/>
  <c r="I83" i="25"/>
  <c r="I87" i="25"/>
  <c r="I105" i="25"/>
  <c r="I69" i="25"/>
  <c r="I76" i="25"/>
  <c r="I78" i="25"/>
  <c r="I71" i="25"/>
  <c r="H85" i="25"/>
  <c r="H90" i="25"/>
  <c r="I79" i="25"/>
  <c r="I72" i="25"/>
  <c r="I70" i="25"/>
  <c r="I75" i="25"/>
  <c r="I92" i="25"/>
  <c r="I95" i="25"/>
  <c r="I98" i="25"/>
  <c r="I93" i="25"/>
  <c r="I18" i="25" l="1"/>
  <c r="J100" i="25"/>
  <c r="J95" i="25"/>
  <c r="J101" i="25"/>
  <c r="J97" i="25"/>
  <c r="J102" i="25"/>
  <c r="J91" i="25"/>
  <c r="J6" i="25" s="1"/>
  <c r="I16" i="25"/>
  <c r="I17" i="25"/>
  <c r="I7" i="25"/>
  <c r="I15" i="25"/>
  <c r="I6" i="25"/>
  <c r="I14" i="25"/>
  <c r="I13" i="25"/>
  <c r="J77" i="25"/>
  <c r="J73" i="25"/>
  <c r="J80" i="25"/>
  <c r="K44" i="25"/>
  <c r="K45" i="25"/>
  <c r="K46" i="25"/>
  <c r="K47" i="25"/>
  <c r="K48" i="25"/>
  <c r="K49" i="25"/>
  <c r="K27" i="25"/>
  <c r="K43" i="25"/>
  <c r="K4" i="25" s="1"/>
  <c r="K5" i="25" s="1"/>
  <c r="K26" i="25"/>
  <c r="K50" i="25"/>
  <c r="K51" i="25"/>
  <c r="K52" i="25"/>
  <c r="K53" i="25"/>
  <c r="K54" i="25"/>
  <c r="K55" i="25"/>
  <c r="K56" i="25"/>
  <c r="K57" i="25"/>
  <c r="K58" i="25"/>
  <c r="K59" i="25"/>
  <c r="K60" i="25"/>
  <c r="K61" i="25"/>
  <c r="K62" i="25"/>
  <c r="K63" i="25"/>
  <c r="K64" i="25"/>
  <c r="K30" i="25"/>
  <c r="K34" i="25"/>
  <c r="K38" i="25"/>
  <c r="K28" i="25"/>
  <c r="K29" i="25"/>
  <c r="K33" i="25"/>
  <c r="K37" i="25"/>
  <c r="K36" i="25"/>
  <c r="K41" i="25"/>
  <c r="K31" i="25"/>
  <c r="K35" i="25"/>
  <c r="K40" i="25"/>
  <c r="K32" i="25"/>
  <c r="K39" i="25"/>
  <c r="K42" i="25"/>
  <c r="I88" i="25"/>
  <c r="J78" i="25"/>
  <c r="J96" i="25"/>
  <c r="J93" i="25"/>
  <c r="J104" i="25"/>
  <c r="J92" i="25"/>
  <c r="J105" i="25"/>
  <c r="J68" i="25"/>
  <c r="J106" i="25"/>
  <c r="J89" i="25"/>
  <c r="J82" i="25"/>
  <c r="J74" i="25"/>
  <c r="J84" i="25"/>
  <c r="J72" i="25"/>
  <c r="J83" i="25"/>
  <c r="J99" i="25"/>
  <c r="J7" i="25" s="1"/>
  <c r="J94" i="25"/>
  <c r="I90" i="25"/>
  <c r="I85" i="25"/>
  <c r="J70" i="25"/>
  <c r="J81" i="25"/>
  <c r="L2" i="25"/>
  <c r="J75" i="25"/>
  <c r="J69" i="25"/>
  <c r="J71" i="25"/>
  <c r="J76" i="25"/>
  <c r="J79" i="25"/>
  <c r="J103" i="25"/>
  <c r="J98" i="25"/>
  <c r="I86" i="25"/>
  <c r="J8" i="25" l="1"/>
  <c r="I19" i="25"/>
  <c r="I8" i="25"/>
  <c r="K101" i="25"/>
  <c r="L43" i="25"/>
  <c r="L4" i="25" s="1"/>
  <c r="L5" i="25" s="1"/>
  <c r="L44" i="25"/>
  <c r="L45" i="25"/>
  <c r="L46" i="25"/>
  <c r="L47" i="25"/>
  <c r="L48" i="25"/>
  <c r="L49" i="25"/>
  <c r="L28" i="25"/>
  <c r="L31" i="25"/>
  <c r="L35" i="25"/>
  <c r="L39" i="25"/>
  <c r="L50" i="25"/>
  <c r="L51" i="25"/>
  <c r="L52" i="25"/>
  <c r="L53" i="25"/>
  <c r="L54" i="25"/>
  <c r="L55" i="25"/>
  <c r="L56" i="25"/>
  <c r="L57" i="25"/>
  <c r="L58" i="25"/>
  <c r="L59" i="25"/>
  <c r="L60" i="25"/>
  <c r="L61" i="25"/>
  <c r="L62" i="25"/>
  <c r="L63" i="25"/>
  <c r="L64" i="25"/>
  <c r="L30" i="25"/>
  <c r="L34" i="25"/>
  <c r="L38" i="25"/>
  <c r="L29" i="25"/>
  <c r="L37" i="25"/>
  <c r="L42" i="25"/>
  <c r="L32" i="25"/>
  <c r="L36" i="25"/>
  <c r="L41" i="25"/>
  <c r="L26" i="25"/>
  <c r="L27" i="25"/>
  <c r="L33" i="25"/>
  <c r="L40" i="25"/>
  <c r="K97" i="25"/>
  <c r="K104" i="25"/>
  <c r="K95" i="25"/>
  <c r="K93" i="25"/>
  <c r="K78" i="25"/>
  <c r="K72" i="25"/>
  <c r="K84" i="25"/>
  <c r="J87" i="25"/>
  <c r="K75" i="25"/>
  <c r="K76" i="25"/>
  <c r="K70" i="25"/>
  <c r="K81" i="25"/>
  <c r="K88" i="25"/>
  <c r="K98" i="25"/>
  <c r="K92" i="25"/>
  <c r="K83" i="25"/>
  <c r="K99" i="25"/>
  <c r="K7" i="25" s="1"/>
  <c r="J86" i="25"/>
  <c r="K68" i="25"/>
  <c r="K82" i="25"/>
  <c r="K74" i="25"/>
  <c r="K69" i="25"/>
  <c r="K106" i="25"/>
  <c r="K94" i="25"/>
  <c r="K102" i="25"/>
  <c r="K96" i="25"/>
  <c r="K103" i="25"/>
  <c r="K71" i="25"/>
  <c r="K77" i="25"/>
  <c r="J85" i="25"/>
  <c r="J90" i="25"/>
  <c r="M2" i="25"/>
  <c r="K79" i="25"/>
  <c r="K73" i="25"/>
  <c r="K80" i="25"/>
  <c r="K105" i="25"/>
  <c r="K100" i="25"/>
  <c r="K91" i="25"/>
  <c r="K6" i="25" s="1"/>
  <c r="J88" i="25"/>
  <c r="M43" i="25" l="1"/>
  <c r="M4" i="25" s="1"/>
  <c r="M5" i="25" s="1"/>
  <c r="M50" i="25"/>
  <c r="M51" i="25"/>
  <c r="M52" i="25"/>
  <c r="M53" i="25"/>
  <c r="M54" i="25"/>
  <c r="M55" i="25"/>
  <c r="M56" i="25"/>
  <c r="M57" i="25"/>
  <c r="M58" i="25"/>
  <c r="M59" i="25"/>
  <c r="M60" i="25"/>
  <c r="M61" i="25"/>
  <c r="M62" i="25"/>
  <c r="M63" i="25"/>
  <c r="M64" i="25"/>
  <c r="M49" i="25"/>
  <c r="M45" i="25"/>
  <c r="M47" i="25"/>
  <c r="M32" i="25"/>
  <c r="M36" i="25"/>
  <c r="M31" i="25"/>
  <c r="M35" i="25"/>
  <c r="M46" i="25"/>
  <c r="M30" i="25"/>
  <c r="M38" i="25"/>
  <c r="M39" i="25"/>
  <c r="M26" i="25"/>
  <c r="M27" i="25"/>
  <c r="M33" i="25"/>
  <c r="M40" i="25"/>
  <c r="M29" i="25"/>
  <c r="M37" i="25"/>
  <c r="M42" i="25"/>
  <c r="M44" i="25"/>
  <c r="M48" i="25"/>
  <c r="M28" i="25"/>
  <c r="M34" i="25"/>
  <c r="M41" i="25"/>
  <c r="K8" i="25"/>
  <c r="L78" i="25"/>
  <c r="L77" i="25"/>
  <c r="L74" i="25"/>
  <c r="L81" i="25"/>
  <c r="K89" i="25"/>
  <c r="L105" i="25"/>
  <c r="L96" i="25"/>
  <c r="K87" i="25"/>
  <c r="L68" i="25"/>
  <c r="L80" i="25"/>
  <c r="L71" i="25"/>
  <c r="L73" i="25"/>
  <c r="L79" i="25"/>
  <c r="L91" i="25"/>
  <c r="L6" i="25" s="1"/>
  <c r="L87" i="25"/>
  <c r="L93" i="25"/>
  <c r="L84" i="25"/>
  <c r="L72" i="25"/>
  <c r="L95" i="25"/>
  <c r="L75" i="25"/>
  <c r="N2" i="25"/>
  <c r="L83" i="25"/>
  <c r="L99" i="25"/>
  <c r="L7" i="25" s="1"/>
  <c r="L94" i="25"/>
  <c r="L97" i="25"/>
  <c r="L88" i="25"/>
  <c r="L104" i="25"/>
  <c r="L76" i="25"/>
  <c r="L69" i="25"/>
  <c r="L82" i="25"/>
  <c r="L70" i="25"/>
  <c r="L98" i="25"/>
  <c r="L102" i="25"/>
  <c r="L103" i="25"/>
  <c r="L101" i="25"/>
  <c r="L92" i="25"/>
  <c r="K85" i="25"/>
  <c r="K90" i="25"/>
  <c r="L106" i="25"/>
  <c r="L100" i="25"/>
  <c r="K86" i="25"/>
  <c r="M93" i="25" l="1"/>
  <c r="M69" i="25"/>
  <c r="M98" i="25"/>
  <c r="M94" i="25"/>
  <c r="M74" i="25"/>
  <c r="M70" i="25"/>
  <c r="N43" i="25"/>
  <c r="N4" i="25" s="1"/>
  <c r="N5" i="25" s="1"/>
  <c r="N50" i="25"/>
  <c r="N51" i="25"/>
  <c r="N52" i="25"/>
  <c r="N26" i="25"/>
  <c r="N53" i="25"/>
  <c r="N54" i="25"/>
  <c r="N55" i="25"/>
  <c r="N56" i="25"/>
  <c r="N57" i="25"/>
  <c r="N58" i="25"/>
  <c r="N59" i="25"/>
  <c r="N60" i="25"/>
  <c r="N61" i="25"/>
  <c r="N62" i="25"/>
  <c r="N63" i="25"/>
  <c r="N64" i="25"/>
  <c r="N27" i="25"/>
  <c r="N29" i="25"/>
  <c r="N33" i="25"/>
  <c r="N37" i="25"/>
  <c r="N45" i="25"/>
  <c r="N47" i="25"/>
  <c r="N32" i="25"/>
  <c r="N36" i="25"/>
  <c r="N31" i="25"/>
  <c r="N40" i="25"/>
  <c r="N42" i="25"/>
  <c r="N48" i="25"/>
  <c r="N34" i="25"/>
  <c r="N41" i="25"/>
  <c r="N46" i="25"/>
  <c r="N30" i="25"/>
  <c r="N38" i="25"/>
  <c r="N39" i="25"/>
  <c r="N49" i="25"/>
  <c r="N35" i="25"/>
  <c r="N44" i="25"/>
  <c r="N28" i="25"/>
  <c r="M91" i="25"/>
  <c r="M6" i="25" s="1"/>
  <c r="M80" i="25"/>
  <c r="M75" i="25"/>
  <c r="M99" i="25"/>
  <c r="M7" i="25" s="1"/>
  <c r="L8" i="25"/>
  <c r="M77" i="25"/>
  <c r="M83" i="25"/>
  <c r="M96" i="25"/>
  <c r="M103" i="25"/>
  <c r="M95" i="25"/>
  <c r="M92" i="25"/>
  <c r="M100" i="25"/>
  <c r="M82" i="25"/>
  <c r="M84" i="25"/>
  <c r="M72" i="25"/>
  <c r="M87" i="25"/>
  <c r="M104" i="25"/>
  <c r="M102" i="25"/>
  <c r="M97" i="25"/>
  <c r="L85" i="25"/>
  <c r="L90" i="25"/>
  <c r="M68" i="25"/>
  <c r="M79" i="25"/>
  <c r="O2" i="25"/>
  <c r="M106" i="25"/>
  <c r="M101" i="25"/>
  <c r="L86" i="25"/>
  <c r="L89" i="25"/>
  <c r="M73" i="25"/>
  <c r="M76" i="25"/>
  <c r="M81" i="25"/>
  <c r="M71" i="25"/>
  <c r="M78" i="25"/>
  <c r="M105" i="25"/>
  <c r="N77" i="25" l="1"/>
  <c r="N81" i="25"/>
  <c r="N71" i="25"/>
  <c r="N95" i="25"/>
  <c r="N91" i="25"/>
  <c r="N6" i="25" s="1"/>
  <c r="N105" i="25"/>
  <c r="N96" i="25"/>
  <c r="N93" i="25"/>
  <c r="O44" i="25"/>
  <c r="O45" i="25"/>
  <c r="O46" i="25"/>
  <c r="O47" i="25"/>
  <c r="O48" i="25"/>
  <c r="O49" i="25"/>
  <c r="O27" i="25"/>
  <c r="O50" i="25"/>
  <c r="O51" i="25"/>
  <c r="O52" i="25"/>
  <c r="O26" i="25"/>
  <c r="O43" i="25"/>
  <c r="O4" i="25" s="1"/>
  <c r="O5" i="25" s="1"/>
  <c r="O28" i="25"/>
  <c r="O30" i="25"/>
  <c r="O34" i="25"/>
  <c r="O38" i="25"/>
  <c r="O29" i="25"/>
  <c r="O33" i="25"/>
  <c r="O37" i="25"/>
  <c r="O32" i="25"/>
  <c r="O41" i="25"/>
  <c r="O35" i="25"/>
  <c r="O42" i="25"/>
  <c r="O31" i="25"/>
  <c r="O40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36" i="25"/>
  <c r="O39" i="25"/>
  <c r="M8" i="25"/>
  <c r="M89" i="25"/>
  <c r="M88" i="25"/>
  <c r="N84" i="25"/>
  <c r="N78" i="25"/>
  <c r="N70" i="25"/>
  <c r="N69" i="25"/>
  <c r="N76" i="25"/>
  <c r="N83" i="25"/>
  <c r="N75" i="25"/>
  <c r="N74" i="25"/>
  <c r="N92" i="25"/>
  <c r="N101" i="25"/>
  <c r="N97" i="25"/>
  <c r="N99" i="25"/>
  <c r="N7" i="25" s="1"/>
  <c r="N100" i="25"/>
  <c r="N72" i="25"/>
  <c r="N79" i="25"/>
  <c r="N104" i="25"/>
  <c r="N103" i="25"/>
  <c r="N98" i="25"/>
  <c r="N89" i="25"/>
  <c r="N102" i="25"/>
  <c r="M90" i="25"/>
  <c r="M85" i="25"/>
  <c r="P2" i="25"/>
  <c r="N73" i="25"/>
  <c r="N80" i="25"/>
  <c r="N106" i="25"/>
  <c r="M86" i="25"/>
  <c r="N87" i="25"/>
  <c r="N68" i="25"/>
  <c r="N82" i="25"/>
  <c r="N94" i="25"/>
  <c r="O84" i="25" l="1"/>
  <c r="O71" i="25"/>
  <c r="O76" i="25"/>
  <c r="N8" i="25"/>
  <c r="O83" i="25"/>
  <c r="O77" i="25"/>
  <c r="O94" i="25"/>
  <c r="O72" i="25"/>
  <c r="P44" i="25"/>
  <c r="P45" i="25"/>
  <c r="P46" i="25"/>
  <c r="P47" i="25"/>
  <c r="P48" i="25"/>
  <c r="P49" i="25"/>
  <c r="P28" i="25"/>
  <c r="P26" i="25"/>
  <c r="P31" i="25"/>
  <c r="P35" i="25"/>
  <c r="P39" i="25"/>
  <c r="P43" i="25"/>
  <c r="P4" i="25" s="1"/>
  <c r="P5" i="25" s="1"/>
  <c r="P27" i="25"/>
  <c r="P30" i="25"/>
  <c r="P34" i="25"/>
  <c r="P38" i="25"/>
  <c r="P50" i="25"/>
  <c r="P52" i="25"/>
  <c r="P33" i="25"/>
  <c r="P42" i="25"/>
  <c r="P36" i="25"/>
  <c r="P32" i="25"/>
  <c r="P41" i="25"/>
  <c r="P51" i="25"/>
  <c r="P29" i="25"/>
  <c r="P37" i="25"/>
  <c r="P40" i="25"/>
  <c r="P53" i="25"/>
  <c r="P54" i="25"/>
  <c r="P55" i="25"/>
  <c r="P56" i="25"/>
  <c r="P57" i="25"/>
  <c r="P58" i="25"/>
  <c r="P59" i="25"/>
  <c r="P60" i="25"/>
  <c r="P61" i="25"/>
  <c r="P62" i="25"/>
  <c r="P63" i="25"/>
  <c r="P64" i="25"/>
  <c r="O70" i="25"/>
  <c r="O78" i="25"/>
  <c r="Q2" i="25"/>
  <c r="O101" i="25"/>
  <c r="O103" i="25"/>
  <c r="N90" i="25"/>
  <c r="N85" i="25"/>
  <c r="O99" i="25"/>
  <c r="O7" i="25" s="1"/>
  <c r="O102" i="25"/>
  <c r="O96" i="25"/>
  <c r="O82" i="25"/>
  <c r="O75" i="25"/>
  <c r="O74" i="25"/>
  <c r="O69" i="25"/>
  <c r="O97" i="25"/>
  <c r="O105" i="25"/>
  <c r="O106" i="25"/>
  <c r="O100" i="25"/>
  <c r="O91" i="25"/>
  <c r="O6" i="25" s="1"/>
  <c r="N86" i="25"/>
  <c r="O92" i="25"/>
  <c r="O98" i="25"/>
  <c r="O68" i="25"/>
  <c r="O79" i="25"/>
  <c r="O81" i="25"/>
  <c r="O73" i="25"/>
  <c r="O80" i="25"/>
  <c r="O93" i="25"/>
  <c r="O104" i="25"/>
  <c r="O95" i="25"/>
  <c r="N88" i="25"/>
  <c r="P91" i="25" l="1"/>
  <c r="P6" i="25" s="1"/>
  <c r="P94" i="25"/>
  <c r="O8" i="25"/>
  <c r="Q43" i="25"/>
  <c r="Q4" i="25" s="1"/>
  <c r="Q5" i="25" s="1"/>
  <c r="Q50" i="25"/>
  <c r="Q51" i="25"/>
  <c r="Q52" i="25"/>
  <c r="Q44" i="25"/>
  <c r="Q45" i="25"/>
  <c r="Q46" i="25"/>
  <c r="Q47" i="25"/>
  <c r="Q48" i="25"/>
  <c r="Q53" i="25"/>
  <c r="Q54" i="25"/>
  <c r="Q55" i="25"/>
  <c r="Q56" i="25"/>
  <c r="Q57" i="25"/>
  <c r="Q58" i="25"/>
  <c r="Q59" i="25"/>
  <c r="Q60" i="25"/>
  <c r="Q61" i="25"/>
  <c r="Q62" i="25"/>
  <c r="Q63" i="25"/>
  <c r="Q64" i="25"/>
  <c r="Q32" i="25"/>
  <c r="Q36" i="25"/>
  <c r="Q26" i="25"/>
  <c r="Q28" i="25"/>
  <c r="Q31" i="25"/>
  <c r="Q35" i="25"/>
  <c r="Q27" i="25"/>
  <c r="Q34" i="25"/>
  <c r="Q37" i="25"/>
  <c r="Q39" i="25"/>
  <c r="Q33" i="25"/>
  <c r="Q42" i="25"/>
  <c r="Q30" i="25"/>
  <c r="Q38" i="25"/>
  <c r="Q41" i="25"/>
  <c r="Q49" i="25"/>
  <c r="Q29" i="25"/>
  <c r="Q40" i="25"/>
  <c r="P92" i="25"/>
  <c r="P98" i="25"/>
  <c r="P106" i="25"/>
  <c r="P101" i="25"/>
  <c r="O85" i="25"/>
  <c r="O90" i="25"/>
  <c r="P86" i="25"/>
  <c r="P80" i="25"/>
  <c r="P74" i="25"/>
  <c r="P95" i="25"/>
  <c r="P99" i="25"/>
  <c r="P7" i="25" s="1"/>
  <c r="P105" i="25"/>
  <c r="P96" i="25"/>
  <c r="P70" i="25"/>
  <c r="O86" i="25"/>
  <c r="O89" i="25"/>
  <c r="O87" i="25"/>
  <c r="P75" i="25"/>
  <c r="O88" i="25"/>
  <c r="P73" i="25"/>
  <c r="P76" i="25"/>
  <c r="P79" i="25"/>
  <c r="R2" i="25"/>
  <c r="P83" i="25"/>
  <c r="P102" i="25"/>
  <c r="P93" i="25"/>
  <c r="P84" i="25"/>
  <c r="P100" i="25"/>
  <c r="P68" i="25"/>
  <c r="P78" i="25"/>
  <c r="P69" i="25"/>
  <c r="P72" i="25"/>
  <c r="P77" i="25"/>
  <c r="P82" i="25"/>
  <c r="P71" i="25"/>
  <c r="P81" i="25"/>
  <c r="P103" i="25"/>
  <c r="P97" i="25"/>
  <c r="P104" i="25"/>
  <c r="P8" i="25" l="1"/>
  <c r="Q92" i="25"/>
  <c r="Q103" i="25"/>
  <c r="Q73" i="25"/>
  <c r="Q69" i="25"/>
  <c r="R43" i="25"/>
  <c r="R4" i="25" s="1"/>
  <c r="R5" i="25" s="1"/>
  <c r="R44" i="25"/>
  <c r="R45" i="25"/>
  <c r="R46" i="25"/>
  <c r="R47" i="25"/>
  <c r="R48" i="25"/>
  <c r="R49" i="25"/>
  <c r="R26" i="25"/>
  <c r="R53" i="25"/>
  <c r="R54" i="25"/>
  <c r="R55" i="25"/>
  <c r="R56" i="25"/>
  <c r="R57" i="25"/>
  <c r="R58" i="25"/>
  <c r="R59" i="25"/>
  <c r="R60" i="25"/>
  <c r="R61" i="25"/>
  <c r="R62" i="25"/>
  <c r="R63" i="25"/>
  <c r="R64" i="25"/>
  <c r="R29" i="25"/>
  <c r="R33" i="25"/>
  <c r="R37" i="25"/>
  <c r="R32" i="25"/>
  <c r="R36" i="25"/>
  <c r="R28" i="25"/>
  <c r="R35" i="25"/>
  <c r="R39" i="25"/>
  <c r="R40" i="25"/>
  <c r="R51" i="25"/>
  <c r="R38" i="25"/>
  <c r="R50" i="25"/>
  <c r="R52" i="25"/>
  <c r="R27" i="25"/>
  <c r="R34" i="25"/>
  <c r="R31" i="25"/>
  <c r="R42" i="25"/>
  <c r="R30" i="25"/>
  <c r="R41" i="25"/>
  <c r="Q70" i="25"/>
  <c r="Q100" i="25"/>
  <c r="Q94" i="25"/>
  <c r="Q91" i="25"/>
  <c r="Q6" i="25" s="1"/>
  <c r="Q96" i="25"/>
  <c r="Q99" i="25"/>
  <c r="Q7" i="25" s="1"/>
  <c r="Q104" i="25"/>
  <c r="Q76" i="25"/>
  <c r="Q77" i="25"/>
  <c r="Q80" i="25"/>
  <c r="Q83" i="25"/>
  <c r="Q74" i="25"/>
  <c r="Q71" i="25"/>
  <c r="Q84" i="25"/>
  <c r="Q95" i="25"/>
  <c r="Q102" i="25"/>
  <c r="Q97" i="25"/>
  <c r="P87" i="25"/>
  <c r="Q68" i="25"/>
  <c r="Q75" i="25"/>
  <c r="Q106" i="25"/>
  <c r="Q101" i="25"/>
  <c r="P85" i="25"/>
  <c r="P90" i="25"/>
  <c r="Q72" i="25"/>
  <c r="Q79" i="25"/>
  <c r="Q78" i="25"/>
  <c r="Q105" i="25"/>
  <c r="P88" i="25"/>
  <c r="S2" i="25"/>
  <c r="Q81" i="25"/>
  <c r="Q82" i="25"/>
  <c r="Q87" i="25"/>
  <c r="Q98" i="25"/>
  <c r="Q93" i="25"/>
  <c r="P89" i="25"/>
  <c r="R73" i="25" l="1"/>
  <c r="R81" i="25"/>
  <c r="R93" i="25"/>
  <c r="R74" i="25"/>
  <c r="R78" i="25"/>
  <c r="R92" i="25"/>
  <c r="R96" i="25"/>
  <c r="R100" i="25"/>
  <c r="R97" i="25"/>
  <c r="R95" i="25"/>
  <c r="R91" i="25"/>
  <c r="R6" i="25" s="1"/>
  <c r="R69" i="25"/>
  <c r="R80" i="25"/>
  <c r="Q8" i="25"/>
  <c r="R70" i="25"/>
  <c r="R71" i="25"/>
  <c r="R82" i="25"/>
  <c r="S44" i="25"/>
  <c r="S45" i="25"/>
  <c r="S46" i="25"/>
  <c r="S47" i="25"/>
  <c r="S48" i="25"/>
  <c r="S49" i="25"/>
  <c r="S43" i="25"/>
  <c r="S4" i="25" s="1"/>
  <c r="S5" i="25" s="1"/>
  <c r="S50" i="25"/>
  <c r="S51" i="25"/>
  <c r="S52" i="25"/>
  <c r="S27" i="25"/>
  <c r="S26" i="25"/>
  <c r="S68" i="25" s="1"/>
  <c r="S53" i="25"/>
  <c r="S54" i="25"/>
  <c r="S55" i="25"/>
  <c r="S56" i="25"/>
  <c r="S57" i="25"/>
  <c r="S58" i="25"/>
  <c r="S59" i="25"/>
  <c r="S60" i="25"/>
  <c r="S61" i="25"/>
  <c r="S62" i="25"/>
  <c r="S63" i="25"/>
  <c r="S64" i="25"/>
  <c r="S30" i="25"/>
  <c r="S34" i="25"/>
  <c r="S38" i="25"/>
  <c r="S29" i="25"/>
  <c r="S33" i="25"/>
  <c r="S37" i="25"/>
  <c r="S36" i="25"/>
  <c r="S41" i="25"/>
  <c r="S28" i="25"/>
  <c r="S35" i="25"/>
  <c r="S39" i="25"/>
  <c r="S40" i="25"/>
  <c r="S32" i="25"/>
  <c r="S31" i="25"/>
  <c r="S42" i="25"/>
  <c r="R75" i="25"/>
  <c r="R79" i="25"/>
  <c r="Q89" i="25"/>
  <c r="R99" i="25"/>
  <c r="R7" i="25" s="1"/>
  <c r="R104" i="25"/>
  <c r="R101" i="25"/>
  <c r="R94" i="25"/>
  <c r="R105" i="25"/>
  <c r="Q90" i="25"/>
  <c r="Q85" i="25"/>
  <c r="R68" i="25"/>
  <c r="R84" i="25"/>
  <c r="R103" i="25"/>
  <c r="R98" i="25"/>
  <c r="R83" i="25"/>
  <c r="R72" i="25"/>
  <c r="R89" i="25"/>
  <c r="R102" i="25"/>
  <c r="Q86" i="25"/>
  <c r="R77" i="25"/>
  <c r="R88" i="25"/>
  <c r="R76" i="25"/>
  <c r="R106" i="25"/>
  <c r="Q88" i="25"/>
  <c r="S70" i="25" l="1"/>
  <c r="S71" i="25"/>
  <c r="S69" i="25"/>
  <c r="S79" i="25"/>
  <c r="R8" i="25"/>
  <c r="S75" i="25"/>
  <c r="T43" i="25"/>
  <c r="T4" i="25" s="1"/>
  <c r="T5" i="25" s="1"/>
  <c r="T28" i="25"/>
  <c r="T44" i="25"/>
  <c r="T45" i="25"/>
  <c r="T46" i="25"/>
  <c r="T47" i="25"/>
  <c r="T48" i="25"/>
  <c r="T49" i="25"/>
  <c r="T50" i="25"/>
  <c r="T51" i="25"/>
  <c r="T52" i="25"/>
  <c r="T27" i="25"/>
  <c r="T31" i="25"/>
  <c r="T35" i="25"/>
  <c r="T39" i="25"/>
  <c r="T53" i="25"/>
  <c r="T54" i="25"/>
  <c r="T55" i="25"/>
  <c r="T56" i="25"/>
  <c r="T57" i="25"/>
  <c r="T58" i="25"/>
  <c r="T59" i="25"/>
  <c r="T60" i="25"/>
  <c r="T61" i="25"/>
  <c r="T62" i="25"/>
  <c r="T63" i="25"/>
  <c r="T64" i="25"/>
  <c r="T30" i="25"/>
  <c r="T34" i="25"/>
  <c r="T38" i="25"/>
  <c r="T26" i="25"/>
  <c r="T29" i="25"/>
  <c r="T37" i="25"/>
  <c r="T42" i="25"/>
  <c r="T36" i="25"/>
  <c r="T41" i="25"/>
  <c r="T33" i="25"/>
  <c r="T40" i="25"/>
  <c r="T32" i="25"/>
  <c r="X43" i="25"/>
  <c r="X4" i="25" s="1"/>
  <c r="X5" i="25" s="1"/>
  <c r="X49" i="25"/>
  <c r="X50" i="25"/>
  <c r="X51" i="25"/>
  <c r="X52" i="25"/>
  <c r="X44" i="25"/>
  <c r="X46" i="25"/>
  <c r="X48" i="25"/>
  <c r="X26" i="25"/>
  <c r="X31" i="25"/>
  <c r="X35" i="25"/>
  <c r="X39" i="25"/>
  <c r="X30" i="25"/>
  <c r="X34" i="25"/>
  <c r="X38" i="25"/>
  <c r="X47" i="25"/>
  <c r="X33" i="25"/>
  <c r="X42" i="25"/>
  <c r="X28" i="25"/>
  <c r="X53" i="25"/>
  <c r="X54" i="25"/>
  <c r="X55" i="25"/>
  <c r="X56" i="25"/>
  <c r="X57" i="25"/>
  <c r="X58" i="25"/>
  <c r="X59" i="25"/>
  <c r="X60" i="25"/>
  <c r="X61" i="25"/>
  <c r="X62" i="25"/>
  <c r="X63" i="25"/>
  <c r="X64" i="25"/>
  <c r="X32" i="25"/>
  <c r="X41" i="25"/>
  <c r="X45" i="25"/>
  <c r="X29" i="25"/>
  <c r="X37" i="25"/>
  <c r="X40" i="25"/>
  <c r="X27" i="25"/>
  <c r="X36" i="25"/>
  <c r="S101" i="25"/>
  <c r="S93" i="25"/>
  <c r="S72" i="25"/>
  <c r="S78" i="25"/>
  <c r="S82" i="25"/>
  <c r="S94" i="25"/>
  <c r="S102" i="25"/>
  <c r="S92" i="25"/>
  <c r="S83" i="25"/>
  <c r="S99" i="25"/>
  <c r="S89" i="25"/>
  <c r="S84" i="25"/>
  <c r="S105" i="25"/>
  <c r="S96" i="25"/>
  <c r="S103" i="25"/>
  <c r="R85" i="25"/>
  <c r="R90" i="25"/>
  <c r="S73" i="25"/>
  <c r="S97" i="25"/>
  <c r="S106" i="25"/>
  <c r="S100" i="25"/>
  <c r="S91" i="25"/>
  <c r="S6" i="25" s="1"/>
  <c r="Y2" i="25"/>
  <c r="AC2" i="25"/>
  <c r="R86" i="25"/>
  <c r="R87" i="25"/>
  <c r="U2" i="25"/>
  <c r="S81" i="25"/>
  <c r="S74" i="25"/>
  <c r="S76" i="25"/>
  <c r="S77" i="25"/>
  <c r="S80" i="25"/>
  <c r="S98" i="25"/>
  <c r="S88" i="25"/>
  <c r="S104" i="25"/>
  <c r="S95" i="25"/>
  <c r="X105" i="25" l="1"/>
  <c r="T104" i="25"/>
  <c r="X91" i="25"/>
  <c r="X6" i="25" s="1"/>
  <c r="X102" i="25"/>
  <c r="X94" i="25"/>
  <c r="AC43" i="25"/>
  <c r="AC4" i="25" s="1"/>
  <c r="AC5" i="25" s="1"/>
  <c r="AC49" i="25"/>
  <c r="AC50" i="25"/>
  <c r="AC51" i="25"/>
  <c r="AC52" i="25"/>
  <c r="AC44" i="25"/>
  <c r="AC45" i="25"/>
  <c r="AC46" i="25"/>
  <c r="AC47" i="25"/>
  <c r="AC48" i="25"/>
  <c r="AC53" i="25"/>
  <c r="AC54" i="25"/>
  <c r="AC55" i="25"/>
  <c r="AC56" i="25"/>
  <c r="AC57" i="25"/>
  <c r="AC58" i="25"/>
  <c r="AC59" i="25"/>
  <c r="AC60" i="25"/>
  <c r="AC61" i="25"/>
  <c r="AC62" i="25"/>
  <c r="AC63" i="25"/>
  <c r="AC64" i="25"/>
  <c r="AC28" i="25"/>
  <c r="AC32" i="25"/>
  <c r="AC36" i="25"/>
  <c r="AC31" i="25"/>
  <c r="AC35" i="25"/>
  <c r="AC30" i="25"/>
  <c r="AC38" i="25"/>
  <c r="AC39" i="25"/>
  <c r="AC41" i="25"/>
  <c r="AC33" i="25"/>
  <c r="AC40" i="25"/>
  <c r="AC27" i="25"/>
  <c r="AC29" i="25"/>
  <c r="AC37" i="25"/>
  <c r="AC42" i="25"/>
  <c r="AC34" i="25"/>
  <c r="AC26" i="25"/>
  <c r="Y43" i="25"/>
  <c r="Y4" i="25" s="1"/>
  <c r="Y5" i="25" s="1"/>
  <c r="Y49" i="25"/>
  <c r="Y50" i="25"/>
  <c r="Y51" i="25"/>
  <c r="Y52" i="25"/>
  <c r="Y53" i="25"/>
  <c r="Y54" i="25"/>
  <c r="Y55" i="25"/>
  <c r="Y56" i="25"/>
  <c r="Y57" i="25"/>
  <c r="Y58" i="25"/>
  <c r="Y59" i="25"/>
  <c r="Y60" i="25"/>
  <c r="Y61" i="25"/>
  <c r="Y62" i="25"/>
  <c r="Y63" i="25"/>
  <c r="Y64" i="25"/>
  <c r="Y27" i="25"/>
  <c r="Y28" i="25"/>
  <c r="Y32" i="25"/>
  <c r="Y36" i="25"/>
  <c r="Y44" i="25"/>
  <c r="Y46" i="25"/>
  <c r="Y48" i="25"/>
  <c r="Y26" i="25"/>
  <c r="Y31" i="25"/>
  <c r="Y35" i="25"/>
  <c r="Y34" i="25"/>
  <c r="Y45" i="25"/>
  <c r="Y29" i="25"/>
  <c r="Y47" i="25"/>
  <c r="Y33" i="25"/>
  <c r="Y39" i="25"/>
  <c r="Y42" i="25"/>
  <c r="Y30" i="25"/>
  <c r="Y38" i="25"/>
  <c r="Y41" i="25"/>
  <c r="Y37" i="25"/>
  <c r="Y40" i="25"/>
  <c r="J16" i="25"/>
  <c r="U43" i="25"/>
  <c r="U4" i="25" s="1"/>
  <c r="U5" i="25" s="1"/>
  <c r="U44" i="25"/>
  <c r="U45" i="25"/>
  <c r="U46" i="25"/>
  <c r="U47" i="25"/>
  <c r="U48" i="25"/>
  <c r="U49" i="25"/>
  <c r="U50" i="25"/>
  <c r="U51" i="25"/>
  <c r="U52" i="25"/>
  <c r="U53" i="25"/>
  <c r="U54" i="25"/>
  <c r="U55" i="25"/>
  <c r="U56" i="25"/>
  <c r="U57" i="25"/>
  <c r="U58" i="25"/>
  <c r="U59" i="25"/>
  <c r="U60" i="25"/>
  <c r="U61" i="25"/>
  <c r="U62" i="25"/>
  <c r="U63" i="25"/>
  <c r="U64" i="25"/>
  <c r="U28" i="25"/>
  <c r="U32" i="25"/>
  <c r="U36" i="25"/>
  <c r="U27" i="25"/>
  <c r="U31" i="25"/>
  <c r="U35" i="25"/>
  <c r="U30" i="25"/>
  <c r="U38" i="25"/>
  <c r="U41" i="25"/>
  <c r="U40" i="25"/>
  <c r="U26" i="25"/>
  <c r="U29" i="25"/>
  <c r="U37" i="25"/>
  <c r="U42" i="25"/>
  <c r="U34" i="25"/>
  <c r="U39" i="25"/>
  <c r="U33" i="25"/>
  <c r="J15" i="25"/>
  <c r="S7" i="25"/>
  <c r="S8" i="25" s="1"/>
  <c r="T91" i="25"/>
  <c r="T6" i="25" s="1"/>
  <c r="T94" i="25"/>
  <c r="T97" i="25"/>
  <c r="T102" i="25"/>
  <c r="X96" i="25"/>
  <c r="X75" i="25"/>
  <c r="X82" i="25"/>
  <c r="J17" i="25"/>
  <c r="T103" i="25"/>
  <c r="T68" i="25"/>
  <c r="T75" i="25"/>
  <c r="T72" i="25"/>
  <c r="T73" i="25"/>
  <c r="T89" i="25"/>
  <c r="T70" i="25"/>
  <c r="T95" i="25"/>
  <c r="T99" i="25"/>
  <c r="T7" i="25" s="1"/>
  <c r="T106" i="25"/>
  <c r="T101" i="25"/>
  <c r="T92" i="25"/>
  <c r="X68" i="25"/>
  <c r="X69" i="25"/>
  <c r="X78" i="25"/>
  <c r="X71" i="25"/>
  <c r="X95" i="25"/>
  <c r="X99" i="25"/>
  <c r="X7" i="25" s="1"/>
  <c r="X93" i="25"/>
  <c r="X84" i="25"/>
  <c r="X100" i="25"/>
  <c r="J18" i="25"/>
  <c r="T105" i="25"/>
  <c r="T96" i="25"/>
  <c r="X72" i="25"/>
  <c r="X79" i="25"/>
  <c r="X80" i="25"/>
  <c r="X70" i="25"/>
  <c r="X77" i="25"/>
  <c r="X103" i="25"/>
  <c r="X97" i="25"/>
  <c r="X88" i="25"/>
  <c r="X104" i="25"/>
  <c r="S85" i="25"/>
  <c r="S90" i="25"/>
  <c r="T82" i="25"/>
  <c r="T80" i="25"/>
  <c r="AD2" i="25"/>
  <c r="X89" i="25"/>
  <c r="T76" i="25"/>
  <c r="Z2" i="25"/>
  <c r="V2" i="25"/>
  <c r="T69" i="25"/>
  <c r="T74" i="25"/>
  <c r="T81" i="25"/>
  <c r="T98" i="25"/>
  <c r="T79" i="25"/>
  <c r="T71" i="25"/>
  <c r="T77" i="25"/>
  <c r="T78" i="25"/>
  <c r="T83" i="25"/>
  <c r="T93" i="25"/>
  <c r="T84" i="25"/>
  <c r="T100" i="25"/>
  <c r="X83" i="25"/>
  <c r="X76" i="25"/>
  <c r="AH2" i="25"/>
  <c r="X73" i="25"/>
  <c r="X74" i="25"/>
  <c r="X81" i="25"/>
  <c r="X98" i="25"/>
  <c r="X106" i="25"/>
  <c r="X101" i="25"/>
  <c r="X92" i="25"/>
  <c r="J13" i="25"/>
  <c r="J14" i="25"/>
  <c r="S87" i="25"/>
  <c r="S86" i="25"/>
  <c r="X8" i="25" l="1"/>
  <c r="AC91" i="25"/>
  <c r="AC6" i="25" s="1"/>
  <c r="AC92" i="25"/>
  <c r="U92" i="25"/>
  <c r="U99" i="25"/>
  <c r="U7" i="25" s="1"/>
  <c r="U73" i="25"/>
  <c r="Y99" i="25"/>
  <c r="Y7" i="25" s="1"/>
  <c r="Y77" i="25"/>
  <c r="Y73" i="25"/>
  <c r="AC95" i="25"/>
  <c r="V44" i="25"/>
  <c r="V45" i="25"/>
  <c r="V46" i="25"/>
  <c r="V47" i="25"/>
  <c r="V48" i="25"/>
  <c r="V26" i="25"/>
  <c r="V43" i="25"/>
  <c r="V4" i="25" s="1"/>
  <c r="V5" i="25" s="1"/>
  <c r="V53" i="25"/>
  <c r="V54" i="25"/>
  <c r="V55" i="25"/>
  <c r="V56" i="25"/>
  <c r="V57" i="25"/>
  <c r="V58" i="25"/>
  <c r="V59" i="25"/>
  <c r="V60" i="25"/>
  <c r="V61" i="25"/>
  <c r="V62" i="25"/>
  <c r="V63" i="25"/>
  <c r="V64" i="25"/>
  <c r="V49" i="25"/>
  <c r="V50" i="25"/>
  <c r="V51" i="25"/>
  <c r="V52" i="25"/>
  <c r="V29" i="25"/>
  <c r="V33" i="25"/>
  <c r="V37" i="25"/>
  <c r="V28" i="25"/>
  <c r="V32" i="25"/>
  <c r="V36" i="25"/>
  <c r="V31" i="25"/>
  <c r="V40" i="25"/>
  <c r="V42" i="25"/>
  <c r="V41" i="25"/>
  <c r="V30" i="25"/>
  <c r="V38" i="25"/>
  <c r="V27" i="25"/>
  <c r="V35" i="25"/>
  <c r="V34" i="25"/>
  <c r="V39" i="25"/>
  <c r="AD43" i="25"/>
  <c r="AD4" i="25" s="1"/>
  <c r="AD5" i="25" s="1"/>
  <c r="AD49" i="25"/>
  <c r="AD50" i="25"/>
  <c r="AD51" i="25"/>
  <c r="AD52" i="25"/>
  <c r="AD26" i="25"/>
  <c r="AD44" i="25"/>
  <c r="AD45" i="25"/>
  <c r="AD46" i="25"/>
  <c r="AD47" i="25"/>
  <c r="AD48" i="25"/>
  <c r="AD53" i="25"/>
  <c r="AD54" i="25"/>
  <c r="AD55" i="25"/>
  <c r="AD56" i="25"/>
  <c r="AD57" i="25"/>
  <c r="AD58" i="25"/>
  <c r="AD59" i="25"/>
  <c r="AD60" i="25"/>
  <c r="AD61" i="25"/>
  <c r="AD62" i="25"/>
  <c r="AD63" i="25"/>
  <c r="AD64" i="25"/>
  <c r="AD27" i="25"/>
  <c r="AD29" i="25"/>
  <c r="AD33" i="25"/>
  <c r="AD37" i="25"/>
  <c r="AD28" i="25"/>
  <c r="AD32" i="25"/>
  <c r="AD36" i="25"/>
  <c r="AD31" i="25"/>
  <c r="AD40" i="25"/>
  <c r="AD42" i="25"/>
  <c r="AD34" i="25"/>
  <c r="AD41" i="25"/>
  <c r="AD30" i="25"/>
  <c r="AD38" i="25"/>
  <c r="AD39" i="25"/>
  <c r="AD35" i="25"/>
  <c r="Y84" i="25"/>
  <c r="T8" i="25"/>
  <c r="AH43" i="25"/>
  <c r="AH4" i="25" s="1"/>
  <c r="AH5" i="25" s="1"/>
  <c r="AH26" i="25"/>
  <c r="AH53" i="25"/>
  <c r="AH54" i="25"/>
  <c r="AH55" i="25"/>
  <c r="AH56" i="25"/>
  <c r="AH57" i="25"/>
  <c r="AH58" i="25"/>
  <c r="AH59" i="25"/>
  <c r="AH60" i="25"/>
  <c r="AH61" i="25"/>
  <c r="AH62" i="25"/>
  <c r="AH63" i="25"/>
  <c r="AH64" i="25"/>
  <c r="AH45" i="25"/>
  <c r="AH47" i="25"/>
  <c r="AH29" i="25"/>
  <c r="AH33" i="25"/>
  <c r="AH37" i="25"/>
  <c r="AH49" i="25"/>
  <c r="AH50" i="25"/>
  <c r="AH51" i="25"/>
  <c r="AH52" i="25"/>
  <c r="AH28" i="25"/>
  <c r="AH32" i="25"/>
  <c r="AH36" i="25"/>
  <c r="AH44" i="25"/>
  <c r="AH35" i="25"/>
  <c r="AH40" i="25"/>
  <c r="AH27" i="25"/>
  <c r="AH38" i="25"/>
  <c r="AH48" i="25"/>
  <c r="AH34" i="25"/>
  <c r="AH39" i="25"/>
  <c r="AH46" i="25"/>
  <c r="AH31" i="25"/>
  <c r="AH42" i="25"/>
  <c r="AH30" i="25"/>
  <c r="AH41" i="25"/>
  <c r="Z44" i="25"/>
  <c r="Z45" i="25"/>
  <c r="Z46" i="25"/>
  <c r="Z47" i="25"/>
  <c r="Z48" i="25"/>
  <c r="Z26" i="25"/>
  <c r="Z49" i="25"/>
  <c r="Z50" i="25"/>
  <c r="Z51" i="25"/>
  <c r="Z52" i="25"/>
  <c r="Z53" i="25"/>
  <c r="Z54" i="25"/>
  <c r="Z55" i="25"/>
  <c r="Z56" i="25"/>
  <c r="Z57" i="25"/>
  <c r="Z58" i="25"/>
  <c r="Z59" i="25"/>
  <c r="Z60" i="25"/>
  <c r="Z61" i="25"/>
  <c r="Z62" i="25"/>
  <c r="Z63" i="25"/>
  <c r="Z64" i="25"/>
  <c r="Z29" i="25"/>
  <c r="Z33" i="25"/>
  <c r="Z37" i="25"/>
  <c r="Z27" i="25"/>
  <c r="Z28" i="25"/>
  <c r="Z32" i="25"/>
  <c r="Z36" i="25"/>
  <c r="Z43" i="25"/>
  <c r="Z4" i="25" s="1"/>
  <c r="Z5" i="25" s="1"/>
  <c r="Z35" i="25"/>
  <c r="Z40" i="25"/>
  <c r="Z30" i="25"/>
  <c r="Z34" i="25"/>
  <c r="Z31" i="25"/>
  <c r="Z39" i="25"/>
  <c r="Z42" i="25"/>
  <c r="Z38" i="25"/>
  <c r="Z41" i="25"/>
  <c r="Y69" i="25"/>
  <c r="J19" i="25"/>
  <c r="T87" i="25"/>
  <c r="U103" i="25"/>
  <c r="U94" i="25"/>
  <c r="U105" i="25"/>
  <c r="Y95" i="25"/>
  <c r="U95" i="25"/>
  <c r="U96" i="25"/>
  <c r="U100" i="25"/>
  <c r="U98" i="25"/>
  <c r="U93" i="25"/>
  <c r="Y96" i="25"/>
  <c r="Y91" i="25"/>
  <c r="Y6" i="25" s="1"/>
  <c r="AC99" i="25"/>
  <c r="AC7" i="25" s="1"/>
  <c r="AC94" i="25"/>
  <c r="AC105" i="25"/>
  <c r="U80" i="25"/>
  <c r="U77" i="25"/>
  <c r="U76" i="25"/>
  <c r="U84" i="25"/>
  <c r="U71" i="25"/>
  <c r="U82" i="25"/>
  <c r="U83" i="25"/>
  <c r="Y72" i="25"/>
  <c r="Y80" i="25"/>
  <c r="Y83" i="25"/>
  <c r="Y94" i="25"/>
  <c r="Y105" i="25"/>
  <c r="T86" i="25"/>
  <c r="AC96" i="25"/>
  <c r="U91" i="25"/>
  <c r="U6" i="25" s="1"/>
  <c r="T88" i="25"/>
  <c r="AC68" i="25"/>
  <c r="AC71" i="25"/>
  <c r="AC73" i="25"/>
  <c r="AC76" i="25"/>
  <c r="AC74" i="25"/>
  <c r="AC75" i="25"/>
  <c r="AC82" i="25"/>
  <c r="AC103" i="25"/>
  <c r="AC100" i="25"/>
  <c r="AC98" i="25"/>
  <c r="AC93" i="25"/>
  <c r="U79" i="25"/>
  <c r="U72" i="25"/>
  <c r="U75" i="25"/>
  <c r="U88" i="25"/>
  <c r="U104" i="25"/>
  <c r="U102" i="25"/>
  <c r="U97" i="25"/>
  <c r="Y79" i="25"/>
  <c r="Y76" i="25"/>
  <c r="AI2" i="25"/>
  <c r="Y92" i="25"/>
  <c r="Y104" i="25"/>
  <c r="Y98" i="25"/>
  <c r="Y93" i="25"/>
  <c r="X85" i="25"/>
  <c r="X90" i="25"/>
  <c r="AC69" i="25"/>
  <c r="Y86" i="25"/>
  <c r="AC70" i="25"/>
  <c r="AC89" i="25"/>
  <c r="AC80" i="25"/>
  <c r="AC72" i="25"/>
  <c r="AC77" i="25"/>
  <c r="AC87" i="25"/>
  <c r="AC84" i="25"/>
  <c r="AC104" i="25"/>
  <c r="AC102" i="25"/>
  <c r="AC97" i="25"/>
  <c r="U69" i="25"/>
  <c r="U74" i="25"/>
  <c r="U81" i="25"/>
  <c r="W2" i="25"/>
  <c r="U87" i="25"/>
  <c r="U106" i="25"/>
  <c r="U101" i="25"/>
  <c r="Y74" i="25"/>
  <c r="Y81" i="25"/>
  <c r="Y70" i="25"/>
  <c r="Y71" i="25"/>
  <c r="Y78" i="25"/>
  <c r="Y100" i="25"/>
  <c r="Y103" i="25"/>
  <c r="Y102" i="25"/>
  <c r="Y97" i="25"/>
  <c r="X86" i="25"/>
  <c r="T85" i="25"/>
  <c r="T90" i="25"/>
  <c r="AC78" i="25"/>
  <c r="AC79" i="25"/>
  <c r="AC81" i="25"/>
  <c r="AC83" i="25"/>
  <c r="AM2" i="25"/>
  <c r="AC88" i="25"/>
  <c r="AC106" i="25"/>
  <c r="AC101" i="25"/>
  <c r="U68" i="25"/>
  <c r="U70" i="25"/>
  <c r="AA2" i="25"/>
  <c r="AE2" i="25"/>
  <c r="U78" i="25"/>
  <c r="U89" i="25"/>
  <c r="Y68" i="25"/>
  <c r="Y75" i="25"/>
  <c r="Y82" i="25"/>
  <c r="Y106" i="25"/>
  <c r="Y101" i="25"/>
  <c r="X87" i="25"/>
  <c r="AC8" i="25" l="1"/>
  <c r="V100" i="25"/>
  <c r="V96" i="25"/>
  <c r="Z101" i="25"/>
  <c r="Z97" i="25"/>
  <c r="AD81" i="25"/>
  <c r="AD78" i="25"/>
  <c r="Z80" i="25"/>
  <c r="Z69" i="25"/>
  <c r="U8" i="25"/>
  <c r="Z70" i="25"/>
  <c r="V93" i="25"/>
  <c r="V105" i="25"/>
  <c r="AH80" i="25"/>
  <c r="AD97" i="25"/>
  <c r="V77" i="25"/>
  <c r="Y8" i="25"/>
  <c r="AD74" i="25"/>
  <c r="AD105" i="25"/>
  <c r="AH97" i="25"/>
  <c r="AD71" i="25"/>
  <c r="AD70" i="25"/>
  <c r="AD69" i="25"/>
  <c r="AH100" i="25"/>
  <c r="AH104" i="25"/>
  <c r="AH96" i="25"/>
  <c r="AH101" i="25"/>
  <c r="AD77" i="25"/>
  <c r="AD73" i="25"/>
  <c r="AH92" i="25"/>
  <c r="AD101" i="25"/>
  <c r="AD92" i="25"/>
  <c r="V75" i="25"/>
  <c r="V74" i="25"/>
  <c r="AD91" i="25"/>
  <c r="AD6" i="25" s="1"/>
  <c r="Z74" i="25"/>
  <c r="AH99" i="25"/>
  <c r="AH7" i="25" s="1"/>
  <c r="AD104" i="25"/>
  <c r="AD100" i="25"/>
  <c r="AD96" i="25"/>
  <c r="V95" i="25"/>
  <c r="AD93" i="25"/>
  <c r="Z81" i="25"/>
  <c r="Z77" i="25"/>
  <c r="Z71" i="25"/>
  <c r="AH93" i="25"/>
  <c r="AD95" i="25"/>
  <c r="V70" i="25"/>
  <c r="AE44" i="25"/>
  <c r="AE45" i="25"/>
  <c r="AE46" i="25"/>
  <c r="AE47" i="25"/>
  <c r="AE48" i="25"/>
  <c r="AE43" i="25"/>
  <c r="AE4" i="25" s="1"/>
  <c r="AE5" i="25" s="1"/>
  <c r="AE27" i="25"/>
  <c r="AE49" i="25"/>
  <c r="AE50" i="25"/>
  <c r="AE51" i="25"/>
  <c r="AE52" i="25"/>
  <c r="AE26" i="25"/>
  <c r="AE30" i="25"/>
  <c r="AE34" i="25"/>
  <c r="AE38" i="25"/>
  <c r="AE29" i="25"/>
  <c r="AE33" i="25"/>
  <c r="AE37" i="25"/>
  <c r="AE32" i="25"/>
  <c r="AE41" i="25"/>
  <c r="AE35" i="25"/>
  <c r="AE42" i="25"/>
  <c r="AE31" i="25"/>
  <c r="AE40" i="25"/>
  <c r="AE53" i="25"/>
  <c r="AE54" i="25"/>
  <c r="AE55" i="25"/>
  <c r="AE56" i="25"/>
  <c r="AE57" i="25"/>
  <c r="AE58" i="25"/>
  <c r="AE59" i="25"/>
  <c r="AE60" i="25"/>
  <c r="AE61" i="25"/>
  <c r="AE62" i="25"/>
  <c r="AE63" i="25"/>
  <c r="AE64" i="25"/>
  <c r="AE28" i="25"/>
  <c r="AE36" i="25"/>
  <c r="AE39" i="25"/>
  <c r="AM44" i="25"/>
  <c r="AM45" i="25"/>
  <c r="AM46" i="25"/>
  <c r="AM47" i="25"/>
  <c r="AM48" i="25"/>
  <c r="AM43" i="25"/>
  <c r="AM4" i="25" s="1"/>
  <c r="AM5" i="25" s="1"/>
  <c r="AM27" i="25"/>
  <c r="AM26" i="25"/>
  <c r="AM30" i="25"/>
  <c r="AM34" i="25"/>
  <c r="AM38" i="25"/>
  <c r="AM29" i="25"/>
  <c r="AM33" i="25"/>
  <c r="AM37" i="25"/>
  <c r="AM53" i="25"/>
  <c r="AM54" i="25"/>
  <c r="AM55" i="25"/>
  <c r="AM56" i="25"/>
  <c r="AM57" i="25"/>
  <c r="AM58" i="25"/>
  <c r="AM59" i="25"/>
  <c r="AM60" i="25"/>
  <c r="AM61" i="25"/>
  <c r="AM62" i="25"/>
  <c r="AM63" i="25"/>
  <c r="AM64" i="25"/>
  <c r="AM32" i="25"/>
  <c r="AM41" i="25"/>
  <c r="AM49" i="25"/>
  <c r="AM42" i="25"/>
  <c r="AM50" i="25"/>
  <c r="AM52" i="25"/>
  <c r="AM31" i="25"/>
  <c r="AM40" i="25"/>
  <c r="AM28" i="25"/>
  <c r="AM36" i="25"/>
  <c r="AM39" i="25"/>
  <c r="AM51" i="25"/>
  <c r="AM35" i="25"/>
  <c r="AI44" i="25"/>
  <c r="AI45" i="25"/>
  <c r="AI46" i="25"/>
  <c r="AI47" i="25"/>
  <c r="AI48" i="25"/>
  <c r="AI43" i="25"/>
  <c r="AI4" i="25" s="1"/>
  <c r="AI5" i="25" s="1"/>
  <c r="AI49" i="25"/>
  <c r="AI50" i="25"/>
  <c r="AI51" i="25"/>
  <c r="AI52" i="25"/>
  <c r="AI27" i="25"/>
  <c r="AI26" i="25"/>
  <c r="AI53" i="25"/>
  <c r="AI54" i="25"/>
  <c r="AI55" i="25"/>
  <c r="AI56" i="25"/>
  <c r="AI57" i="25"/>
  <c r="AI58" i="25"/>
  <c r="AI59" i="25"/>
  <c r="AI60" i="25"/>
  <c r="AI61" i="25"/>
  <c r="AI62" i="25"/>
  <c r="AI63" i="25"/>
  <c r="AI64" i="25"/>
  <c r="AI30" i="25"/>
  <c r="AI34" i="25"/>
  <c r="AI38" i="25"/>
  <c r="AI29" i="25"/>
  <c r="AI33" i="25"/>
  <c r="AI37" i="25"/>
  <c r="AI28" i="25"/>
  <c r="AI36" i="25"/>
  <c r="AI41" i="25"/>
  <c r="AI35" i="25"/>
  <c r="AI40" i="25"/>
  <c r="AI32" i="25"/>
  <c r="AI39" i="25"/>
  <c r="AI31" i="25"/>
  <c r="AI42" i="25"/>
  <c r="AA44" i="25"/>
  <c r="AA45" i="25"/>
  <c r="AA46" i="25"/>
  <c r="AA47" i="25"/>
  <c r="AA48" i="25"/>
  <c r="AA27" i="25"/>
  <c r="AA26" i="25"/>
  <c r="AA53" i="25"/>
  <c r="AA54" i="25"/>
  <c r="AA55" i="25"/>
  <c r="AA56" i="25"/>
  <c r="AA57" i="25"/>
  <c r="AA58" i="25"/>
  <c r="AA59" i="25"/>
  <c r="AA60" i="25"/>
  <c r="AA61" i="25"/>
  <c r="AA62" i="25"/>
  <c r="AA63" i="25"/>
  <c r="AA64" i="25"/>
  <c r="AA30" i="25"/>
  <c r="AA34" i="25"/>
  <c r="AA38" i="25"/>
  <c r="AA29" i="25"/>
  <c r="AA33" i="25"/>
  <c r="AA37" i="25"/>
  <c r="AA49" i="25"/>
  <c r="AA51" i="25"/>
  <c r="AA28" i="25"/>
  <c r="AA36" i="25"/>
  <c r="AA41" i="25"/>
  <c r="AA31" i="25"/>
  <c r="AA39" i="25"/>
  <c r="AA43" i="25"/>
  <c r="AA4" i="25" s="1"/>
  <c r="AA5" i="25" s="1"/>
  <c r="AA35" i="25"/>
  <c r="AA40" i="25"/>
  <c r="AA50" i="25"/>
  <c r="AA52" i="25"/>
  <c r="AA32" i="25"/>
  <c r="AA42" i="25"/>
  <c r="W44" i="25"/>
  <c r="W45" i="25"/>
  <c r="W46" i="25"/>
  <c r="W47" i="25"/>
  <c r="W48" i="25"/>
  <c r="W43" i="25"/>
  <c r="W4" i="25" s="1"/>
  <c r="W5" i="25" s="1"/>
  <c r="W27" i="25"/>
  <c r="W26" i="25"/>
  <c r="W30" i="25"/>
  <c r="W34" i="25"/>
  <c r="W38" i="25"/>
  <c r="W49" i="25"/>
  <c r="W50" i="25"/>
  <c r="W51" i="25"/>
  <c r="W52" i="25"/>
  <c r="W29" i="25"/>
  <c r="W33" i="25"/>
  <c r="W37" i="25"/>
  <c r="W53" i="25"/>
  <c r="W54" i="25"/>
  <c r="W55" i="25"/>
  <c r="W56" i="25"/>
  <c r="W57" i="25"/>
  <c r="W58" i="25"/>
  <c r="W59" i="25"/>
  <c r="W60" i="25"/>
  <c r="W61" i="25"/>
  <c r="W62" i="25"/>
  <c r="W63" i="25"/>
  <c r="W64" i="25"/>
  <c r="W32" i="25"/>
  <c r="W39" i="25"/>
  <c r="W41" i="25"/>
  <c r="W42" i="25"/>
  <c r="W31" i="25"/>
  <c r="W40" i="25"/>
  <c r="W28" i="25"/>
  <c r="W36" i="25"/>
  <c r="W35" i="25"/>
  <c r="Y87" i="25"/>
  <c r="V92" i="25"/>
  <c r="Z75" i="25"/>
  <c r="Z73" i="25"/>
  <c r="Z78" i="25"/>
  <c r="V82" i="25"/>
  <c r="V71" i="25"/>
  <c r="V76" i="25"/>
  <c r="V79" i="25"/>
  <c r="V104" i="25"/>
  <c r="V103" i="25"/>
  <c r="V98" i="25"/>
  <c r="Z82" i="25"/>
  <c r="Z84" i="25"/>
  <c r="Z72" i="25"/>
  <c r="Z79" i="25"/>
  <c r="AH74" i="25"/>
  <c r="AH69" i="25"/>
  <c r="AH71" i="25"/>
  <c r="AH76" i="25"/>
  <c r="AH91" i="25"/>
  <c r="AH6" i="25" s="1"/>
  <c r="AH82" i="25"/>
  <c r="AH98" i="25"/>
  <c r="V91" i="25"/>
  <c r="V6" i="25" s="1"/>
  <c r="AD75" i="25"/>
  <c r="AD76" i="25"/>
  <c r="AD79" i="25"/>
  <c r="AD103" i="25"/>
  <c r="AD98" i="25"/>
  <c r="AD80" i="25"/>
  <c r="Z106" i="25"/>
  <c r="AB2" i="25"/>
  <c r="AJ2" i="25"/>
  <c r="Z68" i="25"/>
  <c r="Z93" i="25"/>
  <c r="Z83" i="25"/>
  <c r="Z104" i="25"/>
  <c r="Z99" i="25"/>
  <c r="Z7" i="25" s="1"/>
  <c r="Z94" i="25"/>
  <c r="AH81" i="25"/>
  <c r="AH78" i="25"/>
  <c r="AH73" i="25"/>
  <c r="AH83" i="25"/>
  <c r="AH77" i="25"/>
  <c r="AH95" i="25"/>
  <c r="AH102" i="25"/>
  <c r="V73" i="25"/>
  <c r="V69" i="25"/>
  <c r="V81" i="25"/>
  <c r="V84" i="25"/>
  <c r="V87" i="25"/>
  <c r="V102" i="25"/>
  <c r="Y90" i="25"/>
  <c r="Y85" i="25"/>
  <c r="AD83" i="25"/>
  <c r="AD88" i="25"/>
  <c r="AD102" i="25"/>
  <c r="U90" i="25"/>
  <c r="U85" i="25"/>
  <c r="AF2" i="25"/>
  <c r="Z92" i="25"/>
  <c r="Z105" i="25"/>
  <c r="Z103" i="25"/>
  <c r="Z98" i="25"/>
  <c r="AH68" i="25"/>
  <c r="AH79" i="25"/>
  <c r="AH106" i="25"/>
  <c r="V68" i="25"/>
  <c r="V83" i="25"/>
  <c r="V106" i="25"/>
  <c r="AC90" i="25"/>
  <c r="AC85" i="25"/>
  <c r="AD89" i="25"/>
  <c r="AD68" i="25"/>
  <c r="AD82" i="25"/>
  <c r="AD106" i="25"/>
  <c r="U86" i="25"/>
  <c r="Z95" i="25"/>
  <c r="AD87" i="25"/>
  <c r="Z96" i="25"/>
  <c r="Z76" i="25"/>
  <c r="Z100" i="25"/>
  <c r="Z91" i="25"/>
  <c r="Z6" i="25" s="1"/>
  <c r="Z86" i="25"/>
  <c r="Z102" i="25"/>
  <c r="AH70" i="25"/>
  <c r="AH75" i="25"/>
  <c r="AH72" i="25"/>
  <c r="AH84" i="25"/>
  <c r="AH105" i="25"/>
  <c r="AH103" i="25"/>
  <c r="AH94" i="25"/>
  <c r="V80" i="25"/>
  <c r="V78" i="25"/>
  <c r="V72" i="25"/>
  <c r="V101" i="25"/>
  <c r="V97" i="25"/>
  <c r="V99" i="25"/>
  <c r="V7" i="25" s="1"/>
  <c r="V94" i="25"/>
  <c r="AC86" i="25"/>
  <c r="Y88" i="25"/>
  <c r="AD72" i="25"/>
  <c r="AD84" i="25"/>
  <c r="AD99" i="25"/>
  <c r="AD7" i="25" s="1"/>
  <c r="AD94" i="25"/>
  <c r="Y89" i="25"/>
  <c r="AE82" i="25" l="1"/>
  <c r="AI71" i="25"/>
  <c r="AE92" i="25"/>
  <c r="AD8" i="25"/>
  <c r="AE93" i="25"/>
  <c r="AE81" i="25"/>
  <c r="AH8" i="25"/>
  <c r="AE102" i="25"/>
  <c r="V8" i="25"/>
  <c r="Z8" i="25"/>
  <c r="AE77" i="25"/>
  <c r="AF44" i="25"/>
  <c r="AF45" i="25"/>
  <c r="AF46" i="25"/>
  <c r="AF47" i="25"/>
  <c r="AF48" i="25"/>
  <c r="AF43" i="25"/>
  <c r="AF4" i="25" s="1"/>
  <c r="AF5" i="25" s="1"/>
  <c r="AF49" i="25"/>
  <c r="AF50" i="25"/>
  <c r="AF51" i="25"/>
  <c r="AF52" i="25"/>
  <c r="AF26" i="25"/>
  <c r="AF31" i="25"/>
  <c r="AF35" i="25"/>
  <c r="AF27" i="25"/>
  <c r="AF30" i="25"/>
  <c r="AF34" i="25"/>
  <c r="AF38" i="25"/>
  <c r="AF33" i="25"/>
  <c r="AF42" i="25"/>
  <c r="AF53" i="25"/>
  <c r="AF54" i="25"/>
  <c r="AF55" i="25"/>
  <c r="AF56" i="25"/>
  <c r="AF57" i="25"/>
  <c r="AF58" i="25"/>
  <c r="AF59" i="25"/>
  <c r="AF60" i="25"/>
  <c r="AF61" i="25"/>
  <c r="AF62" i="25"/>
  <c r="AF63" i="25"/>
  <c r="AF64" i="25"/>
  <c r="AF36" i="25"/>
  <c r="AF32" i="25"/>
  <c r="AF41" i="25"/>
  <c r="AF29" i="25"/>
  <c r="AF37" i="25"/>
  <c r="AF40" i="25"/>
  <c r="AF28" i="25"/>
  <c r="AF39" i="25"/>
  <c r="AJ48" i="25"/>
  <c r="AJ49" i="25"/>
  <c r="AJ50" i="25"/>
  <c r="AJ51" i="25"/>
  <c r="AJ52" i="25"/>
  <c r="AJ43" i="25"/>
  <c r="AJ4" i="25" s="1"/>
  <c r="AJ5" i="25" s="1"/>
  <c r="AJ27" i="25"/>
  <c r="AJ31" i="25"/>
  <c r="AJ35" i="25"/>
  <c r="AJ45" i="25"/>
  <c r="AJ47" i="25"/>
  <c r="AJ53" i="25"/>
  <c r="AJ54" i="25"/>
  <c r="AJ55" i="25"/>
  <c r="AJ56" i="25"/>
  <c r="AJ57" i="25"/>
  <c r="AJ58" i="25"/>
  <c r="AJ59" i="25"/>
  <c r="AJ60" i="25"/>
  <c r="AJ61" i="25"/>
  <c r="AJ62" i="25"/>
  <c r="AJ63" i="25"/>
  <c r="AJ64" i="25"/>
  <c r="AJ30" i="25"/>
  <c r="AJ34" i="25"/>
  <c r="AJ38" i="25"/>
  <c r="AJ26" i="25"/>
  <c r="AJ29" i="25"/>
  <c r="AJ37" i="25"/>
  <c r="AJ42" i="25"/>
  <c r="AJ39" i="25"/>
  <c r="AJ44" i="25"/>
  <c r="AJ28" i="25"/>
  <c r="AJ36" i="25"/>
  <c r="AJ41" i="25"/>
  <c r="AJ33" i="25"/>
  <c r="AJ40" i="25"/>
  <c r="AJ46" i="25"/>
  <c r="AJ32" i="25"/>
  <c r="AE72" i="25"/>
  <c r="AB43" i="25"/>
  <c r="AB4" i="25" s="1"/>
  <c r="AB5" i="25" s="1"/>
  <c r="AB44" i="25"/>
  <c r="AB45" i="25"/>
  <c r="AB46" i="25"/>
  <c r="AB47" i="25"/>
  <c r="AB48" i="25"/>
  <c r="AB31" i="25"/>
  <c r="AB35" i="25"/>
  <c r="AB39" i="25"/>
  <c r="AB53" i="25"/>
  <c r="AB54" i="25"/>
  <c r="AB55" i="25"/>
  <c r="AB56" i="25"/>
  <c r="AB57" i="25"/>
  <c r="AB58" i="25"/>
  <c r="AB59" i="25"/>
  <c r="AB60" i="25"/>
  <c r="AB61" i="25"/>
  <c r="AB62" i="25"/>
  <c r="AB63" i="25"/>
  <c r="AB64" i="25"/>
  <c r="AB30" i="25"/>
  <c r="AB34" i="25"/>
  <c r="AB38" i="25"/>
  <c r="AB27" i="25"/>
  <c r="AB29" i="25"/>
  <c r="AB37" i="25"/>
  <c r="AB42" i="25"/>
  <c r="AB52" i="25"/>
  <c r="AB32" i="25"/>
  <c r="AB49" i="25"/>
  <c r="AB51" i="25"/>
  <c r="AB28" i="25"/>
  <c r="AB36" i="25"/>
  <c r="AB41" i="25"/>
  <c r="AB26" i="25"/>
  <c r="AB33" i="25"/>
  <c r="AB40" i="25"/>
  <c r="AB50" i="25"/>
  <c r="AA97" i="25"/>
  <c r="AA93" i="25"/>
  <c r="AE94" i="25"/>
  <c r="AM97" i="25"/>
  <c r="AE97" i="25"/>
  <c r="AE105" i="25"/>
  <c r="AM94" i="25"/>
  <c r="AE79" i="25"/>
  <c r="AD86" i="25"/>
  <c r="AI75" i="25"/>
  <c r="AI76" i="25"/>
  <c r="AI82" i="25"/>
  <c r="AI70" i="25"/>
  <c r="W71" i="25"/>
  <c r="W76" i="25"/>
  <c r="W72" i="25"/>
  <c r="W77" i="25"/>
  <c r="AM102" i="25"/>
  <c r="AM92" i="25"/>
  <c r="AM99" i="25"/>
  <c r="AM7" i="25" s="1"/>
  <c r="AA98" i="25"/>
  <c r="AA104" i="25"/>
  <c r="AA95" i="25"/>
  <c r="AE84" i="25"/>
  <c r="AE76" i="25"/>
  <c r="AE80" i="25"/>
  <c r="AE83" i="25"/>
  <c r="AE99" i="25"/>
  <c r="AE7" i="25" s="1"/>
  <c r="AI81" i="25"/>
  <c r="AI79" i="25"/>
  <c r="AI93" i="25"/>
  <c r="AI69" i="25"/>
  <c r="AI101" i="25"/>
  <c r="AI97" i="25"/>
  <c r="AI106" i="25"/>
  <c r="AI100" i="25"/>
  <c r="AI91" i="25"/>
  <c r="AI6" i="25" s="1"/>
  <c r="AA68" i="25"/>
  <c r="AA79" i="25"/>
  <c r="AA73" i="25"/>
  <c r="V85" i="25"/>
  <c r="V90" i="25"/>
  <c r="AH85" i="25"/>
  <c r="AH90" i="25"/>
  <c r="AM68" i="25"/>
  <c r="AM73" i="25"/>
  <c r="AM84" i="25"/>
  <c r="V89" i="25"/>
  <c r="AH87" i="25"/>
  <c r="AH89" i="25"/>
  <c r="AA72" i="25"/>
  <c r="AK2" i="25"/>
  <c r="AA101" i="25"/>
  <c r="AA81" i="25"/>
  <c r="AA94" i="25"/>
  <c r="AA102" i="25"/>
  <c r="AA92" i="25"/>
  <c r="AA83" i="25"/>
  <c r="AA99" i="25"/>
  <c r="AA7" i="25" s="1"/>
  <c r="V86" i="25"/>
  <c r="AH86" i="25"/>
  <c r="AE71" i="25"/>
  <c r="AE70" i="25"/>
  <c r="AE69" i="25"/>
  <c r="AE101" i="25"/>
  <c r="AE96" i="25"/>
  <c r="AE103" i="25"/>
  <c r="AI84" i="25"/>
  <c r="AI74" i="25"/>
  <c r="AI72" i="25"/>
  <c r="AI73" i="25"/>
  <c r="AI80" i="25"/>
  <c r="AI98" i="25"/>
  <c r="AI104" i="25"/>
  <c r="AI95" i="25"/>
  <c r="W75" i="25"/>
  <c r="W70" i="25"/>
  <c r="W81" i="25"/>
  <c r="W79" i="25"/>
  <c r="W98" i="25"/>
  <c r="W93" i="25"/>
  <c r="W104" i="25"/>
  <c r="W95" i="25"/>
  <c r="AM72" i="25"/>
  <c r="AM75" i="25"/>
  <c r="AM77" i="25"/>
  <c r="AM82" i="25"/>
  <c r="AM86" i="25"/>
  <c r="AM105" i="25"/>
  <c r="AM96" i="25"/>
  <c r="AM103" i="25"/>
  <c r="AA89" i="25"/>
  <c r="V88" i="25"/>
  <c r="W87" i="25"/>
  <c r="W91" i="25"/>
  <c r="W6" i="25" s="1"/>
  <c r="AM74" i="25"/>
  <c r="AM80" i="25"/>
  <c r="AM83" i="25"/>
  <c r="AA76" i="25"/>
  <c r="AA71" i="25"/>
  <c r="AA74" i="25"/>
  <c r="AA70" i="25"/>
  <c r="AA80" i="25"/>
  <c r="AA105" i="25"/>
  <c r="AA96" i="25"/>
  <c r="AA103" i="25"/>
  <c r="AE75" i="25"/>
  <c r="AE74" i="25"/>
  <c r="AE73" i="25"/>
  <c r="AE98" i="25"/>
  <c r="AE106" i="25"/>
  <c r="AE100" i="25"/>
  <c r="AE91" i="25"/>
  <c r="AE6" i="25" s="1"/>
  <c r="AI68" i="25"/>
  <c r="AI78" i="25"/>
  <c r="AI77" i="25"/>
  <c r="AI89" i="25"/>
  <c r="AI94" i="25"/>
  <c r="AI102" i="25"/>
  <c r="AI92" i="25"/>
  <c r="AI83" i="25"/>
  <c r="AI99" i="25"/>
  <c r="AI7" i="25" s="1"/>
  <c r="W97" i="25"/>
  <c r="W78" i="25"/>
  <c r="W74" i="25"/>
  <c r="W69" i="25"/>
  <c r="W94" i="25"/>
  <c r="W102" i="25"/>
  <c r="W101" i="25"/>
  <c r="W92" i="25"/>
  <c r="W83" i="25"/>
  <c r="W99" i="25"/>
  <c r="W7" i="25" s="1"/>
  <c r="AM76" i="25"/>
  <c r="AM78" i="25"/>
  <c r="AM81" i="25"/>
  <c r="AM79" i="25"/>
  <c r="AM93" i="25"/>
  <c r="AM106" i="25"/>
  <c r="AM100" i="25"/>
  <c r="AM91" i="25"/>
  <c r="AM6" i="25" s="1"/>
  <c r="AA82" i="25"/>
  <c r="AE86" i="25"/>
  <c r="W106" i="25"/>
  <c r="W100" i="25"/>
  <c r="AM71" i="25"/>
  <c r="AH88" i="25"/>
  <c r="Z85" i="25"/>
  <c r="Z90" i="25"/>
  <c r="Z89" i="25"/>
  <c r="Z88" i="25"/>
  <c r="AA78" i="25"/>
  <c r="AA75" i="25"/>
  <c r="AA77" i="25"/>
  <c r="AA69" i="25"/>
  <c r="AA84" i="25"/>
  <c r="AA106" i="25"/>
  <c r="AA100" i="25"/>
  <c r="AA91" i="25"/>
  <c r="AA6" i="25" s="1"/>
  <c r="AD90" i="25"/>
  <c r="AD85" i="25"/>
  <c r="AE68" i="25"/>
  <c r="AE78" i="25"/>
  <c r="AE88" i="25"/>
  <c r="AE104" i="25"/>
  <c r="AE95" i="25"/>
  <c r="AI105" i="25"/>
  <c r="AI96" i="25"/>
  <c r="AI103" i="25"/>
  <c r="AG2" i="25"/>
  <c r="W68" i="25"/>
  <c r="W82" i="25"/>
  <c r="W73" i="25"/>
  <c r="W80" i="25"/>
  <c r="W84" i="25"/>
  <c r="W105" i="25"/>
  <c r="W96" i="25"/>
  <c r="W103" i="25"/>
  <c r="AM70" i="25"/>
  <c r="AM69" i="25"/>
  <c r="AM98" i="25"/>
  <c r="AM101" i="25"/>
  <c r="AM88" i="25"/>
  <c r="AM104" i="25"/>
  <c r="AM95" i="25"/>
  <c r="Z87" i="25"/>
  <c r="K15" i="25" l="1"/>
  <c r="K17" i="25"/>
  <c r="AF102" i="25"/>
  <c r="AF91" i="25"/>
  <c r="AF6" i="25" s="1"/>
  <c r="AF94" i="25"/>
  <c r="AM8" i="25"/>
  <c r="AK43" i="25"/>
  <c r="AK4" i="25" s="1"/>
  <c r="AK5" i="25" s="1"/>
  <c r="AK44" i="25"/>
  <c r="AK45" i="25"/>
  <c r="AK46" i="25"/>
  <c r="AK47" i="25"/>
  <c r="AK48" i="25"/>
  <c r="AK49" i="25"/>
  <c r="AK50" i="25"/>
  <c r="AK51" i="25"/>
  <c r="AK52" i="25"/>
  <c r="AK53" i="25"/>
  <c r="AK54" i="25"/>
  <c r="AK55" i="25"/>
  <c r="AK56" i="25"/>
  <c r="AK57" i="25"/>
  <c r="AK58" i="25"/>
  <c r="AK59" i="25"/>
  <c r="AK60" i="25"/>
  <c r="AK61" i="25"/>
  <c r="AK62" i="25"/>
  <c r="AK63" i="25"/>
  <c r="AK64" i="25"/>
  <c r="AK28" i="25"/>
  <c r="AK32" i="25"/>
  <c r="AK36" i="25"/>
  <c r="AK27" i="25"/>
  <c r="AK31" i="25"/>
  <c r="AK35" i="25"/>
  <c r="AK30" i="25"/>
  <c r="AK38" i="25"/>
  <c r="AK39" i="25"/>
  <c r="AK41" i="25"/>
  <c r="AK40" i="25"/>
  <c r="AK26" i="25"/>
  <c r="AK29" i="25"/>
  <c r="AK37" i="25"/>
  <c r="AK42" i="25"/>
  <c r="AK34" i="25"/>
  <c r="AK33" i="25"/>
  <c r="W8" i="25"/>
  <c r="AA8" i="25"/>
  <c r="AG43" i="25"/>
  <c r="AG4" i="25" s="1"/>
  <c r="AG5" i="25" s="1"/>
  <c r="AG49" i="25"/>
  <c r="AG50" i="25"/>
  <c r="AG51" i="25"/>
  <c r="AG52" i="25"/>
  <c r="AG44" i="25"/>
  <c r="AG45" i="25"/>
  <c r="AG46" i="25"/>
  <c r="AG47" i="25"/>
  <c r="AG53" i="25"/>
  <c r="AG54" i="25"/>
  <c r="AG55" i="25"/>
  <c r="AG56" i="25"/>
  <c r="AG57" i="25"/>
  <c r="AG58" i="25"/>
  <c r="AG59" i="25"/>
  <c r="AG60" i="25"/>
  <c r="AG61" i="25"/>
  <c r="AG62" i="25"/>
  <c r="AG63" i="25"/>
  <c r="AG64" i="25"/>
  <c r="AG28" i="25"/>
  <c r="AG32" i="25"/>
  <c r="AG36" i="25"/>
  <c r="AG26" i="25"/>
  <c r="AG31" i="25"/>
  <c r="AG35" i="25"/>
  <c r="AG48" i="25"/>
  <c r="AG34" i="25"/>
  <c r="AG39" i="25"/>
  <c r="AG37" i="25"/>
  <c r="AG33" i="25"/>
  <c r="AG42" i="25"/>
  <c r="AG27" i="25"/>
  <c r="AG30" i="25"/>
  <c r="AG38" i="25"/>
  <c r="AG41" i="25"/>
  <c r="AG29" i="25"/>
  <c r="AG40" i="25"/>
  <c r="AE8" i="25"/>
  <c r="AI8" i="25"/>
  <c r="AM89" i="25"/>
  <c r="AM87" i="25"/>
  <c r="AF98" i="25"/>
  <c r="AF95" i="25"/>
  <c r="AF99" i="25"/>
  <c r="AF7" i="25" s="1"/>
  <c r="AJ105" i="25"/>
  <c r="AJ96" i="25"/>
  <c r="AF72" i="25"/>
  <c r="AF69" i="25"/>
  <c r="AF70" i="25"/>
  <c r="AF77" i="25"/>
  <c r="AF93" i="25"/>
  <c r="AF84" i="25"/>
  <c r="AF100" i="25"/>
  <c r="AB72" i="25"/>
  <c r="AB83" i="25"/>
  <c r="AB71" i="25"/>
  <c r="AB79" i="25"/>
  <c r="K18" i="25"/>
  <c r="AF103" i="25"/>
  <c r="AB99" i="25"/>
  <c r="AB7" i="25" s="1"/>
  <c r="AB92" i="25"/>
  <c r="AI85" i="25"/>
  <c r="AI90" i="25"/>
  <c r="W85" i="25"/>
  <c r="W90" i="25"/>
  <c r="AJ69" i="25"/>
  <c r="W89" i="25"/>
  <c r="AB69" i="25"/>
  <c r="AB76" i="25"/>
  <c r="AB95" i="25"/>
  <c r="AB75" i="25"/>
  <c r="AL2" i="25"/>
  <c r="AB77" i="25"/>
  <c r="AB89" i="25"/>
  <c r="AB105" i="25"/>
  <c r="AB96" i="25"/>
  <c r="AI87" i="25"/>
  <c r="AE85" i="25"/>
  <c r="AE90" i="25"/>
  <c r="K13" i="25"/>
  <c r="K14" i="25"/>
  <c r="AI86" i="25"/>
  <c r="W86" i="25"/>
  <c r="AJ73" i="25"/>
  <c r="AJ72" i="25"/>
  <c r="AJ71" i="25"/>
  <c r="AJ70" i="25"/>
  <c r="AJ82" i="25"/>
  <c r="AJ83" i="25"/>
  <c r="AJ94" i="25"/>
  <c r="AJ93" i="25"/>
  <c r="AJ84" i="25"/>
  <c r="AJ100" i="25"/>
  <c r="AM85" i="25"/>
  <c r="AM90" i="25"/>
  <c r="W88" i="25"/>
  <c r="AF76" i="25"/>
  <c r="AF75" i="25"/>
  <c r="AF78" i="25"/>
  <c r="AF74" i="25"/>
  <c r="AF81" i="25"/>
  <c r="AF83" i="25"/>
  <c r="AF97" i="25"/>
  <c r="AF104" i="25"/>
  <c r="AB101" i="25"/>
  <c r="AJ86" i="25"/>
  <c r="AA85" i="25"/>
  <c r="AA90" i="25"/>
  <c r="AB73" i="25"/>
  <c r="AB78" i="25"/>
  <c r="AB98" i="25"/>
  <c r="AB82" i="25"/>
  <c r="AB70" i="25"/>
  <c r="AB81" i="25"/>
  <c r="AB94" i="25"/>
  <c r="AB93" i="25"/>
  <c r="AB84" i="25"/>
  <c r="AB100" i="25"/>
  <c r="K16" i="25"/>
  <c r="AA87" i="25"/>
  <c r="AJ76" i="25"/>
  <c r="AJ75" i="25"/>
  <c r="AJ74" i="25"/>
  <c r="AJ95" i="25"/>
  <c r="AJ91" i="25"/>
  <c r="AJ6" i="25" s="1"/>
  <c r="AJ102" i="25"/>
  <c r="AJ97" i="25"/>
  <c r="AJ104" i="25"/>
  <c r="AF82" i="25"/>
  <c r="AF79" i="25"/>
  <c r="AF80" i="25"/>
  <c r="AF87" i="25"/>
  <c r="AF106" i="25"/>
  <c r="AF101" i="25"/>
  <c r="AF92" i="25"/>
  <c r="AB106" i="25"/>
  <c r="AJ68" i="25"/>
  <c r="AJ80" i="25"/>
  <c r="AJ81" i="25"/>
  <c r="AB68" i="25"/>
  <c r="AB80" i="25"/>
  <c r="AB103" i="25"/>
  <c r="AB87" i="25"/>
  <c r="AB74" i="25"/>
  <c r="AB91" i="25"/>
  <c r="AB6" i="25" s="1"/>
  <c r="AB102" i="25"/>
  <c r="AB97" i="25"/>
  <c r="AB88" i="25"/>
  <c r="AB104" i="25"/>
  <c r="AA88" i="25"/>
  <c r="AJ106" i="25"/>
  <c r="AJ79" i="25"/>
  <c r="AJ98" i="25"/>
  <c r="AJ78" i="25"/>
  <c r="AJ77" i="25"/>
  <c r="AJ99" i="25"/>
  <c r="AJ7" i="25" s="1"/>
  <c r="AJ103" i="25"/>
  <c r="AJ101" i="25"/>
  <c r="AJ92" i="25"/>
  <c r="AA86" i="25"/>
  <c r="AI88" i="25"/>
  <c r="AE87" i="25"/>
  <c r="AE89" i="25"/>
  <c r="AF68" i="25"/>
  <c r="AF73" i="25"/>
  <c r="AF71" i="25"/>
  <c r="AF105" i="25"/>
  <c r="AF96" i="25"/>
  <c r="AF8" i="25" l="1"/>
  <c r="AK103" i="25"/>
  <c r="AK91" i="25"/>
  <c r="AK6" i="25" s="1"/>
  <c r="AG91" i="25"/>
  <c r="AG6" i="25" s="1"/>
  <c r="AG100" i="25"/>
  <c r="AG99" i="25"/>
  <c r="AG7" i="25" s="1"/>
  <c r="AG94" i="25"/>
  <c r="K19" i="25"/>
  <c r="AG104" i="25"/>
  <c r="AG96" i="25"/>
  <c r="AG92" i="25"/>
  <c r="AB8" i="25"/>
  <c r="AJ8" i="25"/>
  <c r="AL44" i="25"/>
  <c r="AL45" i="25"/>
  <c r="AL46" i="25"/>
  <c r="AL47" i="25"/>
  <c r="AL26" i="25"/>
  <c r="AL48" i="25"/>
  <c r="AL53" i="25"/>
  <c r="AL54" i="25"/>
  <c r="AL55" i="25"/>
  <c r="AL56" i="25"/>
  <c r="AL57" i="25"/>
  <c r="AL58" i="25"/>
  <c r="AL59" i="25"/>
  <c r="AL60" i="25"/>
  <c r="AL61" i="25"/>
  <c r="AL62" i="25"/>
  <c r="AL63" i="25"/>
  <c r="AL64" i="25"/>
  <c r="AL29" i="25"/>
  <c r="AL33" i="25"/>
  <c r="AL37" i="25"/>
  <c r="AL43" i="25"/>
  <c r="AL4" i="25" s="1"/>
  <c r="AL5" i="25" s="1"/>
  <c r="AL28" i="25"/>
  <c r="AL32" i="25"/>
  <c r="AL36" i="25"/>
  <c r="AL50" i="25"/>
  <c r="AL52" i="25"/>
  <c r="AL27" i="25"/>
  <c r="AL31" i="25"/>
  <c r="AL40" i="25"/>
  <c r="AL42" i="25"/>
  <c r="AL41" i="25"/>
  <c r="AL30" i="25"/>
  <c r="AL38" i="25"/>
  <c r="AL39" i="25"/>
  <c r="AL49" i="25"/>
  <c r="AL51" i="25"/>
  <c r="AL35" i="25"/>
  <c r="AL34" i="25"/>
  <c r="AK99" i="25"/>
  <c r="AK7" i="25" s="1"/>
  <c r="AK100" i="25"/>
  <c r="AJ88" i="25"/>
  <c r="AK95" i="25"/>
  <c r="AK92" i="25"/>
  <c r="AK96" i="25"/>
  <c r="AK104" i="25"/>
  <c r="AJ89" i="25"/>
  <c r="AG103" i="25"/>
  <c r="AG102" i="25"/>
  <c r="AG97" i="25"/>
  <c r="AJ87" i="25"/>
  <c r="AK98" i="25"/>
  <c r="AK93" i="25"/>
  <c r="AF89" i="25"/>
  <c r="AF86" i="25"/>
  <c r="AK102" i="25"/>
  <c r="AK77" i="25"/>
  <c r="AG77" i="25"/>
  <c r="AK76" i="25"/>
  <c r="AK78" i="25"/>
  <c r="AK83" i="25"/>
  <c r="AK97" i="25"/>
  <c r="AB85" i="25"/>
  <c r="AB90" i="25"/>
  <c r="AG72" i="25"/>
  <c r="AG79" i="25"/>
  <c r="AG78" i="25"/>
  <c r="AG106" i="25"/>
  <c r="AG101" i="25"/>
  <c r="AK80" i="25"/>
  <c r="AK84" i="25"/>
  <c r="AG80" i="25"/>
  <c r="AG75" i="25"/>
  <c r="AK70" i="25"/>
  <c r="AK69" i="25"/>
  <c r="AK79" i="25"/>
  <c r="AK72" i="25"/>
  <c r="AK87" i="25"/>
  <c r="AK106" i="25"/>
  <c r="AK101" i="25"/>
  <c r="AB86" i="25"/>
  <c r="AG69" i="25"/>
  <c r="AG74" i="25"/>
  <c r="AG70" i="25"/>
  <c r="AG81" i="25"/>
  <c r="AG82" i="25"/>
  <c r="AG87" i="25"/>
  <c r="AG105" i="25"/>
  <c r="AK68" i="25"/>
  <c r="AK75" i="25"/>
  <c r="AG68" i="25"/>
  <c r="AF85" i="25"/>
  <c r="AF90" i="25"/>
  <c r="AK74" i="25"/>
  <c r="AK73" i="25"/>
  <c r="AK82" i="25"/>
  <c r="AK81" i="25"/>
  <c r="AK71" i="25"/>
  <c r="AK88" i="25"/>
  <c r="AK94" i="25"/>
  <c r="AK89" i="25"/>
  <c r="AK105" i="25"/>
  <c r="AJ85" i="25"/>
  <c r="AJ90" i="25"/>
  <c r="AF88" i="25"/>
  <c r="AG73" i="25"/>
  <c r="AG76" i="25"/>
  <c r="AG71" i="25"/>
  <c r="AG83" i="25"/>
  <c r="AG84" i="25"/>
  <c r="AG95" i="25"/>
  <c r="AG98" i="25"/>
  <c r="AG93" i="25"/>
  <c r="AK8" i="25" l="1"/>
  <c r="AG8" i="25"/>
  <c r="AL80" i="25"/>
  <c r="AL93" i="25"/>
  <c r="AL105" i="25"/>
  <c r="AL104" i="25"/>
  <c r="AL74" i="25"/>
  <c r="AL83" i="25"/>
  <c r="AL75" i="25"/>
  <c r="AL71" i="25"/>
  <c r="AL95" i="25"/>
  <c r="AL77" i="25"/>
  <c r="AG89" i="25"/>
  <c r="AL100" i="25"/>
  <c r="AL96" i="25"/>
  <c r="AL91" i="25"/>
  <c r="AL6" i="25" s="1"/>
  <c r="AL92" i="25"/>
  <c r="AL101" i="25"/>
  <c r="AL97" i="25"/>
  <c r="AL99" i="25"/>
  <c r="AL7" i="25" s="1"/>
  <c r="AL73" i="25"/>
  <c r="AL69" i="25"/>
  <c r="AL81" i="25"/>
  <c r="AL84" i="25"/>
  <c r="AL82" i="25"/>
  <c r="AL98" i="25"/>
  <c r="AG90" i="25"/>
  <c r="AG85" i="25"/>
  <c r="AL68" i="25"/>
  <c r="AL102" i="25"/>
  <c r="AK90" i="25"/>
  <c r="AK85" i="25"/>
  <c r="AG88" i="25"/>
  <c r="AG86" i="25"/>
  <c r="AL72" i="25"/>
  <c r="AL106" i="25"/>
  <c r="AK86" i="25"/>
  <c r="AL70" i="25"/>
  <c r="AL78" i="25"/>
  <c r="AL76" i="25"/>
  <c r="AL79" i="25"/>
  <c r="AL103" i="25"/>
  <c r="AL94" i="25"/>
  <c r="AL8" i="25" l="1"/>
  <c r="AL85" i="25"/>
  <c r="AL90" i="25"/>
  <c r="AL86" i="25"/>
  <c r="AL88" i="25"/>
  <c r="AL87" i="25"/>
  <c r="AL89" i="25"/>
  <c r="E2" i="14" l="1"/>
  <c r="F2" i="14" s="1"/>
  <c r="G2" i="14" s="1"/>
  <c r="H2" i="14" l="1"/>
  <c r="G11" i="14"/>
  <c r="G7" i="14"/>
  <c r="G10" i="14"/>
  <c r="G6" i="14"/>
  <c r="G9" i="14"/>
  <c r="G5" i="14"/>
  <c r="G8" i="14"/>
  <c r="G15" i="14"/>
  <c r="E50" i="13"/>
  <c r="E46" i="13"/>
  <c r="E41" i="13"/>
  <c r="E37" i="13"/>
  <c r="E35" i="13"/>
  <c r="E49" i="13"/>
  <c r="E51" i="13"/>
  <c r="E47" i="13"/>
  <c r="E42" i="13"/>
  <c r="E38" i="13"/>
  <c r="E40" i="13"/>
  <c r="E52" i="13"/>
  <c r="E48" i="13"/>
  <c r="E43" i="13"/>
  <c r="E39" i="13"/>
  <c r="E44" i="13"/>
  <c r="E34" i="13"/>
  <c r="E11" i="13"/>
  <c r="E15" i="13"/>
  <c r="E20" i="13"/>
  <c r="E24" i="13"/>
  <c r="E12" i="13"/>
  <c r="E16" i="13"/>
  <c r="E21" i="13"/>
  <c r="E25" i="13"/>
  <c r="E8" i="13"/>
  <c r="E13" i="13"/>
  <c r="E17" i="13"/>
  <c r="E22" i="13"/>
  <c r="E26" i="13"/>
  <c r="E9" i="13"/>
  <c r="E14" i="13"/>
  <c r="E18" i="13"/>
  <c r="E23" i="13"/>
  <c r="F5" i="13"/>
  <c r="E5" i="14"/>
  <c r="E4" i="14"/>
  <c r="E33" i="13" l="1"/>
  <c r="G5" i="13"/>
  <c r="G44" i="13" s="1"/>
  <c r="K14" i="16"/>
  <c r="F9" i="31" s="1"/>
  <c r="G19" i="14"/>
  <c r="G21" i="14"/>
  <c r="G16" i="14"/>
  <c r="G18" i="14"/>
  <c r="G20" i="14"/>
  <c r="G22" i="14"/>
  <c r="G17" i="14"/>
  <c r="I2" i="14"/>
  <c r="H15" i="14"/>
  <c r="H8" i="14"/>
  <c r="H7" i="14"/>
  <c r="H11" i="14"/>
  <c r="H6" i="14"/>
  <c r="H10" i="14"/>
  <c r="H5" i="14"/>
  <c r="H9" i="14"/>
  <c r="F51" i="13"/>
  <c r="F47" i="13"/>
  <c r="F42" i="13"/>
  <c r="F38" i="13"/>
  <c r="F41" i="13"/>
  <c r="F37" i="13"/>
  <c r="F35" i="13"/>
  <c r="F52" i="13"/>
  <c r="F48" i="13"/>
  <c r="F43" i="13"/>
  <c r="F39" i="13"/>
  <c r="F40" i="13"/>
  <c r="F34" i="13"/>
  <c r="F49" i="13"/>
  <c r="F44" i="13"/>
  <c r="F50" i="13"/>
  <c r="F46" i="13"/>
  <c r="E36" i="13"/>
  <c r="E45" i="13"/>
  <c r="E6" i="14"/>
  <c r="E17" i="14" s="1"/>
  <c r="E11" i="14"/>
  <c r="E22" i="14" s="1"/>
  <c r="E7" i="14"/>
  <c r="E18" i="14" s="1"/>
  <c r="E8" i="14"/>
  <c r="E19" i="14" s="1"/>
  <c r="F10" i="14"/>
  <c r="E9" i="14"/>
  <c r="E20" i="14" s="1"/>
  <c r="E10" i="14"/>
  <c r="E21" i="14" s="1"/>
  <c r="J14" i="16"/>
  <c r="H17" i="16"/>
  <c r="H14" i="16"/>
  <c r="I14" i="16"/>
  <c r="D9" i="31" s="1"/>
  <c r="K13" i="16"/>
  <c r="I17" i="16"/>
  <c r="J13" i="16"/>
  <c r="J15" i="16"/>
  <c r="K19" i="16"/>
  <c r="H19" i="16"/>
  <c r="E7" i="13"/>
  <c r="E19" i="13"/>
  <c r="E10" i="13"/>
  <c r="E16" i="14"/>
  <c r="E15" i="14"/>
  <c r="H13" i="16"/>
  <c r="K15" i="16"/>
  <c r="J19" i="16"/>
  <c r="H15" i="16"/>
  <c r="I19" i="16"/>
  <c r="J17" i="16"/>
  <c r="K18" i="16"/>
  <c r="I13" i="16"/>
  <c r="I12" i="16"/>
  <c r="D7" i="31" s="1"/>
  <c r="J12" i="16"/>
  <c r="K17" i="16"/>
  <c r="I18" i="16"/>
  <c r="F20" i="13"/>
  <c r="F11" i="13"/>
  <c r="H12" i="16"/>
  <c r="J18" i="16"/>
  <c r="F26" i="13"/>
  <c r="F25" i="13"/>
  <c r="F23" i="13"/>
  <c r="K12" i="16"/>
  <c r="F7" i="31" s="1"/>
  <c r="F6" i="31" s="1"/>
  <c r="F13" i="13"/>
  <c r="F9" i="13"/>
  <c r="F12" i="13"/>
  <c r="I15" i="16"/>
  <c r="F22" i="13"/>
  <c r="F15" i="13"/>
  <c r="F8" i="13"/>
  <c r="F14" i="13"/>
  <c r="F16" i="13"/>
  <c r="H18" i="16"/>
  <c r="F24" i="13"/>
  <c r="F17" i="13"/>
  <c r="F18" i="13"/>
  <c r="F21" i="13"/>
  <c r="H16" i="16" l="1"/>
  <c r="K16" i="16"/>
  <c r="J16" i="16"/>
  <c r="I16" i="16"/>
  <c r="G15" i="13"/>
  <c r="G39" i="13"/>
  <c r="G17" i="13"/>
  <c r="G16" i="13"/>
  <c r="G48" i="13"/>
  <c r="G14" i="13"/>
  <c r="G51" i="13"/>
  <c r="G24" i="13"/>
  <c r="G11" i="13"/>
  <c r="G47" i="13"/>
  <c r="G13" i="13"/>
  <c r="G12" i="13"/>
  <c r="G23" i="13"/>
  <c r="G9" i="13"/>
  <c r="G35" i="13"/>
  <c r="G26" i="13"/>
  <c r="G41" i="13"/>
  <c r="G22" i="13"/>
  <c r="G8" i="13"/>
  <c r="G49" i="13"/>
  <c r="G34" i="13"/>
  <c r="H5" i="13"/>
  <c r="H37" i="13" s="1"/>
  <c r="G25" i="13"/>
  <c r="G46" i="13"/>
  <c r="G21" i="13"/>
  <c r="G20" i="13"/>
  <c r="G43" i="13"/>
  <c r="G18" i="13"/>
  <c r="G38" i="13"/>
  <c r="G52" i="13"/>
  <c r="G50" i="13"/>
  <c r="G40" i="13"/>
  <c r="G37" i="13"/>
  <c r="G42" i="13"/>
  <c r="F14" i="31"/>
  <c r="H17" i="14"/>
  <c r="H16" i="14"/>
  <c r="H18" i="14"/>
  <c r="H21" i="14"/>
  <c r="H19" i="14"/>
  <c r="H20" i="14"/>
  <c r="H22" i="14"/>
  <c r="J2" i="14"/>
  <c r="I5" i="14"/>
  <c r="I9" i="14"/>
  <c r="I15" i="14"/>
  <c r="I8" i="14"/>
  <c r="I7" i="14"/>
  <c r="I11" i="14"/>
  <c r="I6" i="14"/>
  <c r="I10" i="14"/>
  <c r="H50" i="13"/>
  <c r="H35" i="13"/>
  <c r="H25" i="13"/>
  <c r="H11" i="13"/>
  <c r="H15" i="13"/>
  <c r="D6" i="31"/>
  <c r="E53" i="13"/>
  <c r="F36" i="13"/>
  <c r="F45" i="13"/>
  <c r="F33" i="13"/>
  <c r="F6" i="14"/>
  <c r="F4" i="14"/>
  <c r="F15" i="14" s="1"/>
  <c r="F8" i="14"/>
  <c r="F11" i="14"/>
  <c r="F9" i="14"/>
  <c r="F7" i="14"/>
  <c r="F5" i="14"/>
  <c r="J11" i="16"/>
  <c r="L14" i="16"/>
  <c r="K11" i="16"/>
  <c r="E27" i="13"/>
  <c r="F7" i="13"/>
  <c r="I11" i="16"/>
  <c r="L17" i="16"/>
  <c r="L19" i="16"/>
  <c r="L13" i="16"/>
  <c r="H11" i="16"/>
  <c r="L12" i="16"/>
  <c r="F19" i="13"/>
  <c r="L15" i="16"/>
  <c r="L18" i="16"/>
  <c r="F10" i="13"/>
  <c r="I20" i="16" l="1"/>
  <c r="H20" i="16"/>
  <c r="J20" i="16"/>
  <c r="K20" i="16"/>
  <c r="L16" i="16"/>
  <c r="G7" i="13"/>
  <c r="G45" i="13"/>
  <c r="G33" i="13"/>
  <c r="G10" i="13"/>
  <c r="G19" i="13"/>
  <c r="H40" i="13"/>
  <c r="H43" i="13"/>
  <c r="H52" i="13"/>
  <c r="H24" i="13"/>
  <c r="H34" i="13"/>
  <c r="H33" i="13" s="1"/>
  <c r="H41" i="13"/>
  <c r="H22" i="13"/>
  <c r="H38" i="13"/>
  <c r="H42" i="13"/>
  <c r="H20" i="13"/>
  <c r="H44" i="13"/>
  <c r="H46" i="13"/>
  <c r="H13" i="13"/>
  <c r="H9" i="13"/>
  <c r="H47" i="13"/>
  <c r="H21" i="13"/>
  <c r="H17" i="13"/>
  <c r="H26" i="13"/>
  <c r="H8" i="13"/>
  <c r="H51" i="13"/>
  <c r="H14" i="13"/>
  <c r="H16" i="13"/>
  <c r="H23" i="13"/>
  <c r="H39" i="13"/>
  <c r="H48" i="13"/>
  <c r="I5" i="13"/>
  <c r="I42" i="13" s="1"/>
  <c r="H12" i="13"/>
  <c r="H18" i="13"/>
  <c r="H49" i="13"/>
  <c r="G36" i="13"/>
  <c r="I17" i="14"/>
  <c r="I22" i="14"/>
  <c r="I20" i="14"/>
  <c r="I18" i="14"/>
  <c r="I16" i="14"/>
  <c r="I21" i="14"/>
  <c r="I19" i="14"/>
  <c r="J5" i="13"/>
  <c r="I51" i="13"/>
  <c r="I47" i="13"/>
  <c r="I38" i="13"/>
  <c r="I49" i="13"/>
  <c r="I52" i="13"/>
  <c r="I48" i="13"/>
  <c r="I43" i="13"/>
  <c r="I39" i="13"/>
  <c r="I34" i="13"/>
  <c r="I44" i="13"/>
  <c r="I41" i="13"/>
  <c r="I37" i="13"/>
  <c r="I46" i="13"/>
  <c r="I50" i="13"/>
  <c r="I40" i="13"/>
  <c r="I8" i="13"/>
  <c r="I9" i="13"/>
  <c r="I11" i="13"/>
  <c r="I12" i="13"/>
  <c r="I13" i="13"/>
  <c r="I14" i="13"/>
  <c r="I15" i="13"/>
  <c r="I16" i="13"/>
  <c r="I17" i="13"/>
  <c r="I18" i="13"/>
  <c r="I20" i="13"/>
  <c r="I21" i="13"/>
  <c r="I22" i="13"/>
  <c r="I23" i="13"/>
  <c r="I24" i="13"/>
  <c r="I25" i="13"/>
  <c r="I26" i="13"/>
  <c r="K2" i="14"/>
  <c r="J6" i="14"/>
  <c r="J10" i="14"/>
  <c r="J5" i="14"/>
  <c r="J9" i="14"/>
  <c r="J15" i="14"/>
  <c r="J8" i="14"/>
  <c r="J7" i="14"/>
  <c r="J11" i="14"/>
  <c r="D14" i="31"/>
  <c r="F53" i="13"/>
  <c r="F17" i="14"/>
  <c r="F22" i="14"/>
  <c r="F21" i="14"/>
  <c r="F16" i="14"/>
  <c r="F19" i="14"/>
  <c r="F18" i="14"/>
  <c r="F20" i="14"/>
  <c r="L11" i="16"/>
  <c r="F27" i="13"/>
  <c r="L20" i="16" l="1"/>
  <c r="L21" i="16"/>
  <c r="G27" i="13"/>
  <c r="G53" i="13"/>
  <c r="H45" i="13"/>
  <c r="H7" i="13"/>
  <c r="H10" i="13"/>
  <c r="H36" i="13"/>
  <c r="H19" i="13"/>
  <c r="I35" i="13"/>
  <c r="I33" i="13" s="1"/>
  <c r="AA47" i="13" s="1"/>
  <c r="K27" i="16"/>
  <c r="F22" i="31" s="1"/>
  <c r="H31" i="16"/>
  <c r="H28" i="16"/>
  <c r="I31" i="16"/>
  <c r="K30" i="16"/>
  <c r="J30" i="16"/>
  <c r="J27" i="16"/>
  <c r="I25" i="16"/>
  <c r="D20" i="31" s="1"/>
  <c r="J28" i="16"/>
  <c r="H26" i="16"/>
  <c r="H30" i="16"/>
  <c r="H32" i="16"/>
  <c r="I32" i="16"/>
  <c r="I27" i="16"/>
  <c r="D22" i="31" s="1"/>
  <c r="J31" i="16"/>
  <c r="K28" i="16"/>
  <c r="H25" i="16"/>
  <c r="I28" i="16"/>
  <c r="J25" i="16"/>
  <c r="K26" i="16"/>
  <c r="H27" i="16"/>
  <c r="I30" i="16"/>
  <c r="K25" i="16"/>
  <c r="F20" i="31" s="1"/>
  <c r="J32" i="16"/>
  <c r="K31" i="16"/>
  <c r="J26" i="16"/>
  <c r="K32" i="16"/>
  <c r="I26" i="16"/>
  <c r="E7" i="31"/>
  <c r="E8" i="31"/>
  <c r="H8" i="31" s="1"/>
  <c r="E12" i="31"/>
  <c r="E10" i="31"/>
  <c r="H10" i="31" s="1"/>
  <c r="E13" i="31"/>
  <c r="H13" i="31" s="1"/>
  <c r="E9" i="31"/>
  <c r="H9" i="31" s="1"/>
  <c r="Z17" i="14"/>
  <c r="J18" i="14"/>
  <c r="Z18" i="14"/>
  <c r="Z19" i="14"/>
  <c r="J16" i="14"/>
  <c r="J22" i="14"/>
  <c r="J20" i="14"/>
  <c r="L2" i="14"/>
  <c r="K7" i="14"/>
  <c r="K11" i="14"/>
  <c r="K6" i="14"/>
  <c r="K10" i="14"/>
  <c r="K5" i="14"/>
  <c r="K9" i="14"/>
  <c r="K15" i="14"/>
  <c r="K8" i="14"/>
  <c r="AK34" i="13"/>
  <c r="I7" i="13"/>
  <c r="AA46" i="13"/>
  <c r="AK33" i="13"/>
  <c r="I45" i="13"/>
  <c r="AA48" i="13"/>
  <c r="AA45" i="13"/>
  <c r="J19" i="14"/>
  <c r="J21" i="14"/>
  <c r="I36" i="13"/>
  <c r="AA44" i="13" s="1"/>
  <c r="J17" i="14"/>
  <c r="I19" i="13"/>
  <c r="I10" i="13"/>
  <c r="K5" i="13"/>
  <c r="J52" i="13"/>
  <c r="J48" i="13"/>
  <c r="J43" i="13"/>
  <c r="J39" i="13"/>
  <c r="J34" i="13"/>
  <c r="J50" i="13"/>
  <c r="J41" i="13"/>
  <c r="J49" i="13"/>
  <c r="J44" i="13"/>
  <c r="J40" i="13"/>
  <c r="J35" i="13"/>
  <c r="J46" i="13"/>
  <c r="J42" i="13"/>
  <c r="J51" i="13"/>
  <c r="J38" i="13"/>
  <c r="J47" i="13"/>
  <c r="J37" i="13"/>
  <c r="J8" i="13"/>
  <c r="J9" i="13"/>
  <c r="J11" i="13"/>
  <c r="J12" i="13"/>
  <c r="J13" i="13"/>
  <c r="J14" i="13"/>
  <c r="J15" i="13"/>
  <c r="J16" i="13"/>
  <c r="J17" i="13"/>
  <c r="J18" i="13"/>
  <c r="J20" i="13"/>
  <c r="J21" i="13"/>
  <c r="J22" i="13"/>
  <c r="J23" i="13"/>
  <c r="J24" i="13"/>
  <c r="J25" i="13"/>
  <c r="J26" i="13"/>
  <c r="H53" i="13" l="1"/>
  <c r="H27" i="13"/>
  <c r="J24" i="16"/>
  <c r="J29" i="16"/>
  <c r="L27" i="16"/>
  <c r="K29" i="16"/>
  <c r="L25" i="16"/>
  <c r="H24" i="16"/>
  <c r="K24" i="16"/>
  <c r="F19" i="31"/>
  <c r="F27" i="31" s="1"/>
  <c r="L30" i="16"/>
  <c r="H29" i="16"/>
  <c r="I29" i="16"/>
  <c r="L26" i="16"/>
  <c r="L28" i="16"/>
  <c r="L31" i="16"/>
  <c r="D19" i="31"/>
  <c r="D27" i="31" s="1"/>
  <c r="I24" i="16"/>
  <c r="L32" i="16"/>
  <c r="AA33" i="13"/>
  <c r="Z20" i="14"/>
  <c r="K19" i="14"/>
  <c r="AA49" i="13"/>
  <c r="AF33" i="13"/>
  <c r="J36" i="13"/>
  <c r="I27" i="13"/>
  <c r="AA8" i="13" s="1"/>
  <c r="K20" i="14"/>
  <c r="J33" i="13"/>
  <c r="AA37" i="13"/>
  <c r="AA38" i="13"/>
  <c r="K22" i="14"/>
  <c r="J19" i="13"/>
  <c r="J10" i="13"/>
  <c r="J45" i="13"/>
  <c r="L5" i="13"/>
  <c r="K49" i="13"/>
  <c r="K44" i="13"/>
  <c r="K40" i="13"/>
  <c r="K35" i="13"/>
  <c r="K51" i="13"/>
  <c r="K50" i="13"/>
  <c r="K46" i="13"/>
  <c r="K41" i="13"/>
  <c r="K37" i="13"/>
  <c r="K47" i="13"/>
  <c r="K42" i="13"/>
  <c r="K43" i="13"/>
  <c r="K34" i="13"/>
  <c r="K39" i="13"/>
  <c r="K48" i="13"/>
  <c r="K38" i="13"/>
  <c r="K52" i="13"/>
  <c r="K8" i="13"/>
  <c r="K9" i="13"/>
  <c r="K11" i="13"/>
  <c r="K12" i="13"/>
  <c r="K13" i="13"/>
  <c r="K14" i="13"/>
  <c r="K15" i="13"/>
  <c r="K16" i="13"/>
  <c r="K17" i="13"/>
  <c r="K18" i="13"/>
  <c r="K20" i="13"/>
  <c r="K21" i="13"/>
  <c r="K22" i="13"/>
  <c r="K23" i="13"/>
  <c r="K24" i="13"/>
  <c r="K26" i="13"/>
  <c r="K25" i="13"/>
  <c r="AA34" i="13"/>
  <c r="AF34" i="13"/>
  <c r="K16" i="14"/>
  <c r="K18" i="14"/>
  <c r="I53" i="13"/>
  <c r="K21" i="14"/>
  <c r="M2" i="14"/>
  <c r="L15" i="14"/>
  <c r="L8" i="14"/>
  <c r="L7" i="14"/>
  <c r="L11" i="14"/>
  <c r="L6" i="14"/>
  <c r="L10" i="14"/>
  <c r="L5" i="14"/>
  <c r="L9" i="14"/>
  <c r="J7" i="13"/>
  <c r="AA35" i="13"/>
  <c r="AK35" i="13"/>
  <c r="AA36" i="13"/>
  <c r="K17" i="14"/>
  <c r="E6" i="31"/>
  <c r="H7" i="31"/>
  <c r="E11" i="31"/>
  <c r="H11" i="31" s="1"/>
  <c r="H12" i="31"/>
  <c r="K33" i="16" l="1"/>
  <c r="J33" i="16"/>
  <c r="I33" i="16"/>
  <c r="L29" i="16"/>
  <c r="H33" i="16"/>
  <c r="L24" i="16"/>
  <c r="J27" i="13"/>
  <c r="AF35" i="13"/>
  <c r="L17" i="14"/>
  <c r="K33" i="13"/>
  <c r="L20" i="14"/>
  <c r="L22" i="14"/>
  <c r="L16" i="14"/>
  <c r="L18" i="14"/>
  <c r="AA39" i="13"/>
  <c r="L21" i="14"/>
  <c r="L19" i="14"/>
  <c r="J53" i="13"/>
  <c r="N2" i="14"/>
  <c r="M5" i="14"/>
  <c r="M9" i="14"/>
  <c r="M15" i="14"/>
  <c r="M8" i="14"/>
  <c r="M7" i="14"/>
  <c r="M11" i="14"/>
  <c r="M6" i="14"/>
  <c r="M10" i="14"/>
  <c r="K7" i="13"/>
  <c r="K36" i="13"/>
  <c r="K19" i="13"/>
  <c r="K10" i="13"/>
  <c r="M5" i="13"/>
  <c r="L50" i="13"/>
  <c r="L46" i="13"/>
  <c r="L41" i="13"/>
  <c r="L37" i="13"/>
  <c r="L43" i="13"/>
  <c r="L51" i="13"/>
  <c r="L47" i="13"/>
  <c r="L42" i="13"/>
  <c r="L38" i="13"/>
  <c r="L52" i="13"/>
  <c r="L48" i="13"/>
  <c r="L44" i="13"/>
  <c r="L35" i="13"/>
  <c r="L40" i="13"/>
  <c r="L49" i="13"/>
  <c r="L39" i="13"/>
  <c r="L34" i="13"/>
  <c r="L8" i="13"/>
  <c r="L9" i="13"/>
  <c r="L13" i="13"/>
  <c r="L17" i="13"/>
  <c r="L22" i="13"/>
  <c r="L11" i="13"/>
  <c r="L15" i="13"/>
  <c r="L25" i="13"/>
  <c r="L12" i="13"/>
  <c r="L16" i="13"/>
  <c r="L21" i="13"/>
  <c r="L26" i="13"/>
  <c r="L14" i="13"/>
  <c r="L18" i="13"/>
  <c r="L23" i="13"/>
  <c r="L20" i="13"/>
  <c r="L24" i="13"/>
  <c r="K45" i="13"/>
  <c r="E14" i="31"/>
  <c r="H14" i="31" s="1"/>
  <c r="H6" i="31"/>
  <c r="L33" i="16" l="1"/>
  <c r="E22" i="31"/>
  <c r="H22" i="31" s="1"/>
  <c r="L9" i="31" s="1"/>
  <c r="E25" i="31"/>
  <c r="E23" i="31"/>
  <c r="H23" i="31" s="1"/>
  <c r="L10" i="31" s="1"/>
  <c r="E26" i="31"/>
  <c r="H26" i="31" s="1"/>
  <c r="E21" i="31"/>
  <c r="H21" i="31" s="1"/>
  <c r="E20" i="31"/>
  <c r="L33" i="13"/>
  <c r="K53" i="13"/>
  <c r="M17" i="14"/>
  <c r="L7" i="13"/>
  <c r="K27" i="13"/>
  <c r="L36" i="13"/>
  <c r="N5" i="13"/>
  <c r="K66" i="16" s="1"/>
  <c r="F35" i="31" s="1"/>
  <c r="M51" i="13"/>
  <c r="M47" i="13"/>
  <c r="M42" i="13"/>
  <c r="M38" i="13"/>
  <c r="M44" i="13"/>
  <c r="M52" i="13"/>
  <c r="M48" i="13"/>
  <c r="M43" i="13"/>
  <c r="M39" i="13"/>
  <c r="M34" i="13"/>
  <c r="M49" i="13"/>
  <c r="M46" i="13"/>
  <c r="M37" i="13"/>
  <c r="M50" i="13"/>
  <c r="M40" i="13"/>
  <c r="M41" i="13"/>
  <c r="M35" i="13"/>
  <c r="M8" i="13"/>
  <c r="M9" i="13"/>
  <c r="M11" i="13"/>
  <c r="M12" i="13"/>
  <c r="M13" i="13"/>
  <c r="M14" i="13"/>
  <c r="M15" i="13"/>
  <c r="M16" i="13"/>
  <c r="M17" i="13"/>
  <c r="M18" i="13"/>
  <c r="M20" i="13"/>
  <c r="M21" i="13"/>
  <c r="M22" i="13"/>
  <c r="M23" i="13"/>
  <c r="M24" i="13"/>
  <c r="M25" i="13"/>
  <c r="M26" i="13"/>
  <c r="L10" i="13"/>
  <c r="M22" i="14"/>
  <c r="M20" i="14"/>
  <c r="L45" i="13"/>
  <c r="M18" i="14"/>
  <c r="M16" i="14"/>
  <c r="L19" i="13"/>
  <c r="M21" i="14"/>
  <c r="M19" i="14"/>
  <c r="O2" i="14"/>
  <c r="N6" i="14"/>
  <c r="N10" i="14"/>
  <c r="N5" i="14"/>
  <c r="N9" i="14"/>
  <c r="N15" i="14"/>
  <c r="N8" i="14"/>
  <c r="N7" i="14"/>
  <c r="N11" i="14"/>
  <c r="E19" i="31" l="1"/>
  <c r="H19" i="31" s="1"/>
  <c r="L8" i="31" s="1"/>
  <c r="H20" i="31"/>
  <c r="H25" i="31"/>
  <c r="E24" i="31"/>
  <c r="L53" i="13"/>
  <c r="L27" i="13"/>
  <c r="N18" i="14"/>
  <c r="N22" i="14"/>
  <c r="N20" i="14"/>
  <c r="P2" i="14"/>
  <c r="O7" i="14"/>
  <c r="O11" i="14"/>
  <c r="O6" i="14"/>
  <c r="O10" i="14"/>
  <c r="O5" i="14"/>
  <c r="O9" i="14"/>
  <c r="O15" i="14"/>
  <c r="O8" i="14"/>
  <c r="M7" i="13"/>
  <c r="M33" i="13"/>
  <c r="N16" i="14"/>
  <c r="M36" i="13"/>
  <c r="N19" i="14"/>
  <c r="N21" i="14"/>
  <c r="M19" i="13"/>
  <c r="M10" i="13"/>
  <c r="M45" i="13"/>
  <c r="O5" i="13"/>
  <c r="N52" i="13"/>
  <c r="N48" i="13"/>
  <c r="N43" i="13"/>
  <c r="N39" i="13"/>
  <c r="N34" i="13"/>
  <c r="N46" i="13"/>
  <c r="N49" i="13"/>
  <c r="N44" i="13"/>
  <c r="N40" i="13"/>
  <c r="N35" i="13"/>
  <c r="N50" i="13"/>
  <c r="N41" i="13"/>
  <c r="N47" i="13"/>
  <c r="N38" i="13"/>
  <c r="N42" i="13"/>
  <c r="N51" i="13"/>
  <c r="N37" i="13"/>
  <c r="N25" i="13"/>
  <c r="N8" i="13"/>
  <c r="N9" i="13"/>
  <c r="N11" i="13"/>
  <c r="N12" i="13"/>
  <c r="N13" i="13"/>
  <c r="N14" i="13"/>
  <c r="N15" i="13"/>
  <c r="N16" i="13"/>
  <c r="N17" i="13"/>
  <c r="N18" i="13"/>
  <c r="N20" i="13"/>
  <c r="N21" i="13"/>
  <c r="N22" i="13"/>
  <c r="N23" i="13"/>
  <c r="N24" i="13"/>
  <c r="N26" i="13"/>
  <c r="H71" i="16"/>
  <c r="H70" i="16"/>
  <c r="H66" i="16"/>
  <c r="K69" i="16"/>
  <c r="K64" i="16"/>
  <c r="F33" i="31" s="1"/>
  <c r="J69" i="16"/>
  <c r="I71" i="16"/>
  <c r="I65" i="16"/>
  <c r="J64" i="16"/>
  <c r="H69" i="16"/>
  <c r="H67" i="16"/>
  <c r="I69" i="16"/>
  <c r="K70" i="16"/>
  <c r="K65" i="16"/>
  <c r="I67" i="16"/>
  <c r="J71" i="16"/>
  <c r="K67" i="16"/>
  <c r="K71" i="16"/>
  <c r="H65" i="16"/>
  <c r="H64" i="16"/>
  <c r="I70" i="16"/>
  <c r="J67" i="16"/>
  <c r="I64" i="16"/>
  <c r="D33" i="31" s="1"/>
  <c r="J65" i="16"/>
  <c r="J66" i="16"/>
  <c r="I66" i="16"/>
  <c r="D35" i="31" s="1"/>
  <c r="J70" i="16"/>
  <c r="N17" i="14"/>
  <c r="H24" i="31" l="1"/>
  <c r="L11" i="31" s="1"/>
  <c r="L12" i="31" s="1"/>
  <c r="E27" i="31"/>
  <c r="H27" i="31" s="1"/>
  <c r="M27" i="13"/>
  <c r="N7" i="13"/>
  <c r="M53" i="13"/>
  <c r="J63" i="16"/>
  <c r="F32" i="31"/>
  <c r="F40" i="31" s="1"/>
  <c r="K63" i="16"/>
  <c r="L71" i="16"/>
  <c r="O17" i="14"/>
  <c r="I68" i="16"/>
  <c r="N45" i="13"/>
  <c r="O20" i="14"/>
  <c r="O22" i="14"/>
  <c r="I63" i="16"/>
  <c r="H63" i="16"/>
  <c r="L64" i="16"/>
  <c r="K68" i="16"/>
  <c r="L65" i="16"/>
  <c r="L67" i="16"/>
  <c r="L66" i="16"/>
  <c r="N19" i="13"/>
  <c r="N10" i="13"/>
  <c r="N36" i="13"/>
  <c r="N33" i="13"/>
  <c r="O16" i="14"/>
  <c r="O18" i="14"/>
  <c r="L69" i="16"/>
  <c r="H68" i="16"/>
  <c r="J68" i="16"/>
  <c r="L70" i="16"/>
  <c r="P5" i="13"/>
  <c r="O49" i="13"/>
  <c r="O44" i="13"/>
  <c r="O40" i="13"/>
  <c r="O35" i="13"/>
  <c r="O47" i="13"/>
  <c r="O42" i="13"/>
  <c r="O50" i="13"/>
  <c r="O46" i="13"/>
  <c r="O41" i="13"/>
  <c r="O37" i="13"/>
  <c r="O51" i="13"/>
  <c r="O48" i="13"/>
  <c r="O39" i="13"/>
  <c r="O52" i="13"/>
  <c r="O34" i="13"/>
  <c r="O43" i="13"/>
  <c r="O38" i="13"/>
  <c r="O8" i="13"/>
  <c r="O9" i="13"/>
  <c r="O11" i="13"/>
  <c r="O12" i="13"/>
  <c r="O13" i="13"/>
  <c r="O14" i="13"/>
  <c r="O15" i="13"/>
  <c r="O16" i="13"/>
  <c r="O17" i="13"/>
  <c r="O18" i="13"/>
  <c r="O20" i="13"/>
  <c r="O21" i="13"/>
  <c r="O22" i="13"/>
  <c r="O23" i="13"/>
  <c r="O24" i="13"/>
  <c r="O25" i="13"/>
  <c r="O26" i="13"/>
  <c r="O19" i="14"/>
  <c r="O21" i="14"/>
  <c r="Q2" i="14"/>
  <c r="P15" i="14"/>
  <c r="P8" i="14"/>
  <c r="P7" i="14"/>
  <c r="P11" i="14"/>
  <c r="P6" i="14"/>
  <c r="P10" i="14"/>
  <c r="P5" i="14"/>
  <c r="P9" i="14"/>
  <c r="O33" i="13" l="1"/>
  <c r="N27" i="13"/>
  <c r="P17" i="14"/>
  <c r="P16" i="14"/>
  <c r="N53" i="13"/>
  <c r="I72" i="16"/>
  <c r="O7" i="13"/>
  <c r="O36" i="13"/>
  <c r="L63" i="16"/>
  <c r="H72" i="16"/>
  <c r="K72" i="16"/>
  <c r="P20" i="14"/>
  <c r="P22" i="14"/>
  <c r="R2" i="14"/>
  <c r="Q5" i="14"/>
  <c r="Q9" i="14"/>
  <c r="Q15" i="14"/>
  <c r="Q8" i="14"/>
  <c r="Q7" i="14"/>
  <c r="Q11" i="14"/>
  <c r="Q6" i="14"/>
  <c r="Q10" i="14"/>
  <c r="P18" i="14"/>
  <c r="O19" i="13"/>
  <c r="O10" i="13"/>
  <c r="O45" i="13"/>
  <c r="Q5" i="13"/>
  <c r="P50" i="13"/>
  <c r="P46" i="13"/>
  <c r="P41" i="13"/>
  <c r="P37" i="13"/>
  <c r="P52" i="13"/>
  <c r="P48" i="13"/>
  <c r="P51" i="13"/>
  <c r="P47" i="13"/>
  <c r="P42" i="13"/>
  <c r="P38" i="13"/>
  <c r="P43" i="13"/>
  <c r="P49" i="13"/>
  <c r="P40" i="13"/>
  <c r="P44" i="13"/>
  <c r="P39" i="13"/>
  <c r="P34" i="13"/>
  <c r="P35" i="13"/>
  <c r="P8" i="13"/>
  <c r="P9" i="13"/>
  <c r="P14" i="13"/>
  <c r="P18" i="13"/>
  <c r="P23" i="13"/>
  <c r="P25" i="13"/>
  <c r="P16" i="13"/>
  <c r="P21" i="13"/>
  <c r="P13" i="13"/>
  <c r="P17" i="13"/>
  <c r="P22" i="13"/>
  <c r="P12" i="13"/>
  <c r="P11" i="13"/>
  <c r="P15" i="13"/>
  <c r="P20" i="13"/>
  <c r="P24" i="13"/>
  <c r="P26" i="13"/>
  <c r="L68" i="16"/>
  <c r="D32" i="31"/>
  <c r="P21" i="14"/>
  <c r="P19" i="14"/>
  <c r="J72" i="16"/>
  <c r="E34" i="31" l="1"/>
  <c r="H34" i="31" s="1"/>
  <c r="E35" i="31"/>
  <c r="E36" i="31"/>
  <c r="H36" i="31" s="1"/>
  <c r="E39" i="31"/>
  <c r="H39" i="31" s="1"/>
  <c r="E38" i="31"/>
  <c r="E33" i="31"/>
  <c r="Q17" i="14"/>
  <c r="Q18" i="14"/>
  <c r="O27" i="13"/>
  <c r="Q22" i="14"/>
  <c r="Q21" i="14"/>
  <c r="O53" i="13"/>
  <c r="Q20" i="14"/>
  <c r="P19" i="13"/>
  <c r="P33" i="13"/>
  <c r="P36" i="13"/>
  <c r="R5" i="13"/>
  <c r="Q51" i="13"/>
  <c r="Q47" i="13"/>
  <c r="Q42" i="13"/>
  <c r="Q38" i="13"/>
  <c r="Q49" i="13"/>
  <c r="Q52" i="13"/>
  <c r="Q48" i="13"/>
  <c r="Q43" i="13"/>
  <c r="Q39" i="13"/>
  <c r="Q34" i="13"/>
  <c r="Q44" i="13"/>
  <c r="Q50" i="13"/>
  <c r="Q41" i="13"/>
  <c r="Q46" i="13"/>
  <c r="Q40" i="13"/>
  <c r="Q35" i="13"/>
  <c r="Q37" i="13"/>
  <c r="Q8" i="13"/>
  <c r="Q9" i="13"/>
  <c r="Q11" i="13"/>
  <c r="Q12" i="13"/>
  <c r="Q13" i="13"/>
  <c r="Q14" i="13"/>
  <c r="Q15" i="13"/>
  <c r="Q16" i="13"/>
  <c r="Q17" i="13"/>
  <c r="Q18" i="13"/>
  <c r="Q20" i="13"/>
  <c r="Q21" i="13"/>
  <c r="Q22" i="13"/>
  <c r="Q23" i="13"/>
  <c r="Q24" i="13"/>
  <c r="Q25" i="13"/>
  <c r="Q26" i="13"/>
  <c r="Q16" i="14"/>
  <c r="D40" i="31"/>
  <c r="Q19" i="14"/>
  <c r="S2" i="14"/>
  <c r="R6" i="14"/>
  <c r="R10" i="14"/>
  <c r="R5" i="14"/>
  <c r="R9" i="14"/>
  <c r="R15" i="14"/>
  <c r="R8" i="14"/>
  <c r="R7" i="14"/>
  <c r="R11" i="14"/>
  <c r="L72" i="16"/>
  <c r="P10" i="13"/>
  <c r="P7" i="13"/>
  <c r="P45" i="13"/>
  <c r="P53" i="13" l="1"/>
  <c r="P27" i="13"/>
  <c r="Q7" i="13"/>
  <c r="Q45" i="13"/>
  <c r="Q36" i="13"/>
  <c r="R17" i="14"/>
  <c r="Q33" i="13"/>
  <c r="R22" i="14"/>
  <c r="R20" i="14"/>
  <c r="S15" i="14"/>
  <c r="S8" i="14"/>
  <c r="S5" i="14"/>
  <c r="S9" i="14"/>
  <c r="S6" i="14"/>
  <c r="S10" i="14"/>
  <c r="S7" i="14"/>
  <c r="S11" i="14"/>
  <c r="E37" i="31"/>
  <c r="H37" i="31" s="1"/>
  <c r="H38" i="31"/>
  <c r="E32" i="31"/>
  <c r="H32" i="31" s="1"/>
  <c r="H33" i="31"/>
  <c r="R18" i="14"/>
  <c r="R16" i="14"/>
  <c r="Q19" i="13"/>
  <c r="Q10" i="13"/>
  <c r="S5" i="13"/>
  <c r="K79" i="16" s="1"/>
  <c r="F48" i="31" s="1"/>
  <c r="R52" i="13"/>
  <c r="R48" i="13"/>
  <c r="R43" i="13"/>
  <c r="R39" i="13"/>
  <c r="R34" i="13"/>
  <c r="R50" i="13"/>
  <c r="R49" i="13"/>
  <c r="R44" i="13"/>
  <c r="R40" i="13"/>
  <c r="R35" i="13"/>
  <c r="R46" i="13"/>
  <c r="R41" i="13"/>
  <c r="R51" i="13"/>
  <c r="R37" i="13"/>
  <c r="R42" i="13"/>
  <c r="R38" i="13"/>
  <c r="R47" i="13"/>
  <c r="R8" i="13"/>
  <c r="R9" i="13"/>
  <c r="R11" i="13"/>
  <c r="R12" i="13"/>
  <c r="R13" i="13"/>
  <c r="R14" i="13"/>
  <c r="R15" i="13"/>
  <c r="R16" i="13"/>
  <c r="R17" i="13"/>
  <c r="R18" i="13"/>
  <c r="R20" i="13"/>
  <c r="R21" i="13"/>
  <c r="R22" i="13"/>
  <c r="R23" i="13"/>
  <c r="R24" i="13"/>
  <c r="R25" i="13"/>
  <c r="R26" i="13"/>
  <c r="R19" i="14"/>
  <c r="R21" i="14"/>
  <c r="H35" i="31"/>
  <c r="Y10" i="14" l="1"/>
  <c r="S17" i="14"/>
  <c r="S21" i="14"/>
  <c r="S22" i="14"/>
  <c r="E40" i="31"/>
  <c r="H40" i="31" s="1"/>
  <c r="S18" i="14"/>
  <c r="S19" i="14"/>
  <c r="S20" i="14"/>
  <c r="Q27" i="13"/>
  <c r="Q53" i="13"/>
  <c r="R45" i="13"/>
  <c r="R19" i="13"/>
  <c r="R10" i="13"/>
  <c r="S49" i="13"/>
  <c r="S44" i="13"/>
  <c r="S40" i="13"/>
  <c r="S35" i="13"/>
  <c r="S51" i="13"/>
  <c r="S42" i="13"/>
  <c r="S50" i="13"/>
  <c r="S46" i="13"/>
  <c r="S41" i="13"/>
  <c r="S37" i="13"/>
  <c r="S47" i="13"/>
  <c r="S52" i="13"/>
  <c r="S34" i="13"/>
  <c r="S43" i="13"/>
  <c r="S38" i="13"/>
  <c r="S39" i="13"/>
  <c r="S48" i="13"/>
  <c r="I84" i="16"/>
  <c r="J80" i="16"/>
  <c r="I78" i="16"/>
  <c r="I79" i="16"/>
  <c r="D48" i="31" s="1"/>
  <c r="K84" i="16"/>
  <c r="S25" i="13"/>
  <c r="K82" i="16"/>
  <c r="S9" i="13"/>
  <c r="K80" i="16"/>
  <c r="S12" i="13"/>
  <c r="S14" i="13"/>
  <c r="S17" i="13"/>
  <c r="T5" i="13"/>
  <c r="K92" i="16" s="1"/>
  <c r="F61" i="31" s="1"/>
  <c r="H78" i="16"/>
  <c r="H83" i="16"/>
  <c r="H84" i="16"/>
  <c r="S20" i="13"/>
  <c r="K83" i="16"/>
  <c r="K78" i="16"/>
  <c r="S13" i="13"/>
  <c r="K77" i="16"/>
  <c r="F46" i="31" s="1"/>
  <c r="S15" i="13"/>
  <c r="S21" i="13"/>
  <c r="I83" i="16"/>
  <c r="H82" i="16"/>
  <c r="S16" i="13"/>
  <c r="S24" i="13"/>
  <c r="J83" i="16"/>
  <c r="H79" i="16"/>
  <c r="I80" i="16"/>
  <c r="J84" i="16"/>
  <c r="I82" i="16"/>
  <c r="S18" i="13"/>
  <c r="S23" i="13"/>
  <c r="J78" i="16"/>
  <c r="H80" i="16"/>
  <c r="I77" i="16"/>
  <c r="D46" i="31" s="1"/>
  <c r="J77" i="16"/>
  <c r="H77" i="16"/>
  <c r="S22" i="13"/>
  <c r="J82" i="16"/>
  <c r="S11" i="13"/>
  <c r="J79" i="16"/>
  <c r="S26" i="13"/>
  <c r="S8" i="13"/>
  <c r="U2" i="14"/>
  <c r="U4" i="14" s="1"/>
  <c r="T6" i="14"/>
  <c r="T10" i="14"/>
  <c r="T7" i="14"/>
  <c r="T11" i="14"/>
  <c r="T15" i="14"/>
  <c r="T8" i="14"/>
  <c r="T5" i="14"/>
  <c r="T9" i="14"/>
  <c r="R7" i="13"/>
  <c r="R36" i="13"/>
  <c r="S16" i="14"/>
  <c r="R33" i="13"/>
  <c r="AA19" i="14" l="1"/>
  <c r="AA18" i="14"/>
  <c r="S19" i="13"/>
  <c r="AA17" i="14"/>
  <c r="I81" i="16"/>
  <c r="R27" i="13"/>
  <c r="AL34" i="13"/>
  <c r="T22" i="14"/>
  <c r="T16" i="14"/>
  <c r="T18" i="14"/>
  <c r="S7" i="13"/>
  <c r="AB45" i="13"/>
  <c r="T20" i="14"/>
  <c r="T19" i="14"/>
  <c r="T21" i="14"/>
  <c r="L80" i="16"/>
  <c r="L84" i="16"/>
  <c r="U5" i="13"/>
  <c r="T44" i="13"/>
  <c r="T46" i="13"/>
  <c r="T42" i="13"/>
  <c r="T43" i="13"/>
  <c r="K95" i="16"/>
  <c r="I91" i="16"/>
  <c r="I95" i="16"/>
  <c r="I93" i="16"/>
  <c r="I92" i="16"/>
  <c r="D61" i="31" s="1"/>
  <c r="T20" i="13"/>
  <c r="H97" i="16"/>
  <c r="T26" i="13"/>
  <c r="J93" i="16"/>
  <c r="T24" i="13"/>
  <c r="T9" i="13"/>
  <c r="T40" i="13"/>
  <c r="T41" i="13"/>
  <c r="T38" i="13"/>
  <c r="T52" i="13"/>
  <c r="K96" i="16"/>
  <c r="I97" i="16"/>
  <c r="K91" i="16"/>
  <c r="T14" i="13"/>
  <c r="H95" i="16"/>
  <c r="H93" i="16"/>
  <c r="T8" i="13"/>
  <c r="H92" i="16"/>
  <c r="T13" i="13"/>
  <c r="T16" i="13"/>
  <c r="T23" i="13"/>
  <c r="T25" i="13"/>
  <c r="T34" i="13"/>
  <c r="T37" i="13"/>
  <c r="T51" i="13"/>
  <c r="T48" i="13"/>
  <c r="J97" i="16"/>
  <c r="I90" i="16"/>
  <c r="D59" i="31" s="1"/>
  <c r="J91" i="16"/>
  <c r="K93" i="16"/>
  <c r="I96" i="16"/>
  <c r="T17" i="13"/>
  <c r="H91" i="16"/>
  <c r="H90" i="16"/>
  <c r="T12" i="13"/>
  <c r="H96" i="16"/>
  <c r="T18" i="13"/>
  <c r="T15" i="13"/>
  <c r="T50" i="13"/>
  <c r="T47" i="13"/>
  <c r="J92" i="16"/>
  <c r="K90" i="16"/>
  <c r="F59" i="31" s="1"/>
  <c r="J90" i="16"/>
  <c r="T21" i="13"/>
  <c r="T22" i="13"/>
  <c r="T49" i="13"/>
  <c r="T35" i="13"/>
  <c r="T39" i="13"/>
  <c r="K97" i="16"/>
  <c r="J95" i="16"/>
  <c r="J96" i="16"/>
  <c r="T11" i="13"/>
  <c r="S36" i="13"/>
  <c r="AB44" i="13" s="1"/>
  <c r="R53" i="13"/>
  <c r="T17" i="14"/>
  <c r="H76" i="16"/>
  <c r="L77" i="16"/>
  <c r="S33" i="13"/>
  <c r="AB47" i="13" s="1"/>
  <c r="S10" i="13"/>
  <c r="J76" i="16"/>
  <c r="L83" i="16"/>
  <c r="K81" i="16"/>
  <c r="AB48" i="13"/>
  <c r="AL33" i="13"/>
  <c r="AB46" i="13"/>
  <c r="S45" i="13"/>
  <c r="V2" i="14"/>
  <c r="V4" i="14" s="1"/>
  <c r="U15" i="14"/>
  <c r="U8" i="14"/>
  <c r="U5" i="14"/>
  <c r="U9" i="14"/>
  <c r="U6" i="14"/>
  <c r="U10" i="14"/>
  <c r="U7" i="14"/>
  <c r="U11" i="14"/>
  <c r="J81" i="16"/>
  <c r="I76" i="16"/>
  <c r="L79" i="16"/>
  <c r="H81" i="16"/>
  <c r="L82" i="16"/>
  <c r="F45" i="31"/>
  <c r="F53" i="31" s="1"/>
  <c r="K76" i="16"/>
  <c r="L78" i="16"/>
  <c r="S27" i="13" l="1"/>
  <c r="AB8" i="13" s="1"/>
  <c r="AA20" i="14"/>
  <c r="I85" i="16"/>
  <c r="T7" i="13"/>
  <c r="AL35" i="13"/>
  <c r="U21" i="14"/>
  <c r="U19" i="14"/>
  <c r="U17" i="14"/>
  <c r="U22" i="14"/>
  <c r="AB33" i="13"/>
  <c r="U20" i="14"/>
  <c r="L81" i="16"/>
  <c r="K85" i="16"/>
  <c r="T10" i="13"/>
  <c r="L96" i="16"/>
  <c r="U18" i="14"/>
  <c r="U16" i="14"/>
  <c r="AG34" i="13"/>
  <c r="AB36" i="13"/>
  <c r="S53" i="13"/>
  <c r="AB37" i="13"/>
  <c r="AB35" i="13"/>
  <c r="L93" i="16"/>
  <c r="T19" i="13"/>
  <c r="T45" i="13"/>
  <c r="AB38" i="13"/>
  <c r="J85" i="16"/>
  <c r="AG33" i="13"/>
  <c r="AB34" i="13"/>
  <c r="J89" i="16"/>
  <c r="T33" i="13"/>
  <c r="H94" i="16"/>
  <c r="L95" i="16"/>
  <c r="K94" i="16"/>
  <c r="W2" i="14"/>
  <c r="W4" i="14" s="1"/>
  <c r="V5" i="14"/>
  <c r="V9" i="14"/>
  <c r="V6" i="14"/>
  <c r="V10" i="14"/>
  <c r="V7" i="14"/>
  <c r="V11" i="14"/>
  <c r="V8" i="14"/>
  <c r="V15" i="14"/>
  <c r="AB49" i="13"/>
  <c r="J94" i="16"/>
  <c r="F58" i="31"/>
  <c r="F66" i="31" s="1"/>
  <c r="K89" i="16"/>
  <c r="L90" i="16"/>
  <c r="H89" i="16"/>
  <c r="L92" i="16"/>
  <c r="V5" i="13"/>
  <c r="U50" i="13"/>
  <c r="U46" i="13"/>
  <c r="U41" i="13"/>
  <c r="U37" i="13"/>
  <c r="U43" i="13"/>
  <c r="U51" i="13"/>
  <c r="U47" i="13"/>
  <c r="U42" i="13"/>
  <c r="U38" i="13"/>
  <c r="U52" i="13"/>
  <c r="U48" i="13"/>
  <c r="U35" i="13"/>
  <c r="U44" i="13"/>
  <c r="U49" i="13"/>
  <c r="U34" i="13"/>
  <c r="U39" i="13"/>
  <c r="U40" i="13"/>
  <c r="U8" i="13"/>
  <c r="U11" i="13"/>
  <c r="U13" i="13"/>
  <c r="U15" i="13"/>
  <c r="U17" i="13"/>
  <c r="U20" i="13"/>
  <c r="U22" i="13"/>
  <c r="U24" i="13"/>
  <c r="U26" i="13"/>
  <c r="U9" i="13"/>
  <c r="U12" i="13"/>
  <c r="U14" i="13"/>
  <c r="U16" i="13"/>
  <c r="U18" i="13"/>
  <c r="U21" i="13"/>
  <c r="U23" i="13"/>
  <c r="U25" i="13"/>
  <c r="I89" i="16"/>
  <c r="T36" i="13"/>
  <c r="D45" i="31"/>
  <c r="H85" i="16"/>
  <c r="L76" i="16"/>
  <c r="L91" i="16"/>
  <c r="L97" i="16"/>
  <c r="I94" i="16"/>
  <c r="E48" i="31" l="1"/>
  <c r="E46" i="31"/>
  <c r="E47" i="31"/>
  <c r="H47" i="31" s="1"/>
  <c r="E51" i="31"/>
  <c r="E52" i="31"/>
  <c r="H52" i="31" s="1"/>
  <c r="E49" i="31"/>
  <c r="H49" i="31" s="1"/>
  <c r="M10" i="31" s="1"/>
  <c r="L85" i="16"/>
  <c r="T53" i="13"/>
  <c r="T27" i="13"/>
  <c r="V22" i="14"/>
  <c r="V20" i="14"/>
  <c r="AB39" i="13"/>
  <c r="I98" i="16"/>
  <c r="V18" i="14"/>
  <c r="V16" i="14"/>
  <c r="AG35" i="13"/>
  <c r="U19" i="13"/>
  <c r="U10" i="13"/>
  <c r="U33" i="13"/>
  <c r="K98" i="16"/>
  <c r="U36" i="13"/>
  <c r="W5" i="13"/>
  <c r="K118" i="16" s="1"/>
  <c r="V51" i="13"/>
  <c r="V47" i="13"/>
  <c r="V42" i="13"/>
  <c r="V38" i="13"/>
  <c r="V44" i="13"/>
  <c r="V52" i="13"/>
  <c r="V48" i="13"/>
  <c r="V43" i="13"/>
  <c r="V39" i="13"/>
  <c r="V34" i="13"/>
  <c r="V49" i="13"/>
  <c r="V37" i="13"/>
  <c r="V35" i="13"/>
  <c r="V41" i="13"/>
  <c r="V40" i="13"/>
  <c r="V46" i="13"/>
  <c r="V50" i="13"/>
  <c r="V8" i="13"/>
  <c r="V11" i="13"/>
  <c r="V13" i="13"/>
  <c r="V15" i="13"/>
  <c r="V17" i="13"/>
  <c r="V20" i="13"/>
  <c r="V22" i="13"/>
  <c r="V24" i="13"/>
  <c r="V26" i="13"/>
  <c r="V9" i="13"/>
  <c r="V12" i="13"/>
  <c r="V14" i="13"/>
  <c r="V16" i="13"/>
  <c r="V18" i="13"/>
  <c r="V21" i="13"/>
  <c r="V23" i="13"/>
  <c r="V25" i="13"/>
  <c r="L94" i="16"/>
  <c r="J98" i="16"/>
  <c r="D58" i="31"/>
  <c r="D53" i="31"/>
  <c r="U7" i="13"/>
  <c r="U45" i="13"/>
  <c r="V21" i="14"/>
  <c r="W5" i="14"/>
  <c r="W9" i="14"/>
  <c r="W6" i="14"/>
  <c r="W10" i="14"/>
  <c r="W7" i="14"/>
  <c r="W11" i="14"/>
  <c r="W8" i="14"/>
  <c r="W15" i="14"/>
  <c r="L89" i="16"/>
  <c r="H98" i="16"/>
  <c r="V19" i="14"/>
  <c r="V17" i="14"/>
  <c r="F74" i="31" l="1"/>
  <c r="K133" i="16"/>
  <c r="R133" i="16"/>
  <c r="E62" i="31"/>
  <c r="H62" i="31" s="1"/>
  <c r="E61" i="31"/>
  <c r="E59" i="31"/>
  <c r="E60" i="31"/>
  <c r="H60" i="31" s="1"/>
  <c r="E65" i="31"/>
  <c r="H65" i="31" s="1"/>
  <c r="E64" i="31"/>
  <c r="U27" i="13"/>
  <c r="L98" i="16"/>
  <c r="W18" i="14"/>
  <c r="W16" i="14"/>
  <c r="U53" i="13"/>
  <c r="W22" i="14"/>
  <c r="V7" i="13"/>
  <c r="V33" i="13"/>
  <c r="W21" i="14"/>
  <c r="D66" i="31"/>
  <c r="H48" i="31"/>
  <c r="M9" i="31" s="1"/>
  <c r="W19" i="14"/>
  <c r="W17" i="14"/>
  <c r="V45" i="13"/>
  <c r="V36" i="13"/>
  <c r="W43" i="13"/>
  <c r="X43" i="13" s="1"/>
  <c r="W40" i="13"/>
  <c r="X40" i="13" s="1"/>
  <c r="W50" i="13"/>
  <c r="X50" i="13" s="1"/>
  <c r="W42" i="13"/>
  <c r="X42" i="13" s="1"/>
  <c r="H117" i="16"/>
  <c r="J123" i="16"/>
  <c r="J121" i="16"/>
  <c r="H116" i="16"/>
  <c r="W25" i="13"/>
  <c r="X25" i="13" s="1"/>
  <c r="H123" i="16"/>
  <c r="W8" i="13"/>
  <c r="X8" i="13" s="1"/>
  <c r="I116" i="16"/>
  <c r="W15" i="13"/>
  <c r="X15" i="13" s="1"/>
  <c r="J118" i="16"/>
  <c r="I117" i="16"/>
  <c r="I118" i="16"/>
  <c r="W14" i="13"/>
  <c r="X14" i="13" s="1"/>
  <c r="W18" i="13"/>
  <c r="X18" i="13" s="1"/>
  <c r="W39" i="13"/>
  <c r="X39" i="13" s="1"/>
  <c r="W34" i="13"/>
  <c r="X34" i="13" s="1"/>
  <c r="W46" i="13"/>
  <c r="X46" i="13" s="1"/>
  <c r="W51" i="13"/>
  <c r="X51" i="13" s="1"/>
  <c r="H118" i="16"/>
  <c r="J117" i="16"/>
  <c r="K119" i="16"/>
  <c r="J116" i="16"/>
  <c r="W24" i="13"/>
  <c r="X24" i="13" s="1"/>
  <c r="I121" i="16"/>
  <c r="J122" i="16"/>
  <c r="H121" i="16"/>
  <c r="W13" i="13"/>
  <c r="X13" i="13" s="1"/>
  <c r="H122" i="16"/>
  <c r="W12" i="13"/>
  <c r="X12" i="13" s="1"/>
  <c r="W20" i="13"/>
  <c r="X20" i="13" s="1"/>
  <c r="W52" i="13"/>
  <c r="W49" i="13"/>
  <c r="X49" i="13" s="1"/>
  <c r="W41" i="13"/>
  <c r="X41" i="13" s="1"/>
  <c r="W37" i="13"/>
  <c r="X37" i="13" s="1"/>
  <c r="W38" i="13"/>
  <c r="X38" i="13" s="1"/>
  <c r="J119" i="16"/>
  <c r="H119" i="16"/>
  <c r="K121" i="16"/>
  <c r="K116" i="16"/>
  <c r="I122" i="16"/>
  <c r="W22" i="13"/>
  <c r="X22" i="13" s="1"/>
  <c r="W23" i="13"/>
  <c r="X23" i="13" s="1"/>
  <c r="W17" i="13"/>
  <c r="X17" i="13" s="1"/>
  <c r="I119" i="16"/>
  <c r="W9" i="13"/>
  <c r="X9" i="13" s="1"/>
  <c r="W48" i="13"/>
  <c r="X48" i="13" s="1"/>
  <c r="W44" i="13"/>
  <c r="X44" i="13" s="1"/>
  <c r="W47" i="13"/>
  <c r="X47" i="13" s="1"/>
  <c r="W35" i="13"/>
  <c r="X35" i="13" s="1"/>
  <c r="I123" i="16"/>
  <c r="K123" i="16"/>
  <c r="K117" i="16"/>
  <c r="K122" i="16"/>
  <c r="W26" i="13"/>
  <c r="W21" i="13"/>
  <c r="X21" i="13" s="1"/>
  <c r="W11" i="13"/>
  <c r="X11" i="13" s="1"/>
  <c r="W16" i="13"/>
  <c r="X16" i="13" s="1"/>
  <c r="E45" i="31"/>
  <c r="H45" i="31" s="1"/>
  <c r="M8" i="31" s="1"/>
  <c r="H46" i="31"/>
  <c r="E50" i="31"/>
  <c r="H50" i="31" s="1"/>
  <c r="M11" i="31" s="1"/>
  <c r="H51" i="31"/>
  <c r="W20" i="14"/>
  <c r="V19" i="13"/>
  <c r="V10" i="13"/>
  <c r="P134" i="16" l="1"/>
  <c r="I134" i="16"/>
  <c r="J132" i="16"/>
  <c r="Q132" i="16"/>
  <c r="D72" i="31"/>
  <c r="I131" i="16"/>
  <c r="P131" i="16"/>
  <c r="O133" i="16"/>
  <c r="H133" i="16"/>
  <c r="K132" i="16"/>
  <c r="R132" i="16"/>
  <c r="I137" i="16"/>
  <c r="P137" i="16"/>
  <c r="H137" i="16"/>
  <c r="O137" i="16"/>
  <c r="H131" i="16"/>
  <c r="O131" i="16"/>
  <c r="K138" i="16"/>
  <c r="R138" i="16"/>
  <c r="F72" i="31"/>
  <c r="F71" i="31" s="1"/>
  <c r="F79" i="31" s="1"/>
  <c r="R131" i="16"/>
  <c r="K131" i="16"/>
  <c r="Q136" i="16"/>
  <c r="J136" i="16"/>
  <c r="J138" i="16"/>
  <c r="Q138" i="16"/>
  <c r="I138" i="16"/>
  <c r="P138" i="16"/>
  <c r="H136" i="16"/>
  <c r="O136" i="16"/>
  <c r="O134" i="16"/>
  <c r="H134" i="16"/>
  <c r="H132" i="16"/>
  <c r="O132" i="16"/>
  <c r="R136" i="16"/>
  <c r="K136" i="16"/>
  <c r="H138" i="16"/>
  <c r="O138" i="16"/>
  <c r="R137" i="16"/>
  <c r="K137" i="16"/>
  <c r="J137" i="16"/>
  <c r="Q137" i="16"/>
  <c r="Q134" i="16"/>
  <c r="J134" i="16"/>
  <c r="P136" i="16"/>
  <c r="I136" i="16"/>
  <c r="D74" i="31"/>
  <c r="P133" i="16"/>
  <c r="I133" i="16"/>
  <c r="I132" i="16"/>
  <c r="P132" i="16"/>
  <c r="J131" i="16"/>
  <c r="Q131" i="16"/>
  <c r="J133" i="16"/>
  <c r="Q133" i="16"/>
  <c r="R134" i="16"/>
  <c r="K134" i="16"/>
  <c r="L117" i="16"/>
  <c r="AM34" i="13"/>
  <c r="L116" i="16"/>
  <c r="AB17" i="14"/>
  <c r="M12" i="31"/>
  <c r="AB19" i="14"/>
  <c r="V27" i="13"/>
  <c r="K120" i="16"/>
  <c r="W7" i="13"/>
  <c r="V53" i="13"/>
  <c r="AB18" i="14"/>
  <c r="J120" i="16"/>
  <c r="H120" i="16"/>
  <c r="L121" i="16"/>
  <c r="L119" i="16"/>
  <c r="AM33" i="13"/>
  <c r="W45" i="13"/>
  <c r="AC46" i="13"/>
  <c r="L123" i="16"/>
  <c r="E63" i="31"/>
  <c r="H63" i="31" s="1"/>
  <c r="H64" i="31"/>
  <c r="E53" i="31"/>
  <c r="H53" i="31" s="1"/>
  <c r="W19" i="13"/>
  <c r="W10" i="13"/>
  <c r="AC45" i="13"/>
  <c r="L122" i="16"/>
  <c r="I120" i="16"/>
  <c r="W33" i="13"/>
  <c r="AC47" i="13" s="1"/>
  <c r="H61" i="31"/>
  <c r="E58" i="31"/>
  <c r="H58" i="31" s="1"/>
  <c r="H59" i="31"/>
  <c r="W36" i="13"/>
  <c r="AC44" i="13" s="1"/>
  <c r="J115" i="16"/>
  <c r="K115" i="16"/>
  <c r="AC48" i="13"/>
  <c r="L118" i="16"/>
  <c r="I115" i="16"/>
  <c r="H115" i="16"/>
  <c r="L120" i="16" l="1"/>
  <c r="L133" i="16"/>
  <c r="S133" i="16"/>
  <c r="L132" i="16"/>
  <c r="S132" i="16"/>
  <c r="Q135" i="16"/>
  <c r="J135" i="16"/>
  <c r="R130" i="16"/>
  <c r="K130" i="16"/>
  <c r="Q130" i="16"/>
  <c r="J130" i="16"/>
  <c r="R135" i="16"/>
  <c r="K135" i="16"/>
  <c r="L138" i="16"/>
  <c r="S138" i="16"/>
  <c r="H130" i="16"/>
  <c r="O130" i="16"/>
  <c r="P135" i="16"/>
  <c r="I135" i="16"/>
  <c r="L134" i="16"/>
  <c r="S134" i="16"/>
  <c r="S131" i="16"/>
  <c r="L131" i="16"/>
  <c r="O135" i="16"/>
  <c r="H135" i="16"/>
  <c r="P130" i="16"/>
  <c r="I130" i="16"/>
  <c r="S137" i="16"/>
  <c r="L137" i="16"/>
  <c r="S136" i="16"/>
  <c r="L136" i="16"/>
  <c r="AM35" i="13"/>
  <c r="AC38" i="13"/>
  <c r="W27" i="13"/>
  <c r="AC8" i="13" s="1"/>
  <c r="AB20" i="14"/>
  <c r="J124" i="16"/>
  <c r="AC36" i="13"/>
  <c r="AC33" i="13"/>
  <c r="AC34" i="13"/>
  <c r="K124" i="16"/>
  <c r="I124" i="16"/>
  <c r="AC35" i="13"/>
  <c r="AC37" i="13"/>
  <c r="AC49" i="13"/>
  <c r="D71" i="31"/>
  <c r="W53" i="13"/>
  <c r="L115" i="16"/>
  <c r="H124" i="16"/>
  <c r="E66" i="31"/>
  <c r="H66" i="31" s="1"/>
  <c r="AH33" i="13"/>
  <c r="AH34" i="13"/>
  <c r="O139" i="16" l="1"/>
  <c r="H139" i="16"/>
  <c r="S130" i="16"/>
  <c r="L130" i="16"/>
  <c r="J139" i="16"/>
  <c r="Q139" i="16"/>
  <c r="S135" i="16"/>
  <c r="L135" i="16"/>
  <c r="P139" i="16"/>
  <c r="I139" i="16"/>
  <c r="K139" i="16"/>
  <c r="R139" i="16"/>
  <c r="E75" i="31"/>
  <c r="H75" i="31" s="1"/>
  <c r="N10" i="31" s="1"/>
  <c r="E74" i="31"/>
  <c r="H74" i="31" s="1"/>
  <c r="N9" i="31" s="1"/>
  <c r="E73" i="31"/>
  <c r="H73" i="31" s="1"/>
  <c r="E78" i="31"/>
  <c r="H78" i="31" s="1"/>
  <c r="E77" i="31"/>
  <c r="E72" i="31"/>
  <c r="H72" i="31" s="1"/>
  <c r="L124" i="16"/>
  <c r="AC39" i="13"/>
  <c r="AH35" i="13"/>
  <c r="D79" i="31"/>
  <c r="L139" i="16" l="1"/>
  <c r="S139" i="16"/>
  <c r="E76" i="31"/>
  <c r="H76" i="31" s="1"/>
  <c r="N11" i="31" s="1"/>
  <c r="H77" i="31"/>
  <c r="E71" i="31"/>
  <c r="H71" i="31" s="1"/>
  <c r="N8" i="31" s="1"/>
  <c r="N12" i="31" l="1"/>
  <c r="E79" i="31"/>
  <c r="H79" i="3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</authors>
  <commentList>
    <comment ref="S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3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</authors>
  <commentList>
    <comment ref="S27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35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69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77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</commentList>
</comments>
</file>

<file path=xl/sharedStrings.xml><?xml version="1.0" encoding="utf-8"?>
<sst xmlns="http://schemas.openxmlformats.org/spreadsheetml/2006/main" count="1877" uniqueCount="543">
  <si>
    <t>Refined petroleum products</t>
  </si>
  <si>
    <t>Total</t>
  </si>
  <si>
    <t>Oil</t>
  </si>
  <si>
    <t>Biofuels</t>
  </si>
  <si>
    <t>Electric power generation, transmission and distribution</t>
  </si>
  <si>
    <t>Nuclear</t>
  </si>
  <si>
    <t>Fuel</t>
  </si>
  <si>
    <t>Combined gas</t>
  </si>
  <si>
    <t>Coal</t>
  </si>
  <si>
    <t>Wind</t>
  </si>
  <si>
    <t>Solar</t>
  </si>
  <si>
    <t>Hydraulic</t>
  </si>
  <si>
    <t>Cogeneration (CHP)</t>
  </si>
  <si>
    <t>Natural gas</t>
  </si>
  <si>
    <t>Wood</t>
  </si>
  <si>
    <t>Biogas</t>
  </si>
  <si>
    <t>Waste incineration</t>
  </si>
  <si>
    <t>Geothermal</t>
  </si>
  <si>
    <t>Transport</t>
  </si>
  <si>
    <t>Personal vehicles</t>
  </si>
  <si>
    <t xml:space="preserve">Public and freight transport </t>
  </si>
  <si>
    <t>Residential</t>
  </si>
  <si>
    <t>Service</t>
  </si>
  <si>
    <t>Industry and agriculture</t>
  </si>
  <si>
    <t xml:space="preserve">Industry </t>
  </si>
  <si>
    <t>Agriculture</t>
  </si>
  <si>
    <t>Total Final Mtep</t>
  </si>
  <si>
    <t>Class A</t>
  </si>
  <si>
    <t>Class B</t>
  </si>
  <si>
    <t>Class C</t>
  </si>
  <si>
    <t>Class D</t>
  </si>
  <si>
    <t>Class E</t>
  </si>
  <si>
    <t>Class F</t>
  </si>
  <si>
    <t>Class G</t>
  </si>
  <si>
    <t>Electricity</t>
  </si>
  <si>
    <t>Gas</t>
  </si>
  <si>
    <t>coal</t>
  </si>
  <si>
    <t>oil</t>
  </si>
  <si>
    <t>elec</t>
  </si>
  <si>
    <t>gas</t>
  </si>
  <si>
    <t>decarb</t>
  </si>
  <si>
    <t>Total Final MTEC</t>
  </si>
  <si>
    <t>charbon</t>
  </si>
  <si>
    <t>Verif</t>
  </si>
  <si>
    <t>stock of housing and %</t>
  </si>
  <si>
    <t>electric</t>
  </si>
  <si>
    <t>Combustion</t>
  </si>
  <si>
    <t>Industry non energetic uses</t>
  </si>
  <si>
    <t>gas biogas biomass</t>
  </si>
  <si>
    <t>fuel and biofuel</t>
  </si>
  <si>
    <t>Hors bois domestique non marchand, avec consommation à double usage</t>
  </si>
  <si>
    <t>New vehicle sales</t>
  </si>
  <si>
    <t>stock of vehicles</t>
  </si>
  <si>
    <t>Gas and heat</t>
  </si>
  <si>
    <t>Basse consommation</t>
  </si>
  <si>
    <t xml:space="preserve">Consommation modérée </t>
  </si>
  <si>
    <t>Faiblement émettrices</t>
  </si>
  <si>
    <t>Modérément émettrices</t>
  </si>
  <si>
    <t>Fortement émettrices</t>
  </si>
  <si>
    <t>Electriques</t>
  </si>
  <si>
    <t>Passoires énergétiques</t>
  </si>
  <si>
    <t>nucléaire</t>
  </si>
  <si>
    <t>solaire</t>
  </si>
  <si>
    <t xml:space="preserve">éolien </t>
  </si>
  <si>
    <t>autres renouvelables</t>
  </si>
  <si>
    <t>biocarburants</t>
  </si>
  <si>
    <t>gaz naturel</t>
  </si>
  <si>
    <t>biogaz</t>
  </si>
  <si>
    <t>Energie primaire</t>
  </si>
  <si>
    <t>Automobile - synthèse</t>
  </si>
  <si>
    <t>verif</t>
  </si>
  <si>
    <t>parc automobile (milliers)</t>
  </si>
  <si>
    <t>parc automobile (M)</t>
  </si>
  <si>
    <t>parc véhicules élec (%)</t>
  </si>
  <si>
    <t>parc véhicules thermiques (%)</t>
  </si>
  <si>
    <t>part véhicules thermiques</t>
  </si>
  <si>
    <t>Automobile - detail</t>
  </si>
  <si>
    <t>Ventes (milliers)</t>
  </si>
  <si>
    <t>Parc (milliers)</t>
  </si>
  <si>
    <t>Ventes (%)</t>
  </si>
  <si>
    <t>Parc (%)</t>
  </si>
  <si>
    <t>Energie primaire (Mtep)</t>
  </si>
  <si>
    <t>Energie finale (Mtep)</t>
  </si>
  <si>
    <t>Consos résultats de ThreeME</t>
  </si>
  <si>
    <t>Consos cibles d'Enerdata</t>
  </si>
  <si>
    <t>Hors bois domestique auto produit (8MTEP entre 2015 et 2030 4 Mtep en 2050)</t>
  </si>
  <si>
    <t>Emissions CO2 (MtCO2)</t>
  </si>
  <si>
    <t>Residentiel</t>
  </si>
  <si>
    <t>Industrie et agriculture</t>
  </si>
  <si>
    <t>Cf. onglet "G emissions"</t>
  </si>
  <si>
    <t>Cf. onglet "G énergie"</t>
  </si>
  <si>
    <t>Cf. onglet "G mix elec"</t>
  </si>
  <si>
    <t xml:space="preserve">Total </t>
  </si>
  <si>
    <t>hydraulique</t>
  </si>
  <si>
    <t>Cf. onglet "G mix carb"</t>
  </si>
  <si>
    <t>Cf. onglet "G mix gaz"</t>
  </si>
  <si>
    <t>carburants fossiles</t>
  </si>
  <si>
    <t>Energie par vecteur énergétique</t>
  </si>
  <si>
    <t>Energie par usage</t>
  </si>
  <si>
    <t>Logement</t>
  </si>
  <si>
    <t>Parc logement (m²)</t>
  </si>
  <si>
    <t>Parc logement (%)</t>
  </si>
  <si>
    <t>Cf. onglet "G parc logt"</t>
  </si>
  <si>
    <t>ER_OIL_2</t>
  </si>
  <si>
    <t>ER_OIL_2201_2</t>
  </si>
  <si>
    <t>ER_OIL_2202_2</t>
  </si>
  <si>
    <t>ER_ELEC_2301_2</t>
  </si>
  <si>
    <t>ER_ELEC_2302_2</t>
  </si>
  <si>
    <t>ER_ELEC_2303_2</t>
  </si>
  <si>
    <t>ER_ELEC_2304_2</t>
  </si>
  <si>
    <t>ER_ELEC_2305_2</t>
  </si>
  <si>
    <t>ER_ELEC_2306_2</t>
  </si>
  <si>
    <t>ER_ELEC_2307_2</t>
  </si>
  <si>
    <t>ER_ELEC_2308_2</t>
  </si>
  <si>
    <t>ER_ELEC_2</t>
  </si>
  <si>
    <t>ER_GAS_2</t>
  </si>
  <si>
    <t>ER_GAS_2401_2</t>
  </si>
  <si>
    <t>ER_GAS_2402_2</t>
  </si>
  <si>
    <t>ER_GAS_2403_2</t>
  </si>
  <si>
    <t>ER_GAS_2404_2</t>
  </si>
  <si>
    <t>ER_GAS_2405_2</t>
  </si>
  <si>
    <t>ER_GAS_2406_2</t>
  </si>
  <si>
    <t>ER_COAL_2</t>
  </si>
  <si>
    <t>ER_TOTAL_2</t>
  </si>
  <si>
    <t>ER_AGRICULTURE_2</t>
  </si>
  <si>
    <t>ER_INDUS_2</t>
  </si>
  <si>
    <t>ER_RESIDENTIAL_2</t>
  </si>
  <si>
    <t>ER_TERTIARY_2</t>
  </si>
  <si>
    <t>ER_TRANS_PRIVATE_2</t>
  </si>
  <si>
    <t>ER_TRANS_PUBLIC_2</t>
  </si>
  <si>
    <t>ER_AUTO_2</t>
  </si>
  <si>
    <t>ER_AUTO_TH_A_2</t>
  </si>
  <si>
    <t>ER_AUTO_TH_B_2</t>
  </si>
  <si>
    <t>ER_AUTO_TH_C_2</t>
  </si>
  <si>
    <t>ER_AUTO_TH_D_2</t>
  </si>
  <si>
    <t>ER_AUTO_TH_E_2</t>
  </si>
  <si>
    <t>ER_AUTO_TH_F_2</t>
  </si>
  <si>
    <t>ER_AUTO_TH_G_2</t>
  </si>
  <si>
    <t>ER_AUTO_ELEC_A_2</t>
  </si>
  <si>
    <t>ER_AUTO_ELEC_B_2</t>
  </si>
  <si>
    <t>ER_AUTO_ELEC_C_2</t>
  </si>
  <si>
    <t>ER_AUTO_ELEC_D_2</t>
  </si>
  <si>
    <t>ER_AUTO_ELEC_E_2</t>
  </si>
  <si>
    <t>ER_AUTO_ELEC_F_2</t>
  </si>
  <si>
    <t>ER_AUTO_ELEC_G_2</t>
  </si>
  <si>
    <t>ER_AUTO_COAL_2</t>
  </si>
  <si>
    <t>ER_AUTO_TH_2</t>
  </si>
  <si>
    <t>ER_AUTO_ELEC_2</t>
  </si>
  <si>
    <t>ER_AUTO_GAS_2</t>
  </si>
  <si>
    <t>ER_NEWAUTO_2</t>
  </si>
  <si>
    <t>ER_NEWAUTO_TH_2</t>
  </si>
  <si>
    <t>ER_NEWAUTO_TH_A_2</t>
  </si>
  <si>
    <t>ER_NEWAUTO_TH_B_2</t>
  </si>
  <si>
    <t>ER_NEWAUTO_TH_C_2</t>
  </si>
  <si>
    <t>ER_NEWAUTO_TH_D_2</t>
  </si>
  <si>
    <t>ER_NEWAUTO_TH_E_2</t>
  </si>
  <si>
    <t>ER_NEWAUTO_TH_F_2</t>
  </si>
  <si>
    <t>ER_NEWAUTO_TH_G_2</t>
  </si>
  <si>
    <t>ER_NEWAUTO_ELEC_2</t>
  </si>
  <si>
    <t>ER_NEWAUTO_ELEC_A_2</t>
  </si>
  <si>
    <t>ER_NEWAUTO_ELEC_B_2</t>
  </si>
  <si>
    <t>ER_NEWAUTO_ELEC_C_2</t>
  </si>
  <si>
    <t>ER_NEWAUTO_ELEC_D_2</t>
  </si>
  <si>
    <t>ER_NEWAUTO_ELEC_E_2</t>
  </si>
  <si>
    <t>ER_NEWAUTO_ELEC_F_2</t>
  </si>
  <si>
    <t>ER_NEWAUTO_ELEC_G_2</t>
  </si>
  <si>
    <t>ER_AGRICULTURE_COAL_2</t>
  </si>
  <si>
    <t>ER_INDUS_COAL_2</t>
  </si>
  <si>
    <t>ER_RESIDENTIAL_COAL_2</t>
  </si>
  <si>
    <t>ER_TERTIARY_COAL_2</t>
  </si>
  <si>
    <t>ER_TRANS_PRIVATE_COAL_2</t>
  </si>
  <si>
    <t>ER_TRANS_PUBLIC_COAL_2</t>
  </si>
  <si>
    <t>ER_AGRICULTURE_OIL_2</t>
  </si>
  <si>
    <t>ER_INDUS_OIL_2</t>
  </si>
  <si>
    <t>ER_RESIDENTIAL_OIL_2</t>
  </si>
  <si>
    <t>ER_TERTIARY_OIL_2</t>
  </si>
  <si>
    <t>ER_TRANS_PRIVATE_OIL_2</t>
  </si>
  <si>
    <t>ER_TRANS_PUBLIC_OIL_2</t>
  </si>
  <si>
    <t>ER_AGRICULTURE_ELEC_2</t>
  </si>
  <si>
    <t>ER_INDUS_ELEC_2</t>
  </si>
  <si>
    <t>ER_RESIDENTIAL_ELEC_2</t>
  </si>
  <si>
    <t>ER_TERTIARY_ELEC_2</t>
  </si>
  <si>
    <t>ER_TRANS_PRIVATE_ELEC_2</t>
  </si>
  <si>
    <t>ER_TRANS_PUBLIC_ELEC_2</t>
  </si>
  <si>
    <t>ER_AGRICULTURE_GAS_2</t>
  </si>
  <si>
    <t>ER_INDUS_GAS_2</t>
  </si>
  <si>
    <t>ER_RESIDENTIAL_GAS_2</t>
  </si>
  <si>
    <t>ER_TERTIARY_GAS_2</t>
  </si>
  <si>
    <t>ER_TRANS_PRIVATE_GAS_2</t>
  </si>
  <si>
    <t>ER_TRANS_PUBLIC_GAS_2</t>
  </si>
  <si>
    <t>ER_BUIL_2</t>
  </si>
  <si>
    <t>ER_BUIL_A_2</t>
  </si>
  <si>
    <t>ER_BUIL_B_2</t>
  </si>
  <si>
    <t>ER_BUIL_C_2</t>
  </si>
  <si>
    <t>ER_BUIL_D_2</t>
  </si>
  <si>
    <t>ER_BUIL_E_2</t>
  </si>
  <si>
    <t>ER_BUIL_F_2</t>
  </si>
  <si>
    <t>ER_BUIL_G_2</t>
  </si>
  <si>
    <t>TTCO_VOL_SIGNAL_2</t>
  </si>
  <si>
    <t>PGDP_2</t>
  </si>
  <si>
    <t>100*(GDP_2/@ELEM(GDP_2,"2006"))</t>
  </si>
  <si>
    <t>100*(EMS_TOT_2/@ELEM(EMS_TOT_2,"2006"))</t>
  </si>
  <si>
    <t>EMS_DC_04_2</t>
  </si>
  <si>
    <t>EMS_DC_05_2</t>
  </si>
  <si>
    <t>EMS_DC_2</t>
  </si>
  <si>
    <t>EMS_HH_2</t>
  </si>
  <si>
    <t>EMS_HH_21_2</t>
  </si>
  <si>
    <t>EMS_HH_21_H01_2</t>
  </si>
  <si>
    <t>EMS_HH_22_2</t>
  </si>
  <si>
    <t>EMS_HH_22_H01_2</t>
  </si>
  <si>
    <t>EMS_HH_24_2</t>
  </si>
  <si>
    <t>EMS_HH_24_H01_2</t>
  </si>
  <si>
    <t>EMS_SEC_TOT_01_2</t>
  </si>
  <si>
    <t>EMS_SEC_TOT_02_2</t>
  </si>
  <si>
    <t>EMS_SEC_TOT_03_2</t>
  </si>
  <si>
    <t>EMS_SEC_TOT_04_2</t>
  </si>
  <si>
    <t>EMS_SEC_TOT_05_2</t>
  </si>
  <si>
    <t>EMS_SEC_TOT_06_2</t>
  </si>
  <si>
    <t>EMS_SEC_TOT_07_2</t>
  </si>
  <si>
    <t>EMS_SEC_TOT_08_2</t>
  </si>
  <si>
    <t>EMS_SEC_TOT_09_2</t>
  </si>
  <si>
    <t>EMS_SEC_TOT_10_2</t>
  </si>
  <si>
    <t>EMS_SEC_TOT_11_2</t>
  </si>
  <si>
    <t>EMS_SEC_TOT_12_2</t>
  </si>
  <si>
    <t>EMS_SEC_TOT_13_2</t>
  </si>
  <si>
    <t>EMS_SEC_TOT_14_2</t>
  </si>
  <si>
    <t>EMS_SEC_TOT_15_2</t>
  </si>
  <si>
    <t>EMS_SEC_TOT_16_2</t>
  </si>
  <si>
    <t>EMS_SEC_TOT_17_2</t>
  </si>
  <si>
    <t>EMS_SEC_TOT_18_2</t>
  </si>
  <si>
    <t>EMS_SEC_TOT_19_2</t>
  </si>
  <si>
    <t>EMS_SEC_TOT_2</t>
  </si>
  <si>
    <t>EMS_SEC_TOT_20_2</t>
  </si>
  <si>
    <t>EMS_SEC_TOT_21_05_2</t>
  </si>
  <si>
    <t>EMS_SEC_TOT_21_06_2</t>
  </si>
  <si>
    <t>EMS_SEC_TOT_21_07_2</t>
  </si>
  <si>
    <t>EMS_SEC_TOT_21_08_2</t>
  </si>
  <si>
    <t>EMS_SEC_TOT_21_10_2</t>
  </si>
  <si>
    <t>EMS_SEC_TOT_21_12_2</t>
  </si>
  <si>
    <t>EMS_SEC_TOT_21_19_2</t>
  </si>
  <si>
    <t>EMS_SEC_TOT_21_20_2</t>
  </si>
  <si>
    <t>EMS_SEC_TOT_21_2304_2</t>
  </si>
  <si>
    <t>EMS_SEC_TOT_2201_2</t>
  </si>
  <si>
    <t>EMS_SEC_TOT_22_01_2</t>
  </si>
  <si>
    <t>EMS_SEC_TOT_22_02_2</t>
  </si>
  <si>
    <t>EMS_SEC_TOT_22_03_2</t>
  </si>
  <si>
    <t>EMS_SEC_TOT_22_04_2</t>
  </si>
  <si>
    <t>EMS_SEC_TOT_22_05_2</t>
  </si>
  <si>
    <t>EMS_SEC_TOT_22_06_2</t>
  </si>
  <si>
    <t>EMS_SEC_TOT_22_07_2</t>
  </si>
  <si>
    <t>EMS_SEC_TOT_22_08_2</t>
  </si>
  <si>
    <t>EMS_SEC_TOT_22_09_2</t>
  </si>
  <si>
    <t>EMS_SEC_TOT_22_12_2</t>
  </si>
  <si>
    <t>EMS_SEC_TOT_22_13_2</t>
  </si>
  <si>
    <t>EMS_SEC_TOT_22_14_2</t>
  </si>
  <si>
    <t>EMS_SEC_TOT_22_15_2</t>
  </si>
  <si>
    <t>EMS_SEC_TOT_22_16_2</t>
  </si>
  <si>
    <t>EMS_SEC_TOT_22_17_2</t>
  </si>
  <si>
    <t>EMS_SEC_TOT_22_18_2</t>
  </si>
  <si>
    <t>EMS_SEC_TOT_22_19_2</t>
  </si>
  <si>
    <t>EMS_SEC_TOT_22_20_2</t>
  </si>
  <si>
    <t>EMS_SEC_TOT_22_2201_2</t>
  </si>
  <si>
    <t>EMS_SEC_TOT_22_2302_2</t>
  </si>
  <si>
    <t>EMS_SEC_TOT_2302_2</t>
  </si>
  <si>
    <t>EMS_SEC_TOT_2303_2</t>
  </si>
  <si>
    <t>EMS_SEC_TOT_2304_2</t>
  </si>
  <si>
    <t>EMS_SEC_TOT_2401_2</t>
  </si>
  <si>
    <t>EMS_SEC_TOT_24_01_2</t>
  </si>
  <si>
    <t>EMS_SEC_TOT_24_02_2</t>
  </si>
  <si>
    <t>EMS_SEC_TOT_24_03_2</t>
  </si>
  <si>
    <t>EMS_SEC_TOT_24_04_2</t>
  </si>
  <si>
    <t>EMS_SEC_TOT_24_05_2</t>
  </si>
  <si>
    <t>EMS_SEC_TOT_24_06_2</t>
  </si>
  <si>
    <t>EMS_SEC_TOT_24_07_2</t>
  </si>
  <si>
    <t>EMS_SEC_TOT_24_08_2</t>
  </si>
  <si>
    <t>EMS_SEC_TOT_24_09_2</t>
  </si>
  <si>
    <t>EMS_SEC_TOT_24_10_2</t>
  </si>
  <si>
    <t>EMS_SEC_TOT_24_11_2</t>
  </si>
  <si>
    <t>EMS_SEC_TOT_24_12_2</t>
  </si>
  <si>
    <t>EMS_SEC_TOT_24_13_2</t>
  </si>
  <si>
    <t>EMS_SEC_TOT_24_14_2</t>
  </si>
  <si>
    <t>EMS_SEC_TOT_24_15_2</t>
  </si>
  <si>
    <t>EMS_SEC_TOT_24_16_2</t>
  </si>
  <si>
    <t>EMS_SEC_TOT_24_17_2</t>
  </si>
  <si>
    <t>EMS_SEC_TOT_24_18_2</t>
  </si>
  <si>
    <t>EMS_SEC_TOT_24_19_2</t>
  </si>
  <si>
    <t>EMS_SEC_TOT_24_20_2</t>
  </si>
  <si>
    <t>EMS_SEC_TOT_24_2201_2</t>
  </si>
  <si>
    <t>EMS_SEC_TOT_24_2303_2</t>
  </si>
  <si>
    <t>EMS_SEC_TOT_24_2401_2</t>
  </si>
  <si>
    <t>EMS_SECSOU_2</t>
  </si>
  <si>
    <t>EMS_SECSOU_21_2</t>
  </si>
  <si>
    <t>EMS_SECSOU_22_2</t>
  </si>
  <si>
    <t>EMS_SECSOU_24_2</t>
  </si>
  <si>
    <t>EMS_SOU_2</t>
  </si>
  <si>
    <t>EMS_SOU_21_2</t>
  </si>
  <si>
    <t>EMS_SOU_22_2</t>
  </si>
  <si>
    <t>EMS_SOU_24_2</t>
  </si>
  <si>
    <t>EMS_TOT_2</t>
  </si>
  <si>
    <t>Q_MTEP_EP_2</t>
  </si>
  <si>
    <t>Q_MTEP_EP_21_2</t>
  </si>
  <si>
    <t>Q_MTEP_EP_21_21_2</t>
  </si>
  <si>
    <t>Q_MTEP_EP_2201_2</t>
  </si>
  <si>
    <t>Q_MTEP_EP_2202_2</t>
  </si>
  <si>
    <t>Q_MTEP_EP_22_2201_2</t>
  </si>
  <si>
    <t>Q_MTEP_EP_22_2202_2</t>
  </si>
  <si>
    <t>Q_MTEP_EP_2301_2</t>
  </si>
  <si>
    <t>Q_MTEP_EP_2302_2</t>
  </si>
  <si>
    <t>Q_MTEP_EP_2303_2</t>
  </si>
  <si>
    <t>Q_MTEP_EP_2304_2</t>
  </si>
  <si>
    <t>Q_MTEP_EP_2305_2</t>
  </si>
  <si>
    <t>Q_MTEP_EP_2306_2</t>
  </si>
  <si>
    <t>Q_MTEP_EP_2307_2</t>
  </si>
  <si>
    <t>Q_MTEP_EP_2308_2</t>
  </si>
  <si>
    <t>Q_MTEP_EP_23_2301_2</t>
  </si>
  <si>
    <t>Q_MTEP_EP_23_2302_2</t>
  </si>
  <si>
    <t>Q_MTEP_EP_23_2303_2</t>
  </si>
  <si>
    <t>Q_MTEP_EP_23_2304_2</t>
  </si>
  <si>
    <t>Q_MTEP_EP_23_2305_2</t>
  </si>
  <si>
    <t>Q_MTEP_EP_23_2306_2</t>
  </si>
  <si>
    <t>Q_MTEP_EP_23_2307_2</t>
  </si>
  <si>
    <t>Q_MTEP_EP_23_2308_2</t>
  </si>
  <si>
    <t>Q_MTEP_EP_2401_2</t>
  </si>
  <si>
    <t>Q_MTEP_EP_2402_2</t>
  </si>
  <si>
    <t>Q_MTEP_EP_2403_2</t>
  </si>
  <si>
    <t>Q_MTEP_EP_2404_2</t>
  </si>
  <si>
    <t>Q_MTEP_EP_2405_2</t>
  </si>
  <si>
    <t>Q_MTEP_EP_2406_2</t>
  </si>
  <si>
    <t>Q_MTEP_EP_24_2401_2</t>
  </si>
  <si>
    <t>Q_MTEP_EP_24_2402_2</t>
  </si>
  <si>
    <t>Q_MTEP_EP_24_2403_2</t>
  </si>
  <si>
    <t>Q_MTEP_EP_24_2404_2</t>
  </si>
  <si>
    <t>Q_MTEP_EP_24_2405_2</t>
  </si>
  <si>
    <t>Q_MTEP_EP_24_2406_2</t>
  </si>
  <si>
    <t>Q_MTEP_INDUS_21_2</t>
  </si>
  <si>
    <t>Q_MTEP_INDUS_22_2</t>
  </si>
  <si>
    <t>Q_MTEP_INDUS_23_2</t>
  </si>
  <si>
    <t>Q_MTEP_INDUS_24_2</t>
  </si>
  <si>
    <t>PHIY_EF_TOT_22_2201_2</t>
  </si>
  <si>
    <t>PHIY_EF_TOT_22_2202_2</t>
  </si>
  <si>
    <t>PHIY_EF_TOT_23_2301_2</t>
  </si>
  <si>
    <t>PHIY_EF_TOT_23_2302_2</t>
  </si>
  <si>
    <t>PHIY_EF_TOT_23_2303_2</t>
  </si>
  <si>
    <t>PHIY_EF_TOT_23_2304_2</t>
  </si>
  <si>
    <t>PHIY_EF_TOT_23_2305_2</t>
  </si>
  <si>
    <t>PHIY_EF_TOT_23_2306_2</t>
  </si>
  <si>
    <t>PHIY_EF_TOT_23_2307_2</t>
  </si>
  <si>
    <t>PHIY_EF_TOT_23_2308_2</t>
  </si>
  <si>
    <t>PHIY_EF_TOT_24_2401_2</t>
  </si>
  <si>
    <t>PHIY_EF_TOT_24_2402_2</t>
  </si>
  <si>
    <t>PHIY_EF_TOT_24_2403_2</t>
  </si>
  <si>
    <t>PHIY_EF_TOT_24_2404_2</t>
  </si>
  <si>
    <t>PHIY_EF_TOT_24_2405_2</t>
  </si>
  <si>
    <t>PHIY_EF_TOT_24_2406_2</t>
  </si>
  <si>
    <t>IC_HH_22_H01_2</t>
  </si>
  <si>
    <t>IC_HH_24_H01_2</t>
  </si>
  <si>
    <t>Q_Mtep_ep_2201_2</t>
  </si>
  <si>
    <t>Q_Mtep_ep_2202_2</t>
  </si>
  <si>
    <t>Q_Mtep_ep_2301_2</t>
  </si>
  <si>
    <t>Q_Mtep_ep_2302_2</t>
  </si>
  <si>
    <t>Q_Mtep_ep_2303_2</t>
  </si>
  <si>
    <t>Q_Mtep_ep_2304_2</t>
  </si>
  <si>
    <t>Q_Mtep_ep_2305_2</t>
  </si>
  <si>
    <t>Q_Mtep_ep_2306_2</t>
  </si>
  <si>
    <t>Q_Mtep_ep_2307_2</t>
  </si>
  <si>
    <t>Q_Mtep_ep_2308_2</t>
  </si>
  <si>
    <t>Q_Mtep_ep_2401_2</t>
  </si>
  <si>
    <t>Q_Mtep_ep_2402_2</t>
  </si>
  <si>
    <t>Q_Mtep_ep_2403_2</t>
  </si>
  <si>
    <t>Q_Mtep_ep_2404_2</t>
  </si>
  <si>
    <t>Q_Mtep_ep_2405_2</t>
  </si>
  <si>
    <t>Q_Mtep_ep_2406_2</t>
  </si>
  <si>
    <t>Q_Mtep_ep_21_2</t>
  </si>
  <si>
    <t>ER_Oil_2</t>
  </si>
  <si>
    <t>ER_oil_2201_2</t>
  </si>
  <si>
    <t>ER_oil_2202_2</t>
  </si>
  <si>
    <t>ER_elec_2</t>
  </si>
  <si>
    <t>ER_Elec_2301_2</t>
  </si>
  <si>
    <t>ER_elec_2302_2</t>
  </si>
  <si>
    <t>ER_Elec_2303_2</t>
  </si>
  <si>
    <t>ER_elec_2304_2</t>
  </si>
  <si>
    <t>ER_Elec_2305_2</t>
  </si>
  <si>
    <t>ER_elec_2306_2</t>
  </si>
  <si>
    <t>ER_Elec_2307_2</t>
  </si>
  <si>
    <t>ER_elec_2308_2</t>
  </si>
  <si>
    <t>ER_Gas_2</t>
  </si>
  <si>
    <t>ER_Gas_2401_2</t>
  </si>
  <si>
    <t>ER_Gas_2402_2</t>
  </si>
  <si>
    <t>ER_Gas_2403_2</t>
  </si>
  <si>
    <t>ER_Gas_2404_2</t>
  </si>
  <si>
    <t>ER_Gas_2405_2</t>
  </si>
  <si>
    <t>ER_Gas_2406_2</t>
  </si>
  <si>
    <t>ER_coal_2</t>
  </si>
  <si>
    <t>ER_Total_2</t>
  </si>
  <si>
    <t>ER_TRANS_PRIVATE_coal_2</t>
  </si>
  <si>
    <t>ER_TRANS_PRIVATE_oil_2</t>
  </si>
  <si>
    <t>ER_TRANS_PRIVATE_elec_2</t>
  </si>
  <si>
    <t>ER_TRANS_PRIVATE_gas_2</t>
  </si>
  <si>
    <t>ER_TRANS_PUBLIC_coal_2</t>
  </si>
  <si>
    <t>ER_TRANS_PUBLIC_oil_2</t>
  </si>
  <si>
    <t>ER_TRANS_PUBLIC_elec_2</t>
  </si>
  <si>
    <t>ER_TRANS_PUBLIC_gas_2</t>
  </si>
  <si>
    <t>ER_RESIDENTIAL_coal_2</t>
  </si>
  <si>
    <t>ER_RESIDENTIAL_oil_2</t>
  </si>
  <si>
    <t>ER_RESIDENTIAL_elec_2</t>
  </si>
  <si>
    <t>ER_RESIDENTIAL_gas_2</t>
  </si>
  <si>
    <t>ER_TERTIARY_coal_2</t>
  </si>
  <si>
    <t>ER_TERTIARY_oil_2</t>
  </si>
  <si>
    <t>ER_TERTIARY_elec_2</t>
  </si>
  <si>
    <t>ER_TERTIARY_gas_2</t>
  </si>
  <si>
    <t>ER_INDUS_coal_2</t>
  </si>
  <si>
    <t>ER_INDUS_oil_2</t>
  </si>
  <si>
    <t>ER_INDUS_elec_2</t>
  </si>
  <si>
    <t>ER_INDUS_gas_2</t>
  </si>
  <si>
    <t>Q_Mtep_indus_21_2</t>
  </si>
  <si>
    <t>Q_Mtep_indus_22_2</t>
  </si>
  <si>
    <t>Q_Mtep_indus_23_2</t>
  </si>
  <si>
    <t>Q_Mtep_indus_24_2</t>
  </si>
  <si>
    <t>ER_AGRICULTURE_coal_2</t>
  </si>
  <si>
    <t>ER_AGRICULTURE_oil_2</t>
  </si>
  <si>
    <t>ER_AGRICULTURE_elec_2</t>
  </si>
  <si>
    <t>ER_AGRICULTURE_gas_2</t>
  </si>
  <si>
    <t>ER_AUTO_2/1000</t>
  </si>
  <si>
    <t>ER_AUTO_ELEC_2/ER_AUTO_2</t>
  </si>
  <si>
    <t>ER_AUTO_TH_2/ER_AUTO_2</t>
  </si>
  <si>
    <t>ER_NEWAUTO_ELEC_2/ER_NEWAUTO_2</t>
  </si>
  <si>
    <t>ER_NEWAUTO_ELEC_A_2/ER_NEWAUTO_2</t>
  </si>
  <si>
    <t>ER_NEWAUTO_ELEC_B_2/ER_NEWAUTO_2</t>
  </si>
  <si>
    <t>ER_NEWAUTO_ELEC_C_2/ER_NEWAUTO_2</t>
  </si>
  <si>
    <t>ER_NEWAUTO_ELEC_D_2/ER_NEWAUTO_2</t>
  </si>
  <si>
    <t>ER_NEWAUTO_ELEC_E_2/ER_NEWAUTO_2</t>
  </si>
  <si>
    <t>ER_NEWAUTO_ELEC_F_2/ER_NEWAUTO_2</t>
  </si>
  <si>
    <t>ER_NEWAUTO_ELEC_G_2/ER_NEWAUTO_2</t>
  </si>
  <si>
    <t>ER_NEWAUTO_TH_2/ER_NEWAUTO_2</t>
  </si>
  <si>
    <t>ER_NEWAUTO_TH_A_2/ER_NEWAUTO_2</t>
  </si>
  <si>
    <t>ER_NEWAUTO_TH_B_2/ER_NEWAUTO_2</t>
  </si>
  <si>
    <t>ER_NEWAUTO_TH_C_2/ER_NEWAUTO_2</t>
  </si>
  <si>
    <t>ER_NEWAUTO_TH_D_2/ER_NEWAUTO_2</t>
  </si>
  <si>
    <t>ER_NEWAUTO_TH_E_2/ER_NEWAUTO_2</t>
  </si>
  <si>
    <t>ER_NEWAUTO_TH_F_2/ER_NEWAUTO_2</t>
  </si>
  <si>
    <t>ER_NEWAUTO_TH_G_2/ER_NEWAUTO_2</t>
  </si>
  <si>
    <t>ER_AUTO_COAL_2/ER_AUTO_2</t>
  </si>
  <si>
    <t>ER_AUTO_GAS_2/ER_AUTO_2</t>
  </si>
  <si>
    <t>ER_AUTO_ELEC_A_2/ER_AUTO_2</t>
  </si>
  <si>
    <t>ER_AUTO_ELEC_B_2/ER_AUTO_2</t>
  </si>
  <si>
    <t>ER_AUTO_ELEC_C_2/ER_AUTO_2</t>
  </si>
  <si>
    <t>ER_AUTO_ELEC_D_2/ER_AUTO_2</t>
  </si>
  <si>
    <t>ER_AUTO_ELEC_E_2/ER_AUTO_2</t>
  </si>
  <si>
    <t>ER_AUTO_ELEC_F_2/ER_AUTO_2</t>
  </si>
  <si>
    <t>ER_AUTO_ELEC_G_2/ER_AUTO_2</t>
  </si>
  <si>
    <t>ER_AUTO_TH_A_2/ER_AUTO_2</t>
  </si>
  <si>
    <t>ER_AUTO_TH_B_2/ER_AUTO_2</t>
  </si>
  <si>
    <t>ER_AUTO_TH_C_2/ER_AUTO_2</t>
  </si>
  <si>
    <t>ER_AUTO_TH_D_2/ER_AUTO_2</t>
  </si>
  <si>
    <t>ER_AUTO_TH_E_2/ER_AUTO_2</t>
  </si>
  <si>
    <t>ER_AUTO_TH_F_2/ER_AUTO_2</t>
  </si>
  <si>
    <t>ER_AUTO_TH_G_2/ER_AUTO_2</t>
  </si>
  <si>
    <t>Cf. onglet "G mix energie"</t>
  </si>
  <si>
    <t>electricité</t>
  </si>
  <si>
    <t>chaleur (bois…)</t>
  </si>
  <si>
    <t>gaz</t>
  </si>
  <si>
    <t>carburant</t>
  </si>
  <si>
    <t>Electric</t>
  </si>
  <si>
    <t>Stock of vehicles</t>
  </si>
  <si>
    <t>S1</t>
  </si>
  <si>
    <t>Transport (milliers de km voyageurs)</t>
  </si>
  <si>
    <t>Avion (France + RDM)</t>
  </si>
  <si>
    <t>Longue Distance (LD)</t>
  </si>
  <si>
    <t xml:space="preserve">    voiture LD</t>
  </si>
  <si>
    <t xml:space="preserve">    train</t>
  </si>
  <si>
    <t>Courte Distance (CD)</t>
  </si>
  <si>
    <t xml:space="preserve">    voiture CD</t>
  </si>
  <si>
    <t xml:space="preserve">    bus</t>
  </si>
  <si>
    <t>Voiture CD+LD</t>
  </si>
  <si>
    <t>TEND</t>
  </si>
  <si>
    <t>Ecarts de transport 
(milliers de km voyageurs)</t>
  </si>
  <si>
    <t>KM_AUTO_H01_2</t>
  </si>
  <si>
    <t>KM_TRAVELER_18_H01_2</t>
  </si>
  <si>
    <t>KM_TRAV_AUTO_LD_H01_2</t>
  </si>
  <si>
    <t>KM_TRAV_AUTO_CD_H01_2</t>
  </si>
  <si>
    <t>KM_TRAVELER_14_H01_2</t>
  </si>
  <si>
    <t>KM_TRAVELER_15_H01_2</t>
  </si>
  <si>
    <t>KM_TRAVELER_CD_H01_2</t>
  </si>
  <si>
    <t>KM_TRAVELER_LD_H01_2</t>
  </si>
  <si>
    <t>1) Copier-coller sorties Eviews en B2
2) veillez à ce que les données commencent en 2004
3) modifier le scénario si besoin en B1</t>
  </si>
  <si>
    <t>Energie finale</t>
  </si>
  <si>
    <t>EMS_TOT_2/@ELEM(EMS_TOT,"2006")*100</t>
  </si>
  <si>
    <t>c</t>
  </si>
  <si>
    <t>Différences en 2050 résultant des modifs de chocs</t>
  </si>
  <si>
    <t>Ecarts par rapport à la cible</t>
  </si>
  <si>
    <t>Industry</t>
  </si>
  <si>
    <t>Industry energetic uses</t>
  </si>
  <si>
    <t>SNBC3</t>
  </si>
  <si>
    <t>Part modale hors avion</t>
  </si>
  <si>
    <t>voiture CD</t>
  </si>
  <si>
    <t>voiture LD</t>
  </si>
  <si>
    <t>voiture CD+LD</t>
  </si>
  <si>
    <t>Transport (parts modales en %)</t>
  </si>
  <si>
    <t>2030/2019</t>
  </si>
  <si>
    <t>2050/2019</t>
  </si>
  <si>
    <t>Total hors avion</t>
  </si>
  <si>
    <t>Ecarts de transport 
(points de %)</t>
  </si>
  <si>
    <t>Avion</t>
  </si>
  <si>
    <t>train</t>
  </si>
  <si>
    <t>bus</t>
  </si>
  <si>
    <t>route</t>
  </si>
  <si>
    <t>Cibles DGEC</t>
  </si>
  <si>
    <t>TTCO_VOL_SIGNAL_1</t>
  </si>
  <si>
    <t>PGDP_1</t>
  </si>
  <si>
    <t>(GDP_2/GDP_1-1)*100</t>
  </si>
  <si>
    <t>(CH_2/CH_1-1)*100</t>
  </si>
  <si>
    <t>(I_2/I_1-1)*100</t>
  </si>
  <si>
    <t>(X_2/X_1-1)*100</t>
  </si>
  <si>
    <t>(M_2/M_1-1)*100</t>
  </si>
  <si>
    <t>(DC_VAL_2/(PGDP_2*GDP_2)-DC_VAL_1/(PGDP_1*GDP_1))*100</t>
  </si>
  <si>
    <t>(UNR_TOT_2-UNR_TOT_1)*100</t>
  </si>
  <si>
    <t>(L_2/L_1-1)*100</t>
  </si>
  <si>
    <t>((W_S_2/PCH_2)/(W_S_1/PCH_1)-1)*100</t>
  </si>
  <si>
    <t>INFL_FR_2-INFL_FR_1</t>
  </si>
  <si>
    <t>R_2-R_1</t>
  </si>
  <si>
    <t>(DEBT_G_VAL_2/(PGDP_2*GDP_2)-DEBT_G_VAL_1/(PGDP_1*GDP_1))*100</t>
  </si>
  <si>
    <t>(DP_G_VAL_2-DP_G_VAL_1)*100</t>
  </si>
  <si>
    <t>100*(GDP_2/GDP_1-1)</t>
  </si>
  <si>
    <t>100*(CH_2/CH_1-1)</t>
  </si>
  <si>
    <t>100*(I_2/I_1-1)</t>
  </si>
  <si>
    <t>100*(X_2/X_1-1)</t>
  </si>
  <si>
    <t>100*(M_2/M_1-1)</t>
  </si>
  <si>
    <t>100*(UNR_TOT_2-UNR_TOT_1)</t>
  </si>
  <si>
    <t>100*(L_2/L_1-1)</t>
  </si>
  <si>
    <t>100*((W_2/PCH_2)/(W_1/PCH_1)-1)</t>
  </si>
  <si>
    <t>100*(PCH_2/PCH_1-1)</t>
  </si>
  <si>
    <t>100*(R_2-R_1)</t>
  </si>
  <si>
    <t>100*(DEBT_G_VAL_2/(PGDP_2*GDP_2)-DEBT_G_VAL_1/(PGDP_1*GDP_1))</t>
  </si>
  <si>
    <t>100*(DP_G_VAL_2-DP_G_VAL_1)</t>
  </si>
  <si>
    <t>100*(EMS_TOT_2/EMS_TOT_1-1)</t>
  </si>
  <si>
    <t>KM_AUTO_H01_1</t>
  </si>
  <si>
    <t>KM_TRAVELER_18_H01_1</t>
  </si>
  <si>
    <t>KM_TRAV_AUTO_LD_H01_1</t>
  </si>
  <si>
    <t>KM_TRAV_AUTO_CD_H01_1</t>
  </si>
  <si>
    <t>KM_TRAVELER_14_H01_1</t>
  </si>
  <si>
    <t>KM_TRAVELER_15_H01_1</t>
  </si>
  <si>
    <t>KM_TRAVELER_CD_H01_1</t>
  </si>
  <si>
    <t>KM_TRAVELER_LD_H01_1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</si>
</sst>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#,##0.0"/>
    <numFmt numFmtId="167" formatCode="0.000"/>
    <numFmt numFmtId="168" formatCode="0.00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6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5" fillId="0" borderId="0"/>
    <xf numFmtId="0" fontId="1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0"/>
  </cellStyleXfs>
  <cellXfs count="321">
    <xf numFmtId="0" fontId="0" fillId="0" borderId="0" xfId="0"/>
    <xf numFmtId="0" fontId="3" fillId="0" borderId="0" xfId="0" applyFont="1"/>
    <xf numFmtId="0" fontId="0" fillId="2" borderId="1" xfId="0" applyFill="1" applyBorder="1"/>
    <xf numFmtId="0" fontId="0" fillId="2" borderId="0" xfId="0" applyFill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1" fontId="2" fillId="3" borderId="3" xfId="0" applyNumberFormat="1" applyFont="1" applyFill="1" applyBorder="1" applyAlignment="1">
      <alignment horizontal="right"/>
    </xf>
    <xf numFmtId="0" fontId="0" fillId="2" borderId="3" xfId="0" applyFill="1" applyBorder="1"/>
    <xf numFmtId="1" fontId="2" fillId="3" borderId="1" xfId="0" applyNumberFormat="1" applyFont="1" applyFill="1" applyBorder="1" applyAlignment="1">
      <alignment horizontal="right"/>
    </xf>
    <xf numFmtId="1" fontId="2" fillId="4" borderId="1" xfId="0" applyNumberFormat="1" applyFont="1" applyFill="1" applyBorder="1"/>
    <xf numFmtId="0" fontId="0" fillId="0" borderId="3" xfId="0" applyBorder="1"/>
    <xf numFmtId="0" fontId="5" fillId="0" borderId="0" xfId="0" applyFont="1"/>
    <xf numFmtId="0" fontId="2" fillId="0" borderId="1" xfId="0" applyFont="1" applyBorder="1"/>
    <xf numFmtId="0" fontId="10" fillId="0" borderId="0" xfId="0" applyFont="1"/>
    <xf numFmtId="1" fontId="2" fillId="2" borderId="1" xfId="0" applyNumberFormat="1" applyFont="1" applyFill="1" applyBorder="1" applyAlignment="1">
      <alignment horizontal="left"/>
    </xf>
    <xf numFmtId="0" fontId="0" fillId="2" borderId="2" xfId="0" applyFill="1" applyBorder="1"/>
    <xf numFmtId="1" fontId="0" fillId="2" borderId="0" xfId="0" applyNumberFormat="1" applyFill="1" applyAlignment="1">
      <alignment horizontal="right"/>
    </xf>
    <xf numFmtId="1" fontId="0" fillId="2" borderId="3" xfId="0" applyNumberFormat="1" applyFill="1" applyBorder="1" applyAlignment="1">
      <alignment horizontal="right"/>
    </xf>
    <xf numFmtId="3" fontId="2" fillId="3" borderId="3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4" xfId="0" applyFont="1" applyFill="1" applyBorder="1" applyAlignment="1">
      <alignment horizontal="right"/>
    </xf>
    <xf numFmtId="1" fontId="2" fillId="3" borderId="4" xfId="0" applyNumberFormat="1" applyFont="1" applyFill="1" applyBorder="1" applyAlignment="1">
      <alignment horizontal="right"/>
    </xf>
    <xf numFmtId="1" fontId="0" fillId="2" borderId="5" xfId="0" applyNumberFormat="1" applyFill="1" applyBorder="1" applyAlignment="1">
      <alignment horizontal="right"/>
    </xf>
    <xf numFmtId="1" fontId="2" fillId="4" borderId="4" xfId="0" applyNumberFormat="1" applyFont="1" applyFill="1" applyBorder="1"/>
    <xf numFmtId="0" fontId="6" fillId="0" borderId="1" xfId="0" applyFont="1" applyBorder="1"/>
    <xf numFmtId="3" fontId="0" fillId="2" borderId="0" xfId="0" applyNumberFormat="1" applyFill="1" applyAlignment="1">
      <alignment horizontal="right"/>
    </xf>
    <xf numFmtId="0" fontId="10" fillId="0" borderId="3" xfId="0" applyFont="1" applyBorder="1"/>
    <xf numFmtId="1" fontId="2" fillId="2" borderId="1" xfId="0" applyNumberFormat="1" applyFont="1" applyFill="1" applyBorder="1" applyAlignment="1">
      <alignment horizontal="right"/>
    </xf>
    <xf numFmtId="1" fontId="11" fillId="5" borderId="1" xfId="0" applyNumberFormat="1" applyFont="1" applyFill="1" applyBorder="1" applyAlignment="1">
      <alignment horizontal="right"/>
    </xf>
    <xf numFmtId="1" fontId="11" fillId="5" borderId="4" xfId="0" applyNumberFormat="1" applyFont="1" applyFill="1" applyBorder="1" applyAlignment="1">
      <alignment horizontal="right"/>
    </xf>
    <xf numFmtId="1" fontId="16" fillId="2" borderId="0" xfId="0" applyNumberFormat="1" applyFont="1" applyFill="1" applyAlignment="1">
      <alignment horizontal="right"/>
    </xf>
    <xf numFmtId="1" fontId="11" fillId="6" borderId="1" xfId="0" applyNumberFormat="1" applyFont="1" applyFill="1" applyBorder="1"/>
    <xf numFmtId="1" fontId="11" fillId="6" borderId="4" xfId="0" applyNumberFormat="1" applyFont="1" applyFill="1" applyBorder="1"/>
    <xf numFmtId="2" fontId="2" fillId="0" borderId="0" xfId="0" applyNumberFormat="1" applyFont="1"/>
    <xf numFmtId="164" fontId="0" fillId="2" borderId="0" xfId="0" applyNumberFormat="1" applyFill="1" applyAlignment="1">
      <alignment horizontal="right"/>
    </xf>
    <xf numFmtId="0" fontId="7" fillId="2" borderId="0" xfId="0" applyFont="1" applyFill="1" applyAlignment="1">
      <alignment horizontal="left" indent="2"/>
    </xf>
    <xf numFmtId="1" fontId="2" fillId="7" borderId="1" xfId="0" applyNumberFormat="1" applyFont="1" applyFill="1" applyBorder="1" applyAlignment="1">
      <alignment horizontal="right"/>
    </xf>
    <xf numFmtId="1" fontId="2" fillId="8" borderId="1" xfId="0" applyNumberFormat="1" applyFont="1" applyFill="1" applyBorder="1"/>
    <xf numFmtId="2" fontId="0" fillId="2" borderId="0" xfId="0" applyNumberFormat="1" applyFill="1" applyAlignment="1">
      <alignment horizontal="right"/>
    </xf>
    <xf numFmtId="11" fontId="0" fillId="0" borderId="0" xfId="0" applyNumberFormat="1"/>
    <xf numFmtId="0" fontId="19" fillId="0" borderId="0" xfId="3" applyFill="1"/>
    <xf numFmtId="0" fontId="4" fillId="2" borderId="0" xfId="0" applyFont="1" applyFill="1"/>
    <xf numFmtId="0" fontId="5" fillId="2" borderId="0" xfId="0" applyFont="1" applyFill="1"/>
    <xf numFmtId="0" fontId="6" fillId="2" borderId="3" xfId="0" applyFont="1" applyFill="1" applyBorder="1"/>
    <xf numFmtId="0" fontId="6" fillId="2" borderId="0" xfId="0" applyFont="1" applyFill="1"/>
    <xf numFmtId="1" fontId="0" fillId="2" borderId="0" xfId="0" applyNumberFormat="1" applyFill="1"/>
    <xf numFmtId="0" fontId="3" fillId="2" borderId="0" xfId="0" applyFont="1" applyFill="1"/>
    <xf numFmtId="164" fontId="0" fillId="2" borderId="0" xfId="0" applyNumberFormat="1" applyFill="1"/>
    <xf numFmtId="1" fontId="2" fillId="8" borderId="4" xfId="0" applyNumberFormat="1" applyFont="1" applyFill="1" applyBorder="1"/>
    <xf numFmtId="0" fontId="6" fillId="2" borderId="1" xfId="0" applyFont="1" applyFill="1" applyBorder="1"/>
    <xf numFmtId="0" fontId="8" fillId="2" borderId="2" xfId="0" applyFont="1" applyFill="1" applyBorder="1"/>
    <xf numFmtId="3" fontId="2" fillId="9" borderId="11" xfId="0" applyNumberFormat="1" applyFont="1" applyFill="1" applyBorder="1" applyAlignment="1">
      <alignment horizontal="right"/>
    </xf>
    <xf numFmtId="0" fontId="0" fillId="2" borderId="12" xfId="0" applyFill="1" applyBorder="1"/>
    <xf numFmtId="3" fontId="2" fillId="3" borderId="13" xfId="0" applyNumberFormat="1" applyFont="1" applyFill="1" applyBorder="1" applyAlignment="1">
      <alignment horizontal="right"/>
    </xf>
    <xf numFmtId="0" fontId="10" fillId="2" borderId="0" xfId="0" applyFont="1" applyFill="1"/>
    <xf numFmtId="3" fontId="0" fillId="2" borderId="13" xfId="0" applyNumberFormat="1" applyFill="1" applyBorder="1" applyAlignment="1">
      <alignment horizontal="right"/>
    </xf>
    <xf numFmtId="0" fontId="7" fillId="2" borderId="3" xfId="0" applyFont="1" applyFill="1" applyBorder="1" applyAlignment="1">
      <alignment horizontal="left" indent="2"/>
    </xf>
    <xf numFmtId="3" fontId="0" fillId="2" borderId="3" xfId="0" applyNumberFormat="1" applyFill="1" applyBorder="1" applyAlignment="1">
      <alignment horizontal="right"/>
    </xf>
    <xf numFmtId="0" fontId="2" fillId="2" borderId="11" xfId="0" applyFont="1" applyFill="1" applyBorder="1"/>
    <xf numFmtId="3" fontId="2" fillId="9" borderId="2" xfId="0" applyNumberFormat="1" applyFont="1" applyFill="1" applyBorder="1" applyAlignment="1">
      <alignment horizontal="right"/>
    </xf>
    <xf numFmtId="0" fontId="2" fillId="2" borderId="0" xfId="0" applyFont="1" applyFill="1"/>
    <xf numFmtId="3" fontId="2" fillId="3" borderId="12" xfId="0" applyNumberFormat="1" applyFont="1" applyFill="1" applyBorder="1" applyAlignment="1">
      <alignment horizontal="right"/>
    </xf>
    <xf numFmtId="0" fontId="7" fillId="2" borderId="14" xfId="0" applyFont="1" applyFill="1" applyBorder="1" applyAlignment="1">
      <alignment horizontal="left" indent="2"/>
    </xf>
    <xf numFmtId="0" fontId="10" fillId="2" borderId="14" xfId="0" applyFont="1" applyFill="1" applyBorder="1"/>
    <xf numFmtId="0" fontId="2" fillId="2" borderId="12" xfId="0" applyFont="1" applyFill="1" applyBorder="1"/>
    <xf numFmtId="3" fontId="0" fillId="2" borderId="0" xfId="1" applyNumberFormat="1" applyFont="1" applyFill="1" applyBorder="1" applyAlignment="1">
      <alignment horizontal="right"/>
    </xf>
    <xf numFmtId="0" fontId="10" fillId="2" borderId="3" xfId="0" applyFont="1" applyFill="1" applyBorder="1"/>
    <xf numFmtId="165" fontId="2" fillId="3" borderId="13" xfId="0" applyNumberFormat="1" applyFont="1" applyFill="1" applyBorder="1" applyAlignment="1">
      <alignment horizontal="right"/>
    </xf>
    <xf numFmtId="165" fontId="0" fillId="2" borderId="0" xfId="0" applyNumberFormat="1" applyFill="1" applyAlignment="1">
      <alignment horizontal="right"/>
    </xf>
    <xf numFmtId="165" fontId="0" fillId="2" borderId="13" xfId="0" applyNumberFormat="1" applyFill="1" applyBorder="1" applyAlignment="1">
      <alignment horizontal="right"/>
    </xf>
    <xf numFmtId="165" fontId="0" fillId="2" borderId="3" xfId="0" applyNumberFormat="1" applyFill="1" applyBorder="1" applyAlignment="1">
      <alignment horizontal="right"/>
    </xf>
    <xf numFmtId="165" fontId="2" fillId="3" borderId="12" xfId="0" applyNumberFormat="1" applyFont="1" applyFill="1" applyBorder="1" applyAlignment="1">
      <alignment horizontal="right"/>
    </xf>
    <xf numFmtId="165" fontId="0" fillId="2" borderId="0" xfId="1" applyNumberFormat="1" applyFont="1" applyFill="1" applyBorder="1" applyAlignment="1">
      <alignment horizontal="right"/>
    </xf>
    <xf numFmtId="165" fontId="0" fillId="2" borderId="3" xfId="1" applyNumberFormat="1" applyFont="1" applyFill="1" applyBorder="1" applyAlignment="1">
      <alignment horizontal="right"/>
    </xf>
    <xf numFmtId="165" fontId="0" fillId="2" borderId="2" xfId="0" applyNumberFormat="1" applyFill="1" applyBorder="1" applyAlignment="1">
      <alignment horizontal="right"/>
    </xf>
    <xf numFmtId="1" fontId="2" fillId="2" borderId="0" xfId="0" applyNumberFormat="1" applyFont="1" applyFill="1" applyAlignment="1">
      <alignment horizontal="right"/>
    </xf>
    <xf numFmtId="0" fontId="2" fillId="2" borderId="1" xfId="0" applyFont="1" applyFill="1" applyBorder="1" applyAlignment="1">
      <alignment horizontal="right" wrapText="1" shrinkToFit="1"/>
    </xf>
    <xf numFmtId="164" fontId="20" fillId="2" borderId="0" xfId="0" applyNumberFormat="1" applyFont="1" applyFill="1"/>
    <xf numFmtId="1" fontId="20" fillId="2" borderId="0" xfId="0" applyNumberFormat="1" applyFont="1" applyFill="1"/>
    <xf numFmtId="1" fontId="2" fillId="2" borderId="0" xfId="0" applyNumberFormat="1" applyFont="1" applyFill="1"/>
    <xf numFmtId="1" fontId="11" fillId="2" borderId="0" xfId="0" applyNumberFormat="1" applyFont="1" applyFill="1"/>
    <xf numFmtId="0" fontId="16" fillId="2" borderId="0" xfId="0" applyFont="1" applyFill="1"/>
    <xf numFmtId="1" fontId="11" fillId="2" borderId="0" xfId="0" applyNumberFormat="1" applyFont="1" applyFill="1" applyAlignment="1">
      <alignment horizontal="right"/>
    </xf>
    <xf numFmtId="1" fontId="2" fillId="2" borderId="16" xfId="0" applyNumberFormat="1" applyFont="1" applyFill="1" applyBorder="1" applyAlignment="1">
      <alignment horizontal="right"/>
    </xf>
    <xf numFmtId="1" fontId="2" fillId="3" borderId="9" xfId="0" applyNumberFormat="1" applyFont="1" applyFill="1" applyBorder="1" applyAlignment="1">
      <alignment horizontal="right"/>
    </xf>
    <xf numFmtId="1" fontId="2" fillId="3" borderId="10" xfId="0" applyNumberFormat="1" applyFont="1" applyFill="1" applyBorder="1" applyAlignment="1">
      <alignment horizontal="right"/>
    </xf>
    <xf numFmtId="1" fontId="0" fillId="2" borderId="6" xfId="0" applyNumberFormat="1" applyFill="1" applyBorder="1" applyAlignment="1">
      <alignment horizontal="right"/>
    </xf>
    <xf numFmtId="1" fontId="2" fillId="3" borderId="16" xfId="0" applyNumberFormat="1" applyFont="1" applyFill="1" applyBorder="1" applyAlignment="1">
      <alignment horizontal="right"/>
    </xf>
    <xf numFmtId="1" fontId="0" fillId="2" borderId="9" xfId="0" applyNumberFormat="1" applyFill="1" applyBorder="1" applyAlignment="1">
      <alignment horizontal="right"/>
    </xf>
    <xf numFmtId="1" fontId="0" fillId="2" borderId="10" xfId="0" applyNumberFormat="1" applyFill="1" applyBorder="1" applyAlignment="1">
      <alignment horizontal="right"/>
    </xf>
    <xf numFmtId="1" fontId="2" fillId="4" borderId="16" xfId="0" applyNumberFormat="1" applyFont="1" applyFill="1" applyBorder="1"/>
    <xf numFmtId="1" fontId="2" fillId="2" borderId="4" xfId="0" applyNumberFormat="1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0" fontId="2" fillId="2" borderId="15" xfId="0" applyFont="1" applyFill="1" applyBorder="1" applyAlignment="1">
      <alignment horizontal="right"/>
    </xf>
    <xf numFmtId="1" fontId="2" fillId="3" borderId="17" xfId="0" applyNumberFormat="1" applyFont="1" applyFill="1" applyBorder="1" applyAlignment="1">
      <alignment horizontal="right"/>
    </xf>
    <xf numFmtId="1" fontId="0" fillId="2" borderId="18" xfId="0" applyNumberFormat="1" applyFill="1" applyBorder="1" applyAlignment="1">
      <alignment horizontal="right"/>
    </xf>
    <xf numFmtId="1" fontId="2" fillId="3" borderId="15" xfId="0" applyNumberFormat="1" applyFont="1" applyFill="1" applyBorder="1" applyAlignment="1">
      <alignment horizontal="right"/>
    </xf>
    <xf numFmtId="1" fontId="0" fillId="2" borderId="17" xfId="0" applyNumberFormat="1" applyFill="1" applyBorder="1" applyAlignment="1">
      <alignment horizontal="right"/>
    </xf>
    <xf numFmtId="1" fontId="2" fillId="4" borderId="15" xfId="0" applyNumberFormat="1" applyFont="1" applyFill="1" applyBorder="1"/>
    <xf numFmtId="3" fontId="2" fillId="9" borderId="19" xfId="0" applyNumberFormat="1" applyFont="1" applyFill="1" applyBorder="1" applyAlignment="1">
      <alignment horizontal="right"/>
    </xf>
    <xf numFmtId="3" fontId="2" fillId="9" borderId="20" xfId="0" applyNumberFormat="1" applyFont="1" applyFill="1" applyBorder="1" applyAlignment="1">
      <alignment horizontal="right"/>
    </xf>
    <xf numFmtId="3" fontId="0" fillId="2" borderId="5" xfId="0" applyNumberFormat="1" applyFill="1" applyBorder="1" applyAlignment="1">
      <alignment horizontal="right"/>
    </xf>
    <xf numFmtId="3" fontId="0" fillId="2" borderId="6" xfId="0" applyNumberFormat="1" applyFill="1" applyBorder="1" applyAlignment="1">
      <alignment horizontal="right"/>
    </xf>
    <xf numFmtId="3" fontId="2" fillId="9" borderId="7" xfId="0" applyNumberFormat="1" applyFont="1" applyFill="1" applyBorder="1" applyAlignment="1">
      <alignment horizontal="right"/>
    </xf>
    <xf numFmtId="3" fontId="2" fillId="9" borderId="25" xfId="0" applyNumberFormat="1" applyFont="1" applyFill="1" applyBorder="1" applyAlignment="1">
      <alignment horizontal="right"/>
    </xf>
    <xf numFmtId="3" fontId="0" fillId="2" borderId="18" xfId="0" applyNumberFormat="1" applyFill="1" applyBorder="1" applyAlignment="1">
      <alignment horizontal="right"/>
    </xf>
    <xf numFmtId="3" fontId="2" fillId="3" borderId="9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165" fontId="0" fillId="2" borderId="8" xfId="0" applyNumberFormat="1" applyFill="1" applyBorder="1" applyAlignment="1">
      <alignment horizontal="right"/>
    </xf>
    <xf numFmtId="165" fontId="0" fillId="2" borderId="7" xfId="0" applyNumberFormat="1" applyFill="1" applyBorder="1" applyAlignment="1">
      <alignment horizontal="right"/>
    </xf>
    <xf numFmtId="165" fontId="0" fillId="2" borderId="5" xfId="0" applyNumberFormat="1" applyFill="1" applyBorder="1" applyAlignment="1">
      <alignment horizontal="right"/>
    </xf>
    <xf numFmtId="165" fontId="0" fillId="2" borderId="6" xfId="0" applyNumberFormat="1" applyFill="1" applyBorder="1" applyAlignment="1">
      <alignment horizontal="right"/>
    </xf>
    <xf numFmtId="165" fontId="0" fillId="2" borderId="9" xfId="0" applyNumberFormat="1" applyFill="1" applyBorder="1" applyAlignment="1">
      <alignment horizontal="right"/>
    </xf>
    <xf numFmtId="165" fontId="0" fillId="2" borderId="10" xfId="0" applyNumberFormat="1" applyFill="1" applyBorder="1" applyAlignment="1">
      <alignment horizontal="right"/>
    </xf>
    <xf numFmtId="3" fontId="2" fillId="3" borderId="17" xfId="0" applyNumberFormat="1" applyFont="1" applyFill="1" applyBorder="1" applyAlignment="1">
      <alignment horizontal="right"/>
    </xf>
    <xf numFmtId="165" fontId="0" fillId="2" borderId="27" xfId="0" applyNumberFormat="1" applyFill="1" applyBorder="1" applyAlignment="1">
      <alignment horizontal="right"/>
    </xf>
    <xf numFmtId="165" fontId="0" fillId="2" borderId="18" xfId="0" applyNumberFormat="1" applyFill="1" applyBorder="1" applyAlignment="1">
      <alignment horizontal="right"/>
    </xf>
    <xf numFmtId="165" fontId="0" fillId="2" borderId="17" xfId="0" applyNumberFormat="1" applyFill="1" applyBorder="1" applyAlignment="1">
      <alignment horizontal="right"/>
    </xf>
    <xf numFmtId="165" fontId="2" fillId="3" borderId="26" xfId="0" applyNumberFormat="1" applyFont="1" applyFill="1" applyBorder="1" applyAlignment="1">
      <alignment horizontal="right"/>
    </xf>
    <xf numFmtId="165" fontId="0" fillId="2" borderId="26" xfId="0" applyNumberFormat="1" applyFill="1" applyBorder="1" applyAlignment="1">
      <alignment horizontal="right"/>
    </xf>
    <xf numFmtId="165" fontId="2" fillId="3" borderId="28" xfId="0" applyNumberFormat="1" applyFont="1" applyFill="1" applyBorder="1" applyAlignment="1">
      <alignment horizontal="right"/>
    </xf>
    <xf numFmtId="165" fontId="0" fillId="2" borderId="18" xfId="1" applyNumberFormat="1" applyFont="1" applyFill="1" applyBorder="1" applyAlignment="1">
      <alignment horizontal="right"/>
    </xf>
    <xf numFmtId="165" fontId="0" fillId="2" borderId="17" xfId="1" applyNumberFormat="1" applyFont="1" applyFill="1" applyBorder="1" applyAlignment="1">
      <alignment horizontal="right"/>
    </xf>
    <xf numFmtId="165" fontId="2" fillId="3" borderId="21" xfId="0" applyNumberFormat="1" applyFont="1" applyFill="1" applyBorder="1" applyAlignment="1">
      <alignment horizontal="right"/>
    </xf>
    <xf numFmtId="165" fontId="2" fillId="3" borderId="22" xfId="0" applyNumberFormat="1" applyFont="1" applyFill="1" applyBorder="1" applyAlignment="1">
      <alignment horizontal="right"/>
    </xf>
    <xf numFmtId="165" fontId="0" fillId="2" borderId="21" xfId="0" applyNumberFormat="1" applyFill="1" applyBorder="1" applyAlignment="1">
      <alignment horizontal="right"/>
    </xf>
    <xf numFmtId="165" fontId="0" fillId="2" borderId="22" xfId="0" applyNumberFormat="1" applyFill="1" applyBorder="1" applyAlignment="1">
      <alignment horizontal="right"/>
    </xf>
    <xf numFmtId="165" fontId="2" fillId="3" borderId="23" xfId="0" applyNumberFormat="1" applyFont="1" applyFill="1" applyBorder="1" applyAlignment="1">
      <alignment horizontal="right"/>
    </xf>
    <xf numFmtId="165" fontId="2" fillId="3" borderId="24" xfId="0" applyNumberFormat="1" applyFont="1" applyFill="1" applyBorder="1" applyAlignment="1">
      <alignment horizontal="right"/>
    </xf>
    <xf numFmtId="165" fontId="0" fillId="2" borderId="5" xfId="1" applyNumberFormat="1" applyFont="1" applyFill="1" applyBorder="1" applyAlignment="1">
      <alignment horizontal="right"/>
    </xf>
    <xf numFmtId="165" fontId="0" fillId="2" borderId="6" xfId="1" applyNumberFormat="1" applyFont="1" applyFill="1" applyBorder="1" applyAlignment="1">
      <alignment horizontal="right"/>
    </xf>
    <xf numFmtId="165" fontId="0" fillId="2" borderId="9" xfId="1" applyNumberFormat="1" applyFont="1" applyFill="1" applyBorder="1" applyAlignment="1">
      <alignment horizontal="right"/>
    </xf>
    <xf numFmtId="165" fontId="0" fillId="2" borderId="10" xfId="1" applyNumberFormat="1" applyFont="1" applyFill="1" applyBorder="1" applyAlignment="1">
      <alignment horizontal="right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65" fontId="0" fillId="0" borderId="0" xfId="0" applyNumberFormat="1"/>
    <xf numFmtId="165" fontId="0" fillId="0" borderId="33" xfId="0" applyNumberFormat="1" applyBorder="1"/>
    <xf numFmtId="0" fontId="0" fillId="0" borderId="34" xfId="0" applyBorder="1"/>
    <xf numFmtId="165" fontId="0" fillId="0" borderId="35" xfId="0" applyNumberFormat="1" applyBorder="1"/>
    <xf numFmtId="0" fontId="2" fillId="2" borderId="4" xfId="0" applyFont="1" applyFill="1" applyBorder="1" applyAlignment="1">
      <alignment horizontal="right" wrapText="1" shrinkToFit="1"/>
    </xf>
    <xf numFmtId="1" fontId="11" fillId="5" borderId="15" xfId="0" applyNumberFormat="1" applyFont="1" applyFill="1" applyBorder="1" applyAlignment="1">
      <alignment horizontal="right"/>
    </xf>
    <xf numFmtId="1" fontId="16" fillId="2" borderId="5" xfId="0" applyNumberFormat="1" applyFont="1" applyFill="1" applyBorder="1" applyAlignment="1">
      <alignment horizontal="right"/>
    </xf>
    <xf numFmtId="1" fontId="11" fillId="6" borderId="15" xfId="0" applyNumberFormat="1" applyFont="1" applyFill="1" applyBorder="1"/>
    <xf numFmtId="0" fontId="12" fillId="2" borderId="4" xfId="0" applyFont="1" applyFill="1" applyBorder="1"/>
    <xf numFmtId="0" fontId="0" fillId="0" borderId="2" xfId="0" applyBorder="1"/>
    <xf numFmtId="1" fontId="2" fillId="3" borderId="4" xfId="0" applyNumberFormat="1" applyFont="1" applyFill="1" applyBorder="1" applyAlignment="1">
      <alignment horizontal="left"/>
    </xf>
    <xf numFmtId="0" fontId="7" fillId="2" borderId="8" xfId="0" applyFont="1" applyFill="1" applyBorder="1" applyAlignment="1">
      <alignment horizontal="left" indent="2"/>
    </xf>
    <xf numFmtId="0" fontId="7" fillId="2" borderId="5" xfId="0" applyFont="1" applyFill="1" applyBorder="1" applyAlignment="1">
      <alignment horizontal="left" indent="2"/>
    </xf>
    <xf numFmtId="1" fontId="2" fillId="5" borderId="4" xfId="0" applyNumberFormat="1" applyFont="1" applyFill="1" applyBorder="1" applyAlignment="1">
      <alignment horizontal="left"/>
    </xf>
    <xf numFmtId="1" fontId="2" fillId="6" borderId="4" xfId="0" applyNumberFormat="1" applyFont="1" applyFill="1" applyBorder="1"/>
    <xf numFmtId="0" fontId="2" fillId="10" borderId="0" xfId="0" applyFont="1" applyFill="1"/>
    <xf numFmtId="0" fontId="22" fillId="2" borderId="0" xfId="4" applyFill="1" applyBorder="1"/>
    <xf numFmtId="166" fontId="2" fillId="9" borderId="2" xfId="0" applyNumberFormat="1" applyFont="1" applyFill="1" applyBorder="1" applyAlignment="1">
      <alignment horizontal="right"/>
    </xf>
    <xf numFmtId="9" fontId="2" fillId="3" borderId="23" xfId="0" applyNumberFormat="1" applyFont="1" applyFill="1" applyBorder="1" applyAlignment="1">
      <alignment horizontal="right"/>
    </xf>
    <xf numFmtId="0" fontId="5" fillId="0" borderId="4" xfId="0" applyFont="1" applyBorder="1"/>
    <xf numFmtId="0" fontId="2" fillId="2" borderId="5" xfId="0" applyFont="1" applyFill="1" applyBorder="1"/>
    <xf numFmtId="0" fontId="7" fillId="2" borderId="38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22" fillId="0" borderId="9" xfId="4" applyBorder="1"/>
    <xf numFmtId="0" fontId="3" fillId="10" borderId="0" xfId="0" applyFont="1" applyFill="1"/>
    <xf numFmtId="1" fontId="2" fillId="7" borderId="4" xfId="0" applyNumberFormat="1" applyFont="1" applyFill="1" applyBorder="1" applyAlignment="1">
      <alignment horizontal="left"/>
    </xf>
    <xf numFmtId="1" fontId="2" fillId="7" borderId="15" xfId="0" applyNumberFormat="1" applyFont="1" applyFill="1" applyBorder="1" applyAlignment="1">
      <alignment horizontal="right"/>
    </xf>
    <xf numFmtId="0" fontId="22" fillId="2" borderId="0" xfId="4" applyFill="1"/>
    <xf numFmtId="1" fontId="22" fillId="2" borderId="0" xfId="4" applyNumberFormat="1" applyFill="1"/>
    <xf numFmtId="2" fontId="2" fillId="2" borderId="0" xfId="0" applyNumberFormat="1" applyFont="1" applyFill="1"/>
    <xf numFmtId="1" fontId="2" fillId="8" borderId="15" xfId="0" applyNumberFormat="1" applyFont="1" applyFill="1" applyBorder="1"/>
    <xf numFmtId="0" fontId="0" fillId="2" borderId="4" xfId="0" applyFill="1" applyBorder="1"/>
    <xf numFmtId="0" fontId="2" fillId="2" borderId="4" xfId="0" applyFont="1" applyFill="1" applyBorder="1"/>
    <xf numFmtId="0" fontId="23" fillId="2" borderId="4" xfId="0" applyFont="1" applyFill="1" applyBorder="1" applyAlignment="1">
      <alignment horizontal="left" vertical="center" wrapText="1"/>
    </xf>
    <xf numFmtId="0" fontId="24" fillId="2" borderId="0" xfId="0" applyFont="1" applyFill="1"/>
    <xf numFmtId="0" fontId="25" fillId="2" borderId="0" xfId="0" applyFont="1" applyFill="1"/>
    <xf numFmtId="0" fontId="22" fillId="0" borderId="0" xfId="4" applyFill="1" applyBorder="1"/>
    <xf numFmtId="9" fontId="22" fillId="0" borderId="0" xfId="4" applyNumberFormat="1" applyFill="1" applyBorder="1"/>
    <xf numFmtId="0" fontId="2" fillId="2" borderId="19" xfId="0" applyFont="1" applyFill="1" applyBorder="1"/>
    <xf numFmtId="166" fontId="2" fillId="9" borderId="7" xfId="0" applyNumberFormat="1" applyFont="1" applyFill="1" applyBorder="1" applyAlignment="1">
      <alignment horizontal="right"/>
    </xf>
    <xf numFmtId="9" fontId="2" fillId="3" borderId="28" xfId="0" applyNumberFormat="1" applyFont="1" applyFill="1" applyBorder="1" applyAlignment="1">
      <alignment horizontal="right"/>
    </xf>
    <xf numFmtId="0" fontId="2" fillId="2" borderId="9" xfId="0" applyFont="1" applyFill="1" applyBorder="1"/>
    <xf numFmtId="9" fontId="2" fillId="3" borderId="39" xfId="0" applyNumberFormat="1" applyFont="1" applyFill="1" applyBorder="1" applyAlignment="1">
      <alignment horizontal="right"/>
    </xf>
    <xf numFmtId="9" fontId="2" fillId="3" borderId="40" xfId="0" applyNumberFormat="1" applyFont="1" applyFill="1" applyBorder="1" applyAlignment="1">
      <alignment horizontal="right"/>
    </xf>
    <xf numFmtId="9" fontId="2" fillId="3" borderId="21" xfId="0" applyNumberFormat="1" applyFont="1" applyFill="1" applyBorder="1" applyAlignment="1">
      <alignment horizontal="center"/>
    </xf>
    <xf numFmtId="9" fontId="2" fillId="3" borderId="26" xfId="0" applyNumberFormat="1" applyFont="1" applyFill="1" applyBorder="1" applyAlignment="1">
      <alignment horizontal="center"/>
    </xf>
    <xf numFmtId="9" fontId="0" fillId="2" borderId="18" xfId="0" applyNumberFormat="1" applyFill="1" applyBorder="1" applyAlignment="1">
      <alignment vertical="center"/>
    </xf>
    <xf numFmtId="9" fontId="0" fillId="2" borderId="37" xfId="0" applyNumberFormat="1" applyFill="1" applyBorder="1" applyAlignment="1">
      <alignment vertical="center"/>
    </xf>
    <xf numFmtId="9" fontId="22" fillId="2" borderId="17" xfId="4" applyNumberFormat="1" applyFill="1" applyBorder="1" applyAlignment="1">
      <alignment vertical="center"/>
    </xf>
    <xf numFmtId="0" fontId="12" fillId="2" borderId="1" xfId="0" applyFont="1" applyFill="1" applyBorder="1"/>
    <xf numFmtId="1" fontId="2" fillId="7" borderId="1" xfId="0" applyNumberFormat="1" applyFont="1" applyFill="1" applyBorder="1" applyAlignment="1">
      <alignment horizontal="left"/>
    </xf>
    <xf numFmtId="1" fontId="22" fillId="2" borderId="0" xfId="4" applyNumberFormat="1" applyFill="1" applyBorder="1"/>
    <xf numFmtId="1" fontId="22" fillId="2" borderId="0" xfId="4" applyNumberFormat="1" applyFill="1" applyBorder="1" applyAlignment="1">
      <alignment horizontal="right"/>
    </xf>
    <xf numFmtId="1" fontId="2" fillId="2" borderId="15" xfId="0" applyNumberFormat="1" applyFont="1" applyFill="1" applyBorder="1" applyAlignment="1">
      <alignment horizontal="right"/>
    </xf>
    <xf numFmtId="1" fontId="2" fillId="2" borderId="3" xfId="0" applyNumberFormat="1" applyFont="1" applyFill="1" applyBorder="1" applyAlignment="1">
      <alignment horizontal="right"/>
    </xf>
    <xf numFmtId="1" fontId="0" fillId="0" borderId="0" xfId="0" applyNumberFormat="1" applyAlignment="1">
      <alignment vertical="center"/>
    </xf>
    <xf numFmtId="1" fontId="26" fillId="10" borderId="0" xfId="5" applyNumberFormat="1" applyFont="1" applyFill="1"/>
    <xf numFmtId="2" fontId="2" fillId="2" borderId="8" xfId="0" applyNumberFormat="1" applyFont="1" applyFill="1" applyBorder="1"/>
    <xf numFmtId="1" fontId="2" fillId="2" borderId="2" xfId="0" applyNumberFormat="1" applyFont="1" applyFill="1" applyBorder="1"/>
    <xf numFmtId="1" fontId="2" fillId="2" borderId="7" xfId="0" applyNumberFormat="1" applyFont="1" applyFill="1" applyBorder="1"/>
    <xf numFmtId="2" fontId="2" fillId="2" borderId="5" xfId="0" applyNumberFormat="1" applyFont="1" applyFill="1" applyBorder="1"/>
    <xf numFmtId="2" fontId="2" fillId="2" borderId="9" xfId="0" applyNumberFormat="1" applyFont="1" applyFill="1" applyBorder="1"/>
    <xf numFmtId="1" fontId="0" fillId="2" borderId="3" xfId="0" applyNumberFormat="1" applyFill="1" applyBorder="1"/>
    <xf numFmtId="2" fontId="22" fillId="2" borderId="0" xfId="4" applyNumberFormat="1" applyFill="1" applyBorder="1"/>
    <xf numFmtId="9" fontId="0" fillId="2" borderId="0" xfId="0" applyNumberFormat="1" applyFill="1" applyAlignment="1">
      <alignment horizontal="right"/>
    </xf>
    <xf numFmtId="9" fontId="0" fillId="2" borderId="6" xfId="0" applyNumberFormat="1" applyFill="1" applyBorder="1" applyAlignment="1">
      <alignment horizontal="right"/>
    </xf>
    <xf numFmtId="9" fontId="0" fillId="2" borderId="3" xfId="0" applyNumberFormat="1" applyFill="1" applyBorder="1" applyAlignment="1">
      <alignment horizontal="right"/>
    </xf>
    <xf numFmtId="9" fontId="0" fillId="2" borderId="10" xfId="0" applyNumberFormat="1" applyFill="1" applyBorder="1" applyAlignment="1">
      <alignment horizontal="right"/>
    </xf>
    <xf numFmtId="9" fontId="22" fillId="2" borderId="0" xfId="4" applyNumberFormat="1" applyFill="1" applyBorder="1" applyAlignment="1">
      <alignment horizontal="right"/>
    </xf>
    <xf numFmtId="165" fontId="2" fillId="2" borderId="0" xfId="1" applyNumberFormat="1" applyFont="1" applyFill="1" applyBorder="1"/>
    <xf numFmtId="2" fontId="2" fillId="2" borderId="0" xfId="0" applyNumberFormat="1" applyFont="1" applyFill="1" applyAlignment="1">
      <alignment horizontal="right"/>
    </xf>
    <xf numFmtId="165" fontId="2" fillId="2" borderId="0" xfId="1" applyNumberFormat="1" applyFont="1" applyFill="1" applyBorder="1" applyAlignment="1">
      <alignment horizontal="right"/>
    </xf>
    <xf numFmtId="1" fontId="13" fillId="2" borderId="0" xfId="0" applyNumberFormat="1" applyFont="1" applyFill="1"/>
    <xf numFmtId="164" fontId="14" fillId="2" borderId="0" xfId="0" applyNumberFormat="1" applyFont="1" applyFill="1"/>
    <xf numFmtId="11" fontId="0" fillId="2" borderId="0" xfId="0" applyNumberFormat="1" applyFill="1"/>
    <xf numFmtId="3" fontId="0" fillId="2" borderId="0" xfId="0" applyNumberFormat="1" applyFill="1"/>
    <xf numFmtId="3" fontId="2" fillId="3" borderId="22" xfId="0" applyNumberFormat="1" applyFont="1" applyFill="1" applyBorder="1" applyAlignment="1">
      <alignment horizontal="right"/>
    </xf>
    <xf numFmtId="3" fontId="0" fillId="2" borderId="22" xfId="0" applyNumberFormat="1" applyFill="1" applyBorder="1" applyAlignment="1">
      <alignment horizontal="right"/>
    </xf>
    <xf numFmtId="3" fontId="0" fillId="2" borderId="10" xfId="0" applyNumberFormat="1" applyFill="1" applyBorder="1" applyAlignment="1">
      <alignment horizontal="right"/>
    </xf>
    <xf numFmtId="0" fontId="8" fillId="2" borderId="27" xfId="0" applyFont="1" applyFill="1" applyBorder="1"/>
    <xf numFmtId="0" fontId="0" fillId="2" borderId="28" xfId="0" applyFill="1" applyBorder="1"/>
    <xf numFmtId="0" fontId="7" fillId="2" borderId="18" xfId="0" applyFont="1" applyFill="1" applyBorder="1" applyAlignment="1">
      <alignment horizontal="left" indent="2"/>
    </xf>
    <xf numFmtId="0" fontId="7" fillId="2" borderId="17" xfId="0" applyFont="1" applyFill="1" applyBorder="1" applyAlignment="1">
      <alignment horizontal="left" indent="2"/>
    </xf>
    <xf numFmtId="0" fontId="2" fillId="2" borderId="25" xfId="0" applyFont="1" applyFill="1" applyBorder="1"/>
    <xf numFmtId="0" fontId="2" fillId="2" borderId="18" xfId="0" applyFont="1" applyFill="1" applyBorder="1"/>
    <xf numFmtId="0" fontId="7" fillId="2" borderId="37" xfId="0" applyFont="1" applyFill="1" applyBorder="1" applyAlignment="1">
      <alignment horizontal="left" indent="2"/>
    </xf>
    <xf numFmtId="0" fontId="2" fillId="2" borderId="28" xfId="0" applyFont="1" applyFill="1" applyBorder="1"/>
    <xf numFmtId="3" fontId="0" fillId="2" borderId="3" xfId="1" applyNumberFormat="1" applyFont="1" applyFill="1" applyBorder="1" applyAlignment="1">
      <alignment horizontal="right"/>
    </xf>
    <xf numFmtId="3" fontId="2" fillId="3" borderId="24" xfId="0" applyNumberFormat="1" applyFont="1" applyFill="1" applyBorder="1" applyAlignment="1">
      <alignment horizontal="right"/>
    </xf>
    <xf numFmtId="3" fontId="0" fillId="2" borderId="6" xfId="1" applyNumberFormat="1" applyFont="1" applyFill="1" applyBorder="1" applyAlignment="1">
      <alignment horizontal="right"/>
    </xf>
    <xf numFmtId="3" fontId="0" fillId="2" borderId="10" xfId="1" applyNumberFormat="1" applyFont="1" applyFill="1" applyBorder="1" applyAlignment="1">
      <alignment horizontal="right"/>
    </xf>
    <xf numFmtId="0" fontId="9" fillId="2" borderId="0" xfId="0" applyFont="1" applyFill="1"/>
    <xf numFmtId="0" fontId="2" fillId="2" borderId="6" xfId="0" applyFont="1" applyFill="1" applyBorder="1"/>
    <xf numFmtId="0" fontId="0" fillId="2" borderId="6" xfId="0" applyFill="1" applyBorder="1"/>
    <xf numFmtId="9" fontId="22" fillId="2" borderId="0" xfId="4" applyNumberFormat="1" applyFill="1"/>
    <xf numFmtId="165" fontId="0" fillId="2" borderId="0" xfId="0" applyNumberFormat="1" applyFill="1"/>
    <xf numFmtId="3" fontId="2" fillId="3" borderId="15" xfId="0" applyNumberFormat="1" applyFont="1" applyFill="1" applyBorder="1" applyAlignment="1">
      <alignment horizontal="right"/>
    </xf>
    <xf numFmtId="1" fontId="26" fillId="10" borderId="0" xfId="5" applyNumberFormat="1" applyFont="1" applyFill="1" applyAlignment="1">
      <alignment horizontal="left" vertical="center" wrapText="1"/>
    </xf>
    <xf numFmtId="0" fontId="27" fillId="11" borderId="0" xfId="0" applyFont="1" applyFill="1"/>
    <xf numFmtId="0" fontId="27" fillId="11" borderId="3" xfId="0" applyFont="1" applyFill="1" applyBorder="1"/>
    <xf numFmtId="0" fontId="6" fillId="0" borderId="4" xfId="0" applyFont="1" applyBorder="1"/>
    <xf numFmtId="0" fontId="6" fillId="2" borderId="4" xfId="0" applyFont="1" applyFill="1" applyBorder="1"/>
    <xf numFmtId="0" fontId="2" fillId="10" borderId="0" xfId="0" applyFont="1" applyFill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8" xfId="0" applyFont="1" applyBorder="1"/>
    <xf numFmtId="3" fontId="2" fillId="2" borderId="5" xfId="0" applyNumberFormat="1" applyFont="1" applyFill="1" applyBorder="1"/>
    <xf numFmtId="3" fontId="2" fillId="2" borderId="0" xfId="0" applyNumberFormat="1" applyFont="1" applyFill="1"/>
    <xf numFmtId="3" fontId="2" fillId="2" borderId="7" xfId="0" applyNumberFormat="1" applyFont="1" applyFill="1" applyBorder="1"/>
    <xf numFmtId="0" fontId="0" fillId="0" borderId="15" xfId="0" applyBorder="1"/>
    <xf numFmtId="3" fontId="0" fillId="2" borderId="4" xfId="0" applyNumberFormat="1" applyFill="1" applyBorder="1"/>
    <xf numFmtId="3" fontId="0" fillId="2" borderId="1" xfId="0" applyNumberFormat="1" applyFill="1" applyBorder="1"/>
    <xf numFmtId="3" fontId="0" fillId="2" borderId="16" xfId="0" applyNumberFormat="1" applyFill="1" applyBorder="1"/>
    <xf numFmtId="3" fontId="0" fillId="0" borderId="0" xfId="0" applyNumberFormat="1"/>
    <xf numFmtId="0" fontId="0" fillId="0" borderId="27" xfId="0" applyBorder="1"/>
    <xf numFmtId="3" fontId="0" fillId="2" borderId="8" xfId="0" applyNumberFormat="1" applyFill="1" applyBorder="1"/>
    <xf numFmtId="3" fontId="0" fillId="2" borderId="2" xfId="0" applyNumberFormat="1" applyFill="1" applyBorder="1"/>
    <xf numFmtId="3" fontId="0" fillId="2" borderId="7" xfId="0" applyNumberFormat="1" applyFill="1" applyBorder="1"/>
    <xf numFmtId="0" fontId="0" fillId="0" borderId="18" xfId="0" applyBorder="1"/>
    <xf numFmtId="3" fontId="0" fillId="2" borderId="5" xfId="0" applyNumberFormat="1" applyFill="1" applyBorder="1"/>
    <xf numFmtId="3" fontId="0" fillId="2" borderId="6" xfId="0" applyNumberFormat="1" applyFill="1" applyBorder="1"/>
    <xf numFmtId="0" fontId="0" fillId="0" borderId="17" xfId="0" applyBorder="1"/>
    <xf numFmtId="3" fontId="0" fillId="2" borderId="9" xfId="0" applyNumberFormat="1" applyFill="1" applyBorder="1"/>
    <xf numFmtId="3" fontId="0" fillId="2" borderId="3" xfId="0" applyNumberFormat="1" applyFill="1" applyBorder="1"/>
    <xf numFmtId="3" fontId="0" fillId="2" borderId="10" xfId="0" applyNumberFormat="1" applyFill="1" applyBorder="1"/>
    <xf numFmtId="167" fontId="0" fillId="2" borderId="0" xfId="0" applyNumberFormat="1" applyFill="1"/>
    <xf numFmtId="0" fontId="11" fillId="11" borderId="1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5" xfId="0" applyBorder="1"/>
    <xf numFmtId="0" fontId="2" fillId="5" borderId="41" xfId="0" applyFont="1" applyFill="1" applyBorder="1" applyAlignment="1">
      <alignment horizontal="center" vertical="center"/>
    </xf>
    <xf numFmtId="2" fontId="21" fillId="2" borderId="0" xfId="0" applyNumberFormat="1" applyFont="1" applyFill="1" applyAlignment="1">
      <alignment horizontal="right"/>
    </xf>
    <xf numFmtId="164" fontId="16" fillId="2" borderId="0" xfId="0" applyNumberFormat="1" applyFont="1" applyFill="1" applyAlignment="1">
      <alignment horizontal="right"/>
    </xf>
    <xf numFmtId="165" fontId="0" fillId="10" borderId="36" xfId="0" applyNumberFormat="1" applyFill="1" applyBorder="1"/>
    <xf numFmtId="1" fontId="0" fillId="0" borderId="0" xfId="0" applyNumberFormat="1" applyAlignment="1">
      <alignment horizontal="right"/>
    </xf>
    <xf numFmtId="0" fontId="13" fillId="0" borderId="0" xfId="0" applyFont="1"/>
    <xf numFmtId="0" fontId="16" fillId="0" borderId="0" xfId="0" applyFont="1"/>
    <xf numFmtId="1" fontId="2" fillId="13" borderId="4" xfId="0" applyNumberFormat="1" applyFont="1" applyFill="1" applyBorder="1" applyAlignment="1">
      <alignment horizontal="left"/>
    </xf>
    <xf numFmtId="0" fontId="0" fillId="13" borderId="0" xfId="0" applyFill="1"/>
    <xf numFmtId="164" fontId="2" fillId="13" borderId="1" xfId="0" applyNumberFormat="1" applyFont="1" applyFill="1" applyBorder="1" applyAlignment="1">
      <alignment horizontal="right"/>
    </xf>
    <xf numFmtId="164" fontId="2" fillId="13" borderId="15" xfId="0" applyNumberFormat="1" applyFont="1" applyFill="1" applyBorder="1" applyAlignment="1">
      <alignment horizontal="right"/>
    </xf>
    <xf numFmtId="164" fontId="0" fillId="2" borderId="18" xfId="0" applyNumberFormat="1" applyFill="1" applyBorder="1" applyAlignment="1">
      <alignment horizontal="right"/>
    </xf>
    <xf numFmtId="1" fontId="2" fillId="14" borderId="4" xfId="0" applyNumberFormat="1" applyFont="1" applyFill="1" applyBorder="1"/>
    <xf numFmtId="0" fontId="0" fillId="14" borderId="3" xfId="0" applyFill="1" applyBorder="1"/>
    <xf numFmtId="164" fontId="2" fillId="14" borderId="1" xfId="0" applyNumberFormat="1" applyFont="1" applyFill="1" applyBorder="1"/>
    <xf numFmtId="164" fontId="2" fillId="14" borderId="15" xfId="0" applyNumberFormat="1" applyFont="1" applyFill="1" applyBorder="1"/>
    <xf numFmtId="164" fontId="11" fillId="13" borderId="4" xfId="0" quotePrefix="1" applyNumberFormat="1" applyFont="1" applyFill="1" applyBorder="1" applyAlignment="1">
      <alignment horizontal="right"/>
    </xf>
    <xf numFmtId="164" fontId="11" fillId="13" borderId="1" xfId="0" applyNumberFormat="1" applyFont="1" applyFill="1" applyBorder="1" applyAlignment="1">
      <alignment horizontal="right"/>
    </xf>
    <xf numFmtId="164" fontId="11" fillId="13" borderId="15" xfId="0" applyNumberFormat="1" applyFont="1" applyFill="1" applyBorder="1" applyAlignment="1">
      <alignment horizontal="right"/>
    </xf>
    <xf numFmtId="164" fontId="16" fillId="2" borderId="5" xfId="0" applyNumberFormat="1" applyFont="1" applyFill="1" applyBorder="1" applyAlignment="1">
      <alignment horizontal="right"/>
    </xf>
    <xf numFmtId="164" fontId="11" fillId="13" borderId="4" xfId="0" applyNumberFormat="1" applyFont="1" applyFill="1" applyBorder="1" applyAlignment="1">
      <alignment horizontal="right"/>
    </xf>
    <xf numFmtId="164" fontId="0" fillId="2" borderId="5" xfId="0" applyNumberFormat="1" applyFill="1" applyBorder="1" applyAlignment="1">
      <alignment horizontal="right"/>
    </xf>
    <xf numFmtId="164" fontId="11" fillId="14" borderId="4" xfId="0" applyNumberFormat="1" applyFont="1" applyFill="1" applyBorder="1"/>
    <xf numFmtId="164" fontId="11" fillId="14" borderId="1" xfId="0" applyNumberFormat="1" applyFont="1" applyFill="1" applyBorder="1"/>
    <xf numFmtId="164" fontId="11" fillId="14" borderId="15" xfId="0" applyNumberFormat="1" applyFont="1" applyFill="1" applyBorder="1"/>
    <xf numFmtId="164" fontId="2" fillId="3" borderId="1" xfId="0" applyNumberFormat="1" applyFont="1" applyFill="1" applyBorder="1" applyAlignment="1">
      <alignment horizontal="right"/>
    </xf>
    <xf numFmtId="0" fontId="21" fillId="2" borderId="0" xfId="0" applyFont="1" applyFill="1"/>
    <xf numFmtId="168" fontId="21" fillId="2" borderId="6" xfId="0" applyNumberFormat="1" applyFont="1" applyFill="1" applyBorder="1" applyAlignment="1">
      <alignment horizontal="right"/>
    </xf>
    <xf numFmtId="168" fontId="21" fillId="2" borderId="10" xfId="0" applyNumberFormat="1" applyFont="1" applyFill="1" applyBorder="1" applyAlignment="1">
      <alignment horizontal="right"/>
    </xf>
    <xf numFmtId="0" fontId="21" fillId="0" borderId="0" xfId="0" applyFont="1"/>
    <xf numFmtId="9" fontId="0" fillId="0" borderId="0" xfId="1" applyFont="1"/>
    <xf numFmtId="9" fontId="0" fillId="2" borderId="4" xfId="1" applyFont="1" applyFill="1" applyBorder="1"/>
    <xf numFmtId="9" fontId="0" fillId="2" borderId="2" xfId="1" applyFont="1" applyFill="1" applyBorder="1"/>
    <xf numFmtId="9" fontId="0" fillId="2" borderId="7" xfId="1" applyFont="1" applyFill="1" applyBorder="1"/>
    <xf numFmtId="9" fontId="0" fillId="0" borderId="0" xfId="0" applyNumberFormat="1"/>
    <xf numFmtId="9" fontId="0" fillId="2" borderId="0" xfId="1" applyFont="1" applyFill="1"/>
    <xf numFmtId="9" fontId="0" fillId="2" borderId="6" xfId="1" applyFont="1" applyFill="1" applyBorder="1"/>
    <xf numFmtId="9" fontId="0" fillId="2" borderId="3" xfId="1" applyFont="1" applyFill="1" applyBorder="1"/>
    <xf numFmtId="9" fontId="0" fillId="2" borderId="10" xfId="1" applyFont="1" applyFill="1" applyBorder="1"/>
    <xf numFmtId="9" fontId="0" fillId="2" borderId="1" xfId="1" applyFont="1" applyFill="1" applyBorder="1"/>
    <xf numFmtId="9" fontId="0" fillId="2" borderId="16" xfId="1" applyFont="1" applyFill="1" applyBorder="1"/>
    <xf numFmtId="9" fontId="2" fillId="0" borderId="0" xfId="0" applyNumberFormat="1" applyFont="1"/>
    <xf numFmtId="9" fontId="2" fillId="2" borderId="0" xfId="1" applyFont="1" applyFill="1"/>
    <xf numFmtId="165" fontId="0" fillId="0" borderId="0" xfId="1" applyNumberFormat="1" applyFont="1"/>
    <xf numFmtId="0" fontId="28" fillId="15" borderId="5" xfId="0" applyFont="1" applyFill="1" applyBorder="1" applyAlignment="1">
      <alignment horizontal="left" indent="2"/>
    </xf>
    <xf numFmtId="0" fontId="2" fillId="15" borderId="0" xfId="0" applyFont="1" applyFill="1"/>
    <xf numFmtId="1" fontId="2" fillId="15" borderId="0" xfId="0" applyNumberFormat="1" applyFont="1" applyFill="1" applyAlignment="1">
      <alignment horizontal="right"/>
    </xf>
    <xf numFmtId="1" fontId="2" fillId="15" borderId="18" xfId="0" applyNumberFormat="1" applyFont="1" applyFill="1" applyBorder="1" applyAlignment="1">
      <alignment horizontal="right"/>
    </xf>
    <xf numFmtId="167" fontId="2" fillId="3" borderId="1" xfId="0" applyNumberFormat="1" applyFont="1" applyFill="1" applyBorder="1" applyAlignment="1">
      <alignment horizontal="right"/>
    </xf>
    <xf numFmtId="0" fontId="23" fillId="2" borderId="8" xfId="0" applyFont="1" applyFill="1" applyBorder="1" applyAlignment="1">
      <alignment horizontal="left" vertical="center" wrapText="1"/>
    </xf>
    <xf numFmtId="0" fontId="23" fillId="2" borderId="5" xfId="0" applyFont="1" applyFill="1" applyBorder="1" applyAlignment="1">
      <alignment horizontal="left" vertical="center" wrapText="1"/>
    </xf>
    <xf numFmtId="0" fontId="23" fillId="2" borderId="9" xfId="0" applyFont="1" applyFill="1" applyBorder="1" applyAlignment="1">
      <alignment horizontal="left" vertical="center" wrapText="1"/>
    </xf>
  </cellXfs>
  <cellStyles count="6">
    <cellStyle name="Lien hypertexte" xfId="3" builtinId="8"/>
    <cellStyle name="Motif 2 2" xfId="2" xr:uid="{00000000-0005-0000-0000-000001000000}"/>
    <cellStyle name="Normal" xfId="0" builtinId="0"/>
    <cellStyle name="Normal 2" xfId="5" xr:uid="{00000000-0005-0000-0000-000003000000}"/>
    <cellStyle name="Pourcentage" xfId="1" builtinId="5"/>
    <cellStyle name="Texte explicatif" xfId="4" builtinId="53"/>
  </cellStyles>
  <dxfs count="0"/>
  <tableStyles count="0" defaultTableStyle="TableStyleMedium2" defaultPivotStyle="PivotStyleLight16"/>
  <colors>
    <mruColors>
      <color rgb="FFFFFF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worksheet" Target="worksheets/sheet7.xml"/><Relationship Id="rId18" Type="http://schemas.openxmlformats.org/officeDocument/2006/relationships/worksheet" Target="worksheets/sheet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chartsheet" Target="chartsheets/sheet1.xml"/><Relationship Id="rId12" Type="http://schemas.openxmlformats.org/officeDocument/2006/relationships/chartsheet" Target="chartsheets/sheet6.xml"/><Relationship Id="rId17" Type="http://schemas.openxmlformats.org/officeDocument/2006/relationships/chartsheet" Target="chartsheets/sheet10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9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5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8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chartsheet" Target="chartsheets/sheet4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3.xml"/><Relationship Id="rId14" Type="http://schemas.openxmlformats.org/officeDocument/2006/relationships/chartsheet" Target="chartsheets/sheet7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Graphs'!$B$4</c:f>
          <c:strCache>
            <c:ptCount val="1"/>
            <c:pt idx="0">
              <c:v>SNBC3 : Energie finale par usage et énergie primaire (Mtep)</c:v>
            </c:pt>
          </c:strCache>
        </c:strRef>
      </c:tx>
      <c:layout>
        <c:manualLayout>
          <c:xMode val="edge"/>
          <c:yMode val="edge"/>
          <c:x val="4.15560737277888E-2"/>
          <c:y val="1.8790867843499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2368481705777662E-2"/>
          <c:y val="9.2178709531540379E-2"/>
          <c:w val="0.72086842510503502"/>
          <c:h val="0.8074301152169982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'T energie usages'!#REF!</c:f>
              <c:strCache>
                <c:ptCount val="1"/>
                <c:pt idx="0">
                  <c:v>ER_RESIDENTIAL_coal_2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E4B-4528-ADD6-F8FC9A686728}"/>
            </c:ext>
          </c:extLst>
        </c:ser>
        <c:ser>
          <c:idx val="0"/>
          <c:order val="1"/>
          <c:tx>
            <c:strRef>
              <c:f>'T energie usages'!#REF!</c:f>
              <c:strCache>
                <c:ptCount val="1"/>
                <c:pt idx="0">
                  <c:v>ER_TRANS_PUBLIC_coal_2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E4B-4528-ADD6-F8FC9A686728}"/>
            </c:ext>
          </c:extLst>
        </c:ser>
        <c:ser>
          <c:idx val="2"/>
          <c:order val="2"/>
          <c:tx>
            <c:strRef>
              <c:f>'T energie usages'!#REF!</c:f>
              <c:strCache>
                <c:ptCount val="1"/>
                <c:pt idx="0">
                  <c:v>ER_TERTIARY_coal_2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E4B-4528-ADD6-F8FC9A686728}"/>
            </c:ext>
          </c:extLst>
        </c:ser>
        <c:ser>
          <c:idx val="3"/>
          <c:order val="3"/>
          <c:tx>
            <c:strRef>
              <c:f>'T energie usages'!#REF!</c:f>
              <c:strCache>
                <c:ptCount val="1"/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9E4B-4528-ADD6-F8FC9A686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35744"/>
        <c:axId val="213036528"/>
      </c:barChart>
      <c:lineChart>
        <c:grouping val="standard"/>
        <c:varyColors val="0"/>
        <c:ser>
          <c:idx val="4"/>
          <c:order val="4"/>
          <c:tx>
            <c:strRef>
              <c:f>'T energie vecteurs'!$Z$8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369058718806952E-3"/>
                  <c:y val="-3.959428411466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E4B-4528-ADD6-F8FC9A686728}"/>
                </c:ext>
              </c:extLst>
            </c:dLbl>
            <c:dLbl>
              <c:idx val="1"/>
              <c:layout>
                <c:manualLayout>
                  <c:x val="1.3684529359403977E-3"/>
                  <c:y val="-2.7090825973194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4B-4528-ADD6-F8FC9A686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vecteurs'!$AA$8:$AC$8</c:f>
              <c:numCache>
                <c:formatCode>0</c:formatCode>
                <c:ptCount val="3"/>
                <c:pt idx="0">
                  <c:v>232.56143793579997</c:v>
                </c:pt>
                <c:pt idx="1">
                  <c:v>214.06917823849997</c:v>
                </c:pt>
                <c:pt idx="2">
                  <c:v>129.97749047702001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9E4B-4528-ADD6-F8FC9A686728}"/>
            </c:ext>
          </c:extLst>
        </c:ser>
        <c:ser>
          <c:idx val="5"/>
          <c:order val="5"/>
          <c:tx>
            <c:strRef>
              <c:f>'T energie usages'!#REF!</c:f>
              <c:strCache>
                <c:ptCount val="1"/>
                <c:pt idx="0">
                  <c:v>ER_INDUS_coal_2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3647219379051268E-3"/>
                  <c:y val="-3.1347962382445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87-4F22-A5E8-E4153E109927}"/>
                </c:ext>
              </c:extLst>
            </c:dLbl>
            <c:dLbl>
              <c:idx val="1"/>
              <c:layout>
                <c:manualLayout>
                  <c:x val="1.3647219379051519E-3"/>
                  <c:y val="-2.50783699059561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87-4F22-A5E8-E4153E109927}"/>
                </c:ext>
              </c:extLst>
            </c:dLbl>
            <c:dLbl>
              <c:idx val="2"/>
              <c:layout>
                <c:manualLayout>
                  <c:x val="5.4588877516206077E-3"/>
                  <c:y val="-1.46290491118078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87-4F22-A5E8-E4153E109927}"/>
                </c:ext>
              </c:extLst>
            </c:dLbl>
            <c:spPr>
              <a:solidFill>
                <a:srgbClr val="FFFF9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</c:numRef>
          </c:val>
          <c:smooth val="0"/>
          <c:extLst>
            <c:ext xmlns:c16="http://schemas.microsoft.com/office/drawing/2014/chart" uri="{C3380CC4-5D6E-409C-BE32-E72D297353CC}">
              <c16:uniqueId val="{00000000-B687-4F22-A5E8-E4153E109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35744"/>
        <c:axId val="213036528"/>
      </c:lineChart>
      <c:catAx>
        <c:axId val="21303574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6528"/>
        <c:crosses val="autoZero"/>
        <c:auto val="1"/>
        <c:lblAlgn val="ctr"/>
        <c:lblOffset val="100"/>
        <c:noMultiLvlLbl val="0"/>
      </c:catAx>
      <c:valAx>
        <c:axId val="213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688045232372196"/>
          <c:y val="0.13592261164763317"/>
          <c:w val="0.19311954480613158"/>
          <c:h val="0.5068572227844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22494198230312157"/>
          <c:w val="0.69226941862961444"/>
          <c:h val="0.5782128245765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vecteurs'!$Z$48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7.8001817348599803E-2"/>
                  <c:y val="-1.46075714542750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CC-4F25-BB18-D2DE93E1EAE8}"/>
                </c:ext>
              </c:extLst>
            </c:dLbl>
            <c:dLbl>
              <c:idx val="1"/>
              <c:layout>
                <c:manualLayout>
                  <c:x val="7.9370270284540051E-2"/>
                  <c:y val="-1.6694367376314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CC-4F25-BB18-D2DE93E1EAE8}"/>
                </c:ext>
              </c:extLst>
            </c:dLbl>
            <c:dLbl>
              <c:idx val="2"/>
              <c:layout>
                <c:manualLayout>
                  <c:x val="8.2107176156420852E-2"/>
                  <c:y val="-2.92151429085498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CC-4F25-BB18-D2DE93E1EA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vecteurs'!$AA$43:$AC$43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vecteurs'!$AA$48:$AC$48</c:f>
              <c:numCache>
                <c:formatCode>0</c:formatCode>
                <c:ptCount val="3"/>
                <c:pt idx="0">
                  <c:v>2.052617036</c:v>
                </c:pt>
                <c:pt idx="1">
                  <c:v>0.28998512830000001</c:v>
                </c:pt>
                <c:pt idx="2">
                  <c:v>0.1066565629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CC-4F25-BB18-D2DE93E1EAE8}"/>
            </c:ext>
          </c:extLst>
        </c:ser>
        <c:ser>
          <c:idx val="3"/>
          <c:order val="1"/>
          <c:tx>
            <c:strRef>
              <c:f>'T energie vecteurs'!$Z$47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CC-4F25-BB18-D2DE93E1EAE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CC-4F25-BB18-D2DE93E1EA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vecteurs'!$AA$43:$AC$43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vecteurs'!$AA$47:$AC$47</c:f>
              <c:numCache>
                <c:formatCode>0</c:formatCode>
                <c:ptCount val="3"/>
                <c:pt idx="0">
                  <c:v>63.373762966000001</c:v>
                </c:pt>
                <c:pt idx="1">
                  <c:v>46.357903009000005</c:v>
                </c:pt>
                <c:pt idx="2">
                  <c:v>18.386356239000001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CC-4F25-BB18-D2DE93E1EAE8}"/>
            </c:ext>
          </c:extLst>
        </c:ser>
        <c:ser>
          <c:idx val="1"/>
          <c:order val="2"/>
          <c:tx>
            <c:strRef>
              <c:f>'T energie vecteurs'!$Z$45</c:f>
              <c:strCache>
                <c:ptCount val="1"/>
                <c:pt idx="0">
                  <c:v>chaleur (bois…)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vecteurs'!$AA$43:$AC$43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vecteurs'!$AA$45:$AC$45</c:f>
              <c:numCache>
                <c:formatCode>0</c:formatCode>
                <c:ptCount val="3"/>
                <c:pt idx="0">
                  <c:v>10.670783349400001</c:v>
                </c:pt>
                <c:pt idx="1">
                  <c:v>13.484276728299999</c:v>
                </c:pt>
                <c:pt idx="2">
                  <c:v>13.4024245377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CC-4F25-BB18-D2DE93E1EAE8}"/>
            </c:ext>
          </c:extLst>
        </c:ser>
        <c:ser>
          <c:idx val="2"/>
          <c:order val="3"/>
          <c:tx>
            <c:strRef>
              <c:f>'T energie vecteurs'!$Z$46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vecteurs'!$AA$43:$AC$43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vecteurs'!$AA$46:$AC$46</c:f>
              <c:numCache>
                <c:formatCode>0</c:formatCode>
                <c:ptCount val="3"/>
                <c:pt idx="0">
                  <c:v>24.3465208768</c:v>
                </c:pt>
                <c:pt idx="1">
                  <c:v>15.968627755</c:v>
                </c:pt>
                <c:pt idx="2">
                  <c:v>10.698886597000001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CC-4F25-BB18-D2DE93E1EAE8}"/>
            </c:ext>
          </c:extLst>
        </c:ser>
        <c:ser>
          <c:idx val="4"/>
          <c:order val="4"/>
          <c:tx>
            <c:strRef>
              <c:f>'T energie vecteurs'!$Z$44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vecteurs'!$AA$43:$AC$43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vecteurs'!$AA$44:$AC$44</c:f>
              <c:numCache>
                <c:formatCode>0</c:formatCode>
                <c:ptCount val="3"/>
                <c:pt idx="0">
                  <c:v>38.745095224599993</c:v>
                </c:pt>
                <c:pt idx="1">
                  <c:v>42.601437351100003</c:v>
                </c:pt>
                <c:pt idx="2">
                  <c:v>42.607565514719994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1CC-4F25-BB18-D2DE93E1E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11088"/>
        <c:axId val="231610696"/>
      </c:barChart>
      <c:catAx>
        <c:axId val="23161108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10696"/>
        <c:crosses val="autoZero"/>
        <c:auto val="1"/>
        <c:lblAlgn val="ctr"/>
        <c:lblOffset val="100"/>
        <c:noMultiLvlLbl val="0"/>
      </c:catAx>
      <c:valAx>
        <c:axId val="231610696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Graphs'!$B$5</c:f>
              <c:strCache>
                <c:ptCount val="1"/>
                <c:pt idx="0">
                  <c:v>SNBC3 : Ventilation du mix énergie (Mtep)</c:v>
                </c:pt>
              </c:strCache>
            </c:strRef>
          </c:tx>
          <c:layout>
            <c:manualLayout>
              <c:xMode val="edge"/>
              <c:yMode val="edge"/>
              <c:x val="2.0489572797247235E-2"/>
              <c:y val="9.067182057755744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1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6142380739596005"/>
          <c:y val="0.24874563404511155"/>
          <c:w val="0.1834512958142259"/>
          <c:h val="0.236074017393593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17079043396847435"/>
          <c:w val="0.69226941862961444"/>
          <c:h val="0.632364394384047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vecteurs'!$Z$33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7.8001817348599803E-2"/>
                  <c:y val="-1.46075714542750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6E-4ECA-9D5C-5B4727E02E74}"/>
                </c:ext>
              </c:extLst>
            </c:dLbl>
            <c:dLbl>
              <c:idx val="1"/>
              <c:layout>
                <c:manualLayout>
                  <c:x val="7.9370270284540051E-2"/>
                  <c:y val="-1.6694367376314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6E-4ECA-9D5C-5B4727E02E74}"/>
                </c:ext>
              </c:extLst>
            </c:dLbl>
            <c:dLbl>
              <c:idx val="2"/>
              <c:layout>
                <c:manualLayout>
                  <c:x val="8.2107176156420852E-2"/>
                  <c:y val="-2.92151429085498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6E-4ECA-9D5C-5B4727E02E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vecteurs'!$AA$33:$AC$33</c:f>
              <c:numCache>
                <c:formatCode>0%</c:formatCode>
                <c:ptCount val="3"/>
                <c:pt idx="0">
                  <c:v>8.6413757756729475E-3</c:v>
                </c:pt>
                <c:pt idx="1">
                  <c:v>9.4212087421420457E-4</c:v>
                </c:pt>
                <c:pt idx="2">
                  <c:v>3.48189415207838E-4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E-4ECA-9D5C-5B4727E02E74}"/>
            </c:ext>
          </c:extLst>
        </c:ser>
        <c:ser>
          <c:idx val="1"/>
          <c:order val="1"/>
          <c:tx>
            <c:strRef>
              <c:f>'T energie vecteurs'!$Z$34</c:f>
              <c:strCache>
                <c:ptCount val="1"/>
                <c:pt idx="0">
                  <c:v>nucléaire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vecteurs'!$AA$34:$AC$34</c:f>
              <c:numCache>
                <c:formatCode>0%</c:formatCode>
                <c:ptCount val="3"/>
                <c:pt idx="0">
                  <c:v>0.69408091305775432</c:v>
                </c:pt>
                <c:pt idx="1">
                  <c:v>0.62114143572004954</c:v>
                </c:pt>
                <c:pt idx="2">
                  <c:v>0.32025252687309452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6E-4ECA-9D5C-5B4727E02E74}"/>
            </c:ext>
          </c:extLst>
        </c:ser>
        <c:ser>
          <c:idx val="2"/>
          <c:order val="2"/>
          <c:tx>
            <c:strRef>
              <c:f>'T energie vecteurs'!$Z$35</c:f>
              <c:strCache>
                <c:ptCount val="1"/>
                <c:pt idx="0">
                  <c:v>hydraulique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vecteurs'!$AA$35:$AC$35</c:f>
              <c:numCache>
                <c:formatCode>0%</c:formatCode>
                <c:ptCount val="3"/>
                <c:pt idx="0">
                  <c:v>0.10258601322203964</c:v>
                </c:pt>
                <c:pt idx="1">
                  <c:v>0.10094479365938483</c:v>
                </c:pt>
                <c:pt idx="2">
                  <c:v>8.5931446886705828E-2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6E-4ECA-9D5C-5B4727E02E74}"/>
            </c:ext>
          </c:extLst>
        </c:ser>
        <c:ser>
          <c:idx val="3"/>
          <c:order val="3"/>
          <c:tx>
            <c:strRef>
              <c:f>'T energie vecteurs'!$Z$36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6E-4ECA-9D5C-5B4727E02E74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6E-4ECA-9D5C-5B4727E02E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vecteurs'!$AA$36:$AC$36</c:f>
              <c:numCache>
                <c:formatCode>0%</c:formatCode>
                <c:ptCount val="3"/>
                <c:pt idx="0">
                  <c:v>3.6998234271723864E-2</c:v>
                </c:pt>
                <c:pt idx="1">
                  <c:v>8.7555323855843775E-2</c:v>
                </c:pt>
                <c:pt idx="2">
                  <c:v>0.19408802049821469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6E-4ECA-9D5C-5B4727E02E74}"/>
            </c:ext>
          </c:extLst>
        </c:ser>
        <c:ser>
          <c:idx val="4"/>
          <c:order val="4"/>
          <c:tx>
            <c:strRef>
              <c:f>'T energie vecteurs'!$Z$37</c:f>
              <c:strCache>
                <c:ptCount val="1"/>
                <c:pt idx="0">
                  <c:v>éolien 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vecteurs'!$AA$37:$AC$37</c:f>
              <c:numCache>
                <c:formatCode>0%</c:formatCode>
                <c:ptCount val="3"/>
                <c:pt idx="0">
                  <c:v>8.3952357044015533E-2</c:v>
                </c:pt>
                <c:pt idx="1">
                  <c:v>0.12657892135324308</c:v>
                </c:pt>
                <c:pt idx="2">
                  <c:v>0.3732405071232221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6E-4ECA-9D5C-5B4727E02E74}"/>
            </c:ext>
          </c:extLst>
        </c:ser>
        <c:ser>
          <c:idx val="5"/>
          <c:order val="5"/>
          <c:tx>
            <c:strRef>
              <c:f>'T energie vecteurs'!$Z$38</c:f>
              <c:strCache>
                <c:ptCount val="1"/>
                <c:pt idx="0">
                  <c:v>autres renouvelables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>
              <a:glow rad="12700">
                <a:schemeClr val="accent1"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vecteurs'!$AA$38:$AC$38</c:f>
              <c:numCache>
                <c:formatCode>0%</c:formatCode>
                <c:ptCount val="3"/>
                <c:pt idx="0">
                  <c:v>7.3741106628793865E-2</c:v>
                </c:pt>
                <c:pt idx="1">
                  <c:v>6.2837404537264482E-2</c:v>
                </c:pt>
                <c:pt idx="2">
                  <c:v>2.6139309203555162E-2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6E-4ECA-9D5C-5B4727E02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9912"/>
        <c:axId val="231609520"/>
      </c:barChart>
      <c:catAx>
        <c:axId val="2316099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9520"/>
        <c:crosses val="autoZero"/>
        <c:auto val="1"/>
        <c:lblAlgn val="ctr"/>
        <c:lblOffset val="100"/>
        <c:noMultiLvlLbl val="0"/>
      </c:catAx>
      <c:valAx>
        <c:axId val="231609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Graphs'!$B$6</c:f>
              <c:strCache>
                <c:ptCount val="1"/>
                <c:pt idx="0">
                  <c:v>SNBC3 : Ventilation du mix electrique (%)</c:v>
                </c:pt>
              </c:strCache>
            </c:strRef>
          </c:tx>
          <c:layout>
            <c:manualLayout>
              <c:xMode val="edge"/>
              <c:yMode val="edge"/>
              <c:x val="2.32246046167306E-2"/>
              <c:y val="2.402380831726580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</c:legendEntry>
      <c:layout>
        <c:manualLayout>
          <c:xMode val="edge"/>
          <c:yMode val="edge"/>
          <c:x val="0.76142382417816912"/>
          <c:y val="0.18003801760696372"/>
          <c:w val="0.23418248890987423"/>
          <c:h val="0.62626537444194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22494198230312157"/>
          <c:w val="0.69226941862961444"/>
          <c:h val="0.5782128245765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vecteurs'!$AE$33</c:f>
              <c:strCache>
                <c:ptCount val="1"/>
                <c:pt idx="0">
                  <c:v>carburants fossiles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3684529359403476E-3"/>
                  <c:y val="-1.46075505791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44-4744-9C62-05D9B6E91931}"/>
                </c:ext>
              </c:extLst>
            </c:dLbl>
            <c:dLbl>
              <c:idx val="1"/>
              <c:layout>
                <c:manualLayout>
                  <c:x val="5.4738117437613401E-3"/>
                  <c:y val="-1.669441384214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44-4744-9C62-05D9B6E91931}"/>
                </c:ext>
              </c:extLst>
            </c:dLbl>
            <c:dLbl>
              <c:idx val="2"/>
              <c:layout>
                <c:manualLayout>
                  <c:x val="4.1053588078210426E-3"/>
                  <c:y val="2.04354419545825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44-4744-9C62-05D9B6E919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vecteurs'!$AF$32:$AH$32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vecteurs'!$AF$33:$AH$33</c:f>
              <c:numCache>
                <c:formatCode>0%</c:formatCode>
                <c:ptCount val="3"/>
                <c:pt idx="0">
                  <c:v>0.95161573824099621</c:v>
                </c:pt>
                <c:pt idx="1">
                  <c:v>0.9140260208011084</c:v>
                </c:pt>
                <c:pt idx="2">
                  <c:v>0.33469665979531227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44-4744-9C62-05D9B6E91931}"/>
            </c:ext>
          </c:extLst>
        </c:ser>
        <c:ser>
          <c:idx val="1"/>
          <c:order val="1"/>
          <c:tx>
            <c:strRef>
              <c:f>'T energie vecteurs'!$AE$34</c:f>
              <c:strCache>
                <c:ptCount val="1"/>
                <c:pt idx="0">
                  <c:v>biocarburants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vecteurs'!$AF$32:$AH$32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vecteurs'!$AF$34:$AH$34</c:f>
              <c:numCache>
                <c:formatCode>0%</c:formatCode>
                <c:ptCount val="3"/>
                <c:pt idx="0">
                  <c:v>4.8384261759003719E-2</c:v>
                </c:pt>
                <c:pt idx="1">
                  <c:v>8.5973979198891576E-2</c:v>
                </c:pt>
                <c:pt idx="2">
                  <c:v>0.66530334020468762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44-4744-9C62-05D9B6E91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8736"/>
        <c:axId val="231608344"/>
      </c:barChart>
      <c:catAx>
        <c:axId val="2316087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8344"/>
        <c:crosses val="autoZero"/>
        <c:auto val="1"/>
        <c:lblAlgn val="ctr"/>
        <c:lblOffset val="100"/>
        <c:noMultiLvlLbl val="0"/>
      </c:catAx>
      <c:valAx>
        <c:axId val="2316083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Graphs'!$B$7</c:f>
              <c:strCache>
                <c:ptCount val="1"/>
                <c:pt idx="0">
                  <c:v>SNBC3 : Ventilation du mix carburant (%)</c:v>
                </c:pt>
              </c:strCache>
            </c:strRef>
          </c:tx>
          <c:layout>
            <c:manualLayout>
              <c:xMode val="edge"/>
              <c:yMode val="edge"/>
              <c:x val="2.3226525402096191E-2"/>
              <c:y val="6.35810691736592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6142382417816912"/>
          <c:y val="0.29042382785002546"/>
          <c:w val="0.23418248890987423"/>
          <c:h val="0.51587955592704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22494198230312157"/>
          <c:w val="0.69226941862961444"/>
          <c:h val="0.5782128245765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vecteurs'!$AJ$33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3684529359403476E-3"/>
                  <c:y val="-1.46075505791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1A-429A-8A28-44CA5ABCCE07}"/>
                </c:ext>
              </c:extLst>
            </c:dLbl>
            <c:dLbl>
              <c:idx val="1"/>
              <c:layout>
                <c:manualLayout>
                  <c:x val="5.4738117437613401E-3"/>
                  <c:y val="-1.669441384214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1A-429A-8A28-44CA5ABCCE07}"/>
                </c:ext>
              </c:extLst>
            </c:dLbl>
            <c:dLbl>
              <c:idx val="2"/>
              <c:layout>
                <c:manualLayout>
                  <c:x val="8.484408202830164E-2"/>
                  <c:y val="-2.7131191467981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1A-429A-8A28-44CA5ABCC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vecteurs'!$AK$32:$AM$32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vecteurs'!$AK$33:$AM$33</c:f>
              <c:numCache>
                <c:formatCode>0%</c:formatCode>
                <c:ptCount val="3"/>
                <c:pt idx="0">
                  <c:v>0.98439656250179053</c:v>
                </c:pt>
                <c:pt idx="1">
                  <c:v>0.84505794154884162</c:v>
                </c:pt>
                <c:pt idx="2">
                  <c:v>0.35227008173512275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1A-429A-8A28-44CA5ABCCE07}"/>
            </c:ext>
          </c:extLst>
        </c:ser>
        <c:ser>
          <c:idx val="1"/>
          <c:order val="1"/>
          <c:tx>
            <c:strRef>
              <c:f>'T energie vecteurs'!$AJ$34</c:f>
              <c:strCache>
                <c:ptCount val="1"/>
                <c:pt idx="0">
                  <c:v>biogaz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10536902887139103"/>
                  <c:y val="2.70862739908040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1A-429A-8A28-44CA5ABCCE07}"/>
                </c:ext>
              </c:extLst>
            </c:dLbl>
            <c:dLbl>
              <c:idx val="1"/>
              <c:layout>
                <c:manualLayout>
                  <c:x val="9.7156470825762162E-2"/>
                  <c:y val="2.7079222152742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1A-429A-8A28-44CA5ABCCE07}"/>
                </c:ext>
              </c:extLst>
            </c:dLbl>
            <c:dLbl>
              <c:idx val="2"/>
              <c:layout>
                <c:manualLayout>
                  <c:x val="7.9316239316239323E-2"/>
                  <c:y val="2.0827521716791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1A-429A-8A28-44CA5ABCC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vecteurs'!$AK$32:$AM$32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vecteurs'!$AK$34:$AM$34</c:f>
              <c:numCache>
                <c:formatCode>0%</c:formatCode>
                <c:ptCount val="3"/>
                <c:pt idx="0">
                  <c:v>1.5603437498209437E-2</c:v>
                </c:pt>
                <c:pt idx="1">
                  <c:v>0.15494205845115838</c:v>
                </c:pt>
                <c:pt idx="2">
                  <c:v>0.64772991826487714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1A-429A-8A28-44CA5ABC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7560"/>
        <c:axId val="231607168"/>
      </c:barChart>
      <c:catAx>
        <c:axId val="23160756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7168"/>
        <c:crosses val="autoZero"/>
        <c:auto val="1"/>
        <c:lblAlgn val="ctr"/>
        <c:lblOffset val="100"/>
        <c:noMultiLvlLbl val="0"/>
      </c:catAx>
      <c:valAx>
        <c:axId val="2316071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Graphs'!$B$8</c:f>
              <c:strCache>
                <c:ptCount val="1"/>
                <c:pt idx="0">
                  <c:v>SNBC3 : Ventilation du mix gaz (%)</c:v>
                </c:pt>
              </c:strCache>
            </c:strRef>
          </c:tx>
          <c:layout>
            <c:manualLayout>
              <c:xMode val="edge"/>
              <c:yMode val="edge"/>
              <c:x val="2.0489572797247235E-2"/>
              <c:y val="9.067182057755744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1753037776951432"/>
          <c:y val="0.29042382785002546"/>
          <c:w val="0.13839078339404989"/>
          <c:h val="0.51587955592704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9740912847575234E-2"/>
          <c:y val="0.17593989942704161"/>
          <c:w val="0.73258526136090329"/>
          <c:h val="0.7405622021454180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'T CO2'!$K$8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CO2'!$L$8:$N$8</c:f>
              <c:numCache>
                <c:formatCode>0</c:formatCode>
                <c:ptCount val="3"/>
                <c:pt idx="0">
                  <c:v>126.95564612256405</c:v>
                </c:pt>
                <c:pt idx="1">
                  <c:v>97.741445347365428</c:v>
                </c:pt>
                <c:pt idx="2">
                  <c:v>10.29249655159639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F-409C-BDBE-F99B69B3F72E}"/>
            </c:ext>
          </c:extLst>
        </c:ser>
        <c:ser>
          <c:idx val="0"/>
          <c:order val="1"/>
          <c:tx>
            <c:strRef>
              <c:f>'T CO2'!$K$9</c:f>
              <c:strCache>
                <c:ptCount val="1"/>
                <c:pt idx="0">
                  <c:v>Residentiel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CO2'!$L$9:$N$9</c:f>
              <c:numCache>
                <c:formatCode>0</c:formatCode>
                <c:ptCount val="3"/>
                <c:pt idx="0">
                  <c:v>45.730064290910278</c:v>
                </c:pt>
                <c:pt idx="1">
                  <c:v>26.911950726749723</c:v>
                </c:pt>
                <c:pt idx="2">
                  <c:v>4.4342210908561759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F-409C-BDBE-F99B69B3F72E}"/>
            </c:ext>
          </c:extLst>
        </c:ser>
        <c:ser>
          <c:idx val="2"/>
          <c:order val="2"/>
          <c:tx>
            <c:strRef>
              <c:f>'T CO2'!$K$10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CO2'!$L$10:$N$10</c:f>
              <c:numCache>
                <c:formatCode>0</c:formatCode>
                <c:ptCount val="3"/>
                <c:pt idx="0">
                  <c:v>26.808207262582762</c:v>
                </c:pt>
                <c:pt idx="1">
                  <c:v>18.750752850525878</c:v>
                </c:pt>
                <c:pt idx="2">
                  <c:v>3.9057571656679544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CF-409C-BDBE-F99B69B3F72E}"/>
            </c:ext>
          </c:extLst>
        </c:ser>
        <c:ser>
          <c:idx val="3"/>
          <c:order val="3"/>
          <c:tx>
            <c:strRef>
              <c:f>'T CO2'!$K$11</c:f>
              <c:strCache>
                <c:ptCount val="1"/>
                <c:pt idx="0">
                  <c:v>Industrie et agriculture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CO2'!$L$11:$N$11</c:f>
              <c:numCache>
                <c:formatCode>0</c:formatCode>
                <c:ptCount val="3"/>
                <c:pt idx="0">
                  <c:v>96.100582190644872</c:v>
                </c:pt>
                <c:pt idx="1">
                  <c:v>65.572292126251853</c:v>
                </c:pt>
                <c:pt idx="2">
                  <c:v>41.167276077306042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CF-409C-BDBE-F99B69B3F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37312"/>
        <c:axId val="213036136"/>
      </c:barChart>
      <c:catAx>
        <c:axId val="2130373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6136"/>
        <c:crosses val="autoZero"/>
        <c:auto val="1"/>
        <c:lblAlgn val="ctr"/>
        <c:lblOffset val="100"/>
        <c:noMultiLvlLbl val="0"/>
      </c:catAx>
      <c:valAx>
        <c:axId val="21303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Graphs'!$B$9</c:f>
              <c:strCache>
                <c:ptCount val="1"/>
                <c:pt idx="0">
                  <c:v>SNBC3 : Emissions CO2 (Mt.eqCO2)</c:v>
                </c:pt>
              </c:strCache>
            </c:strRef>
          </c:tx>
          <c:layout>
            <c:manualLayout>
              <c:xMode val="edge"/>
              <c:yMode val="edge"/>
              <c:x val="1.3659715198164822E-2"/>
              <c:y val="2.390465555681330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91366156517532"/>
          <c:y val="0.28558169209001705"/>
          <c:w val="0.16625648083574224"/>
          <c:h val="0.68013604157635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Titre du graphique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677304466662714E-2"/>
          <c:y val="0.18782278038184441"/>
          <c:w val="0.91111197791769516"/>
          <c:h val="0.62158940284337161"/>
        </c:manualLayout>
      </c:layout>
      <c:lineChart>
        <c:grouping val="standard"/>
        <c:varyColors val="0"/>
        <c:ser>
          <c:idx val="1"/>
          <c:order val="0"/>
          <c:tx>
            <c:strRef>
              <c:f>'T parc auto'!$A$4</c:f>
              <c:strCache>
                <c:ptCount val="1"/>
                <c:pt idx="0">
                  <c:v>SNBC3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 parc auto'!$I$3:$AM$3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'T parc auto'!$I$5:$AM$5</c:f>
              <c:numCache>
                <c:formatCode>#\ ##0.0</c:formatCode>
                <c:ptCount val="31"/>
                <c:pt idx="0">
                  <c:v>37.188885329999998</c:v>
                </c:pt>
                <c:pt idx="1">
                  <c:v>37.050595860000001</c:v>
                </c:pt>
                <c:pt idx="2">
                  <c:v>36.712619359999998</c:v>
                </c:pt>
                <c:pt idx="3">
                  <c:v>36.34373909</c:v>
                </c:pt>
                <c:pt idx="4">
                  <c:v>36.463573699999998</c:v>
                </c:pt>
                <c:pt idx="5">
                  <c:v>36.745288950000003</c:v>
                </c:pt>
                <c:pt idx="6">
                  <c:v>36.616974640000002</c:v>
                </c:pt>
                <c:pt idx="7">
                  <c:v>36.306289049999997</c:v>
                </c:pt>
                <c:pt idx="8">
                  <c:v>35.896733780000005</c:v>
                </c:pt>
                <c:pt idx="9">
                  <c:v>35.42044396</c:v>
                </c:pt>
                <c:pt idx="10">
                  <c:v>34.904845989999998</c:v>
                </c:pt>
                <c:pt idx="11">
                  <c:v>34.364076939999997</c:v>
                </c:pt>
                <c:pt idx="12">
                  <c:v>33.826310380000002</c:v>
                </c:pt>
                <c:pt idx="13">
                  <c:v>33.296709059999998</c:v>
                </c:pt>
                <c:pt idx="14">
                  <c:v>32.780313900000003</c:v>
                </c:pt>
                <c:pt idx="15">
                  <c:v>32.277615689999998</c:v>
                </c:pt>
                <c:pt idx="16">
                  <c:v>31.826594780000001</c:v>
                </c:pt>
                <c:pt idx="17">
                  <c:v>31.411513960000001</c:v>
                </c:pt>
                <c:pt idx="18">
                  <c:v>31.015145799999999</c:v>
                </c:pt>
                <c:pt idx="19">
                  <c:v>30.635256349999999</c:v>
                </c:pt>
                <c:pt idx="20">
                  <c:v>30.262691439999998</c:v>
                </c:pt>
                <c:pt idx="21">
                  <c:v>29.89983505</c:v>
                </c:pt>
                <c:pt idx="22">
                  <c:v>29.54850437</c:v>
                </c:pt>
                <c:pt idx="23">
                  <c:v>29.202967779999998</c:v>
                </c:pt>
                <c:pt idx="24">
                  <c:v>28.861479630000002</c:v>
                </c:pt>
                <c:pt idx="25">
                  <c:v>28.449923340000002</c:v>
                </c:pt>
                <c:pt idx="26">
                  <c:v>28.068384330000001</c:v>
                </c:pt>
                <c:pt idx="27">
                  <c:v>27.707028829999999</c:v>
                </c:pt>
                <c:pt idx="28">
                  <c:v>27.361119170000002</c:v>
                </c:pt>
                <c:pt idx="29">
                  <c:v>27.025569000000001</c:v>
                </c:pt>
                <c:pt idx="30">
                  <c:v>26.68268905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C3-45D2-B2A5-76AA1C492B9B}"/>
            </c:ext>
          </c:extLst>
        </c:ser>
        <c:ser>
          <c:idx val="2"/>
          <c:order val="1"/>
          <c:tx>
            <c:strRef>
              <c:f>'[6]T parc auto'!$A$4</c:f>
              <c:strCache>
                <c:ptCount val="1"/>
                <c:pt idx="0">
                  <c:v>TEND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 parc auto'!$I$3:$AM$3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'[6]T parc auto'!$I$5:$AM$5</c:f>
              <c:numCache>
                <c:formatCode>General</c:formatCode>
                <c:ptCount val="31"/>
                <c:pt idx="0">
                  <c:v>34.664492700000004</c:v>
                </c:pt>
                <c:pt idx="1">
                  <c:v>34.956187980000003</c:v>
                </c:pt>
                <c:pt idx="2">
                  <c:v>35.116030049999999</c:v>
                </c:pt>
                <c:pt idx="3">
                  <c:v>35.22984451</c:v>
                </c:pt>
                <c:pt idx="4">
                  <c:v>35.293663940000002</c:v>
                </c:pt>
                <c:pt idx="5">
                  <c:v>35.310390290000001</c:v>
                </c:pt>
                <c:pt idx="6">
                  <c:v>35.378433780000002</c:v>
                </c:pt>
                <c:pt idx="7">
                  <c:v>35.496856720000004</c:v>
                </c:pt>
                <c:pt idx="8">
                  <c:v>35.653829440000003</c:v>
                </c:pt>
                <c:pt idx="9">
                  <c:v>35.834650719999999</c:v>
                </c:pt>
                <c:pt idx="10">
                  <c:v>36.029956510000005</c:v>
                </c:pt>
                <c:pt idx="11">
                  <c:v>36.22702245</c:v>
                </c:pt>
                <c:pt idx="12">
                  <c:v>36.422585409999996</c:v>
                </c:pt>
                <c:pt idx="13">
                  <c:v>36.615497920000003</c:v>
                </c:pt>
                <c:pt idx="14">
                  <c:v>36.806113070000002</c:v>
                </c:pt>
                <c:pt idx="15">
                  <c:v>36.99621071</c:v>
                </c:pt>
                <c:pt idx="16">
                  <c:v>37.184294620000003</c:v>
                </c:pt>
                <c:pt idx="17">
                  <c:v>37.372872549999997</c:v>
                </c:pt>
                <c:pt idx="18">
                  <c:v>37.563526299999999</c:v>
                </c:pt>
                <c:pt idx="19">
                  <c:v>37.757729379999994</c:v>
                </c:pt>
                <c:pt idx="20">
                  <c:v>37.955981359999996</c:v>
                </c:pt>
                <c:pt idx="21">
                  <c:v>38.166927919999999</c:v>
                </c:pt>
                <c:pt idx="22">
                  <c:v>38.388725370000003</c:v>
                </c:pt>
                <c:pt idx="23">
                  <c:v>38.617999920000003</c:v>
                </c:pt>
                <c:pt idx="24">
                  <c:v>38.852641049999995</c:v>
                </c:pt>
                <c:pt idx="25">
                  <c:v>39.090289320000004</c:v>
                </c:pt>
                <c:pt idx="26">
                  <c:v>39.328744280000002</c:v>
                </c:pt>
                <c:pt idx="27">
                  <c:v>39.56777889</c:v>
                </c:pt>
                <c:pt idx="28">
                  <c:v>39.807161919999999</c:v>
                </c:pt>
                <c:pt idx="29">
                  <c:v>40.046711999999999</c:v>
                </c:pt>
                <c:pt idx="30">
                  <c:v>40.288447350000006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C3-45D2-B2A5-76AA1C492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53344"/>
        <c:axId val="688757280"/>
      </c:lineChart>
      <c:catAx>
        <c:axId val="6887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920000" spcFirstLastPara="1" vertOverflow="ellipsis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8757280"/>
        <c:crosses val="autoZero"/>
        <c:auto val="1"/>
        <c:lblAlgn val="ctr"/>
        <c:lblOffset val="100"/>
        <c:noMultiLvlLbl val="0"/>
      </c:catAx>
      <c:valAx>
        <c:axId val="688757280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>
                    <a:solidFill>
                      <a:schemeClr val="tx1"/>
                    </a:solidFill>
                  </a:rPr>
                  <a:t>Parc auto</a:t>
                </a:r>
                <a:br>
                  <a:rPr lang="fr-FR" b="1">
                    <a:solidFill>
                      <a:schemeClr val="tx1"/>
                    </a:solidFill>
                  </a:rPr>
                </a:br>
                <a:r>
                  <a:rPr lang="fr-FR" b="1">
                    <a:solidFill>
                      <a:schemeClr val="tx1"/>
                    </a:solidFill>
                  </a:rPr>
                  <a:t>(millions de</a:t>
                </a:r>
                <a:r>
                  <a:rPr lang="fr-FR" b="1" baseline="0">
                    <a:solidFill>
                      <a:schemeClr val="tx1"/>
                    </a:solidFill>
                  </a:rPr>
                  <a:t> véhicules)</a:t>
                </a:r>
              </a:p>
              <a:p>
                <a:pPr>
                  <a:defRPr>
                    <a:solidFill>
                      <a:schemeClr val="tx1"/>
                    </a:solidFill>
                  </a:defRPr>
                </a:pPr>
                <a:r>
                  <a:rPr lang="fr-FR" b="1" baseline="0">
                    <a:solidFill>
                      <a:schemeClr val="tx1"/>
                    </a:solidFill>
                  </a:rPr>
                  <a:t>(actualiser TEND)</a:t>
                </a:r>
                <a:endParaRPr lang="fr-FR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3.1474417526627996E-2"/>
              <c:y val="3.879238910236656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875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/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Titre du graphique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3835039786960974E-2"/>
          <c:y val="0.19199059976233585"/>
          <c:w val="0.91111197791769516"/>
          <c:h val="0.62158940284337161"/>
        </c:manualLayout>
      </c:layout>
      <c:lineChart>
        <c:grouping val="standard"/>
        <c:varyColors val="0"/>
        <c:ser>
          <c:idx val="1"/>
          <c:order val="0"/>
          <c:tx>
            <c:strRef>
              <c:f>'T parc auto'!$A$4</c:f>
              <c:strCache>
                <c:ptCount val="1"/>
                <c:pt idx="0">
                  <c:v>SNBC3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 parc auto'!$I$3:$AM$3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'T parc auto'!$I$6:$AM$6</c:f>
              <c:numCache>
                <c:formatCode>0%</c:formatCode>
                <c:ptCount val="31"/>
                <c:pt idx="0">
                  <c:v>1.5856655263186938E-2</c:v>
                </c:pt>
                <c:pt idx="1">
                  <c:v>1.9380715849032504E-2</c:v>
                </c:pt>
                <c:pt idx="2">
                  <c:v>2.3753751761721207E-2</c:v>
                </c:pt>
                <c:pt idx="3">
                  <c:v>2.9317394898786674E-2</c:v>
                </c:pt>
                <c:pt idx="4">
                  <c:v>3.7620834240940024E-2</c:v>
                </c:pt>
                <c:pt idx="5">
                  <c:v>4.7848169853621468E-2</c:v>
                </c:pt>
                <c:pt idx="6">
                  <c:v>5.8381576277597144E-2</c:v>
                </c:pt>
                <c:pt idx="7">
                  <c:v>7.1241104163467239E-2</c:v>
                </c:pt>
                <c:pt idx="8">
                  <c:v>8.8085342899963406E-2</c:v>
                </c:pt>
                <c:pt idx="9">
                  <c:v>0.10929362868437632</c:v>
                </c:pt>
                <c:pt idx="10">
                  <c:v>0.13481181367619036</c:v>
                </c:pt>
                <c:pt idx="11">
                  <c:v>0.16389024398453694</c:v>
                </c:pt>
                <c:pt idx="12">
                  <c:v>0.19568587202208482</c:v>
                </c:pt>
                <c:pt idx="13">
                  <c:v>0.22892086470962483</c:v>
                </c:pt>
                <c:pt idx="14">
                  <c:v>0.26257842579719776</c:v>
                </c:pt>
                <c:pt idx="15">
                  <c:v>0.29591872679614278</c:v>
                </c:pt>
                <c:pt idx="16">
                  <c:v>0.32929638475134415</c:v>
                </c:pt>
                <c:pt idx="17">
                  <c:v>0.36210180682421333</c:v>
                </c:pt>
                <c:pt idx="18">
                  <c:v>0.3938513131219909</c:v>
                </c:pt>
                <c:pt idx="19">
                  <c:v>0.42445736838105486</c:v>
                </c:pt>
                <c:pt idx="20">
                  <c:v>0.45374964078211544</c:v>
                </c:pt>
                <c:pt idx="21">
                  <c:v>0.48165717221908216</c:v>
                </c:pt>
                <c:pt idx="22">
                  <c:v>0.50826653159636725</c:v>
                </c:pt>
                <c:pt idx="23">
                  <c:v>0.53354061502854555</c:v>
                </c:pt>
                <c:pt idx="24">
                  <c:v>0.55751784407042193</c:v>
                </c:pt>
                <c:pt idx="25">
                  <c:v>0.58104125597970768</c:v>
                </c:pt>
                <c:pt idx="26">
                  <c:v>0.60365591552379883</c:v>
                </c:pt>
                <c:pt idx="27">
                  <c:v>0.62525403377941347</c:v>
                </c:pt>
                <c:pt idx="28">
                  <c:v>0.64581511012804083</c:v>
                </c:pt>
                <c:pt idx="29">
                  <c:v>0.66532296211783737</c:v>
                </c:pt>
                <c:pt idx="30">
                  <c:v>0.68362074661286809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F-413C-A382-BDDA928D9525}"/>
            </c:ext>
          </c:extLst>
        </c:ser>
        <c:ser>
          <c:idx val="2"/>
          <c:order val="1"/>
          <c:tx>
            <c:strRef>
              <c:f>'[6]T parc auto'!$A$4</c:f>
              <c:strCache>
                <c:ptCount val="1"/>
                <c:pt idx="0">
                  <c:v>TEND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 parc auto'!$I$3:$AM$3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'[6]T parc auto'!$I$6:$AM$6</c:f>
              <c:numCache>
                <c:formatCode>General</c:formatCode>
                <c:ptCount val="31"/>
                <c:pt idx="0">
                  <c:v>8.5699726798540449E-3</c:v>
                </c:pt>
                <c:pt idx="1">
                  <c:v>1.3125767536852568E-2</c:v>
                </c:pt>
                <c:pt idx="2">
                  <c:v>2.093814652035246E-2</c:v>
                </c:pt>
                <c:pt idx="3">
                  <c:v>2.9339596650975963E-2</c:v>
                </c:pt>
                <c:pt idx="4">
                  <c:v>3.8422705171822412E-2</c:v>
                </c:pt>
                <c:pt idx="5">
                  <c:v>4.8298948326351107E-2</c:v>
                </c:pt>
                <c:pt idx="6">
                  <c:v>5.9426982864022086E-2</c:v>
                </c:pt>
                <c:pt idx="7">
                  <c:v>7.1945526561541698E-2</c:v>
                </c:pt>
                <c:pt idx="8">
                  <c:v>8.5942049539349558E-2</c:v>
                </c:pt>
                <c:pt idx="9">
                  <c:v>0.10147172535354351</c:v>
                </c:pt>
                <c:pt idx="10">
                  <c:v>0.11859008108472456</c:v>
                </c:pt>
                <c:pt idx="11">
                  <c:v>0.13730358074183932</c:v>
                </c:pt>
                <c:pt idx="12">
                  <c:v>0.15763780877629907</c:v>
                </c:pt>
                <c:pt idx="13">
                  <c:v>0.17959577390884213</c:v>
                </c:pt>
                <c:pt idx="14">
                  <c:v>0.20315166958215294</c:v>
                </c:pt>
                <c:pt idx="15">
                  <c:v>0.22824904180571959</c:v>
                </c:pt>
                <c:pt idx="16">
                  <c:v>0.2547637951132391</c:v>
                </c:pt>
                <c:pt idx="17">
                  <c:v>0.28256330245612871</c:v>
                </c:pt>
                <c:pt idx="18">
                  <c:v>0.31147078409409074</c:v>
                </c:pt>
                <c:pt idx="19">
                  <c:v>0.34127816401018973</c:v>
                </c:pt>
                <c:pt idx="20">
                  <c:v>0.3717464103001657</c:v>
                </c:pt>
                <c:pt idx="21">
                  <c:v>0.40269710709271045</c:v>
                </c:pt>
                <c:pt idx="22">
                  <c:v>0.43384849821076515</c:v>
                </c:pt>
                <c:pt idx="23">
                  <c:v>0.464913357170052</c:v>
                </c:pt>
                <c:pt idx="24">
                  <c:v>0.49563467577965337</c:v>
                </c:pt>
                <c:pt idx="25">
                  <c:v>0.52577836510113596</c:v>
                </c:pt>
                <c:pt idx="26">
                  <c:v>0.55514202702634574</c:v>
                </c:pt>
                <c:pt idx="27">
                  <c:v>0.58357173153926301</c:v>
                </c:pt>
                <c:pt idx="28">
                  <c:v>0.61094374421556352</c:v>
                </c:pt>
                <c:pt idx="29">
                  <c:v>0.63716406480512056</c:v>
                </c:pt>
                <c:pt idx="30">
                  <c:v>0.66218106938290833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CF-413C-A382-BDDA928D9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53344"/>
        <c:axId val="688757280"/>
      </c:lineChart>
      <c:catAx>
        <c:axId val="6887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920000" spcFirstLastPara="1" vertOverflow="ellipsis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8757280"/>
        <c:crosses val="autoZero"/>
        <c:auto val="1"/>
        <c:lblAlgn val="ctr"/>
        <c:lblOffset val="100"/>
        <c:noMultiLvlLbl val="0"/>
      </c:catAx>
      <c:valAx>
        <c:axId val="6887572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>
                    <a:solidFill>
                      <a:sysClr val="windowText" lastClr="000000"/>
                    </a:solidFill>
                  </a:rPr>
                  <a:t>Pénétration véhicule</a:t>
                </a:r>
                <a:r>
                  <a:rPr lang="fr-FR" b="1" baseline="0">
                    <a:solidFill>
                      <a:sysClr val="windowText" lastClr="000000"/>
                    </a:solidFill>
                  </a:rPr>
                  <a:t> elec (% du parc)</a:t>
                </a:r>
              </a:p>
              <a:p>
                <a:pPr>
                  <a:defRPr/>
                </a:pPr>
                <a:r>
                  <a:rPr lang="fr-FR" b="1" baseline="0">
                    <a:solidFill>
                      <a:sysClr val="windowText" lastClr="000000"/>
                    </a:solidFill>
                  </a:rPr>
                  <a:t>(actualiser TEND)</a:t>
                </a:r>
                <a:endParaRPr lang="fr-FR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1474388951702174E-2"/>
              <c:y val="3.654170667887090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875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/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Graphs'!$B$10</c:f>
          <c:strCache>
            <c:ptCount val="1"/>
            <c:pt idx="0">
              <c:v>SNBC3 : Ventilation du parc auto (%)</c:v>
            </c:pt>
          </c:strCache>
        </c:strRef>
      </c:tx>
      <c:layout>
        <c:manualLayout>
          <c:xMode val="edge"/>
          <c:yMode val="edge"/>
          <c:x val="2.7810470205815105E-2"/>
          <c:y val="2.0895522879199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'T parc auto'!$C$18</c:f>
              <c:strCache>
                <c:ptCount val="1"/>
                <c:pt idx="0">
                  <c:v>Fortement émettrices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0008066809404825E-16"/>
                  <c:y val="-8.35776086373180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82-44F6-A16A-C8BCAA280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auto'!$I$18:$K$18</c:f>
              <c:numCache>
                <c:formatCode>0%</c:formatCode>
                <c:ptCount val="3"/>
                <c:pt idx="0">
                  <c:v>0.12160596390211841</c:v>
                </c:pt>
                <c:pt idx="1">
                  <c:v>7.5405841376697619E-2</c:v>
                </c:pt>
                <c:pt idx="2">
                  <c:v>2.6824470774245296E-2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2-44F6-A16A-C8BCAA280A45}"/>
            </c:ext>
          </c:extLst>
        </c:ser>
        <c:ser>
          <c:idx val="2"/>
          <c:order val="1"/>
          <c:tx>
            <c:strRef>
              <c:f>'T parc auto'!$C$17</c:f>
              <c:strCache>
                <c:ptCount val="1"/>
                <c:pt idx="0">
                  <c:v>Modérément émettrices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auto'!$I$17:$K$17</c:f>
              <c:numCache>
                <c:formatCode>0%</c:formatCode>
                <c:ptCount val="3"/>
                <c:pt idx="0">
                  <c:v>0.71789891832178776</c:v>
                </c:pt>
                <c:pt idx="1">
                  <c:v>0.6237653639622891</c:v>
                </c:pt>
                <c:pt idx="2">
                  <c:v>0.2276521397306468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2-44F6-A16A-C8BCAA280A45}"/>
            </c:ext>
          </c:extLst>
        </c:ser>
        <c:ser>
          <c:idx val="1"/>
          <c:order val="2"/>
          <c:tx>
            <c:strRef>
              <c:f>'T parc auto'!$C$16</c:f>
              <c:strCache>
                <c:ptCount val="1"/>
                <c:pt idx="0">
                  <c:v>Faiblement émettrices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auto'!$I$16:$K$16</c:f>
              <c:numCache>
                <c:formatCode>0%</c:formatCode>
                <c:ptCount val="3"/>
                <c:pt idx="0">
                  <c:v>0.14463846271189112</c:v>
                </c:pt>
                <c:pt idx="1">
                  <c:v>0.16601698084444119</c:v>
                </c:pt>
                <c:pt idx="2">
                  <c:v>6.1902642728582105E-2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2-44F6-A16A-C8BCAA280A45}"/>
            </c:ext>
          </c:extLst>
        </c:ser>
        <c:ser>
          <c:idx val="0"/>
          <c:order val="3"/>
          <c:tx>
            <c:strRef>
              <c:f>'T parc auto'!$C$14</c:f>
              <c:strCache>
                <c:ptCount val="1"/>
                <c:pt idx="0">
                  <c:v>Electriques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auto'!$I$14:$K$14</c:f>
              <c:numCache>
                <c:formatCode>0%</c:formatCode>
                <c:ptCount val="3"/>
                <c:pt idx="0">
                  <c:v>1.5856655263186938E-2</c:v>
                </c:pt>
                <c:pt idx="1">
                  <c:v>0.13481181367619036</c:v>
                </c:pt>
                <c:pt idx="2">
                  <c:v>0.68362074661286809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2-44F6-A16A-C8BCAA280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1368712"/>
        <c:axId val="311369104"/>
      </c:barChart>
      <c:catAx>
        <c:axId val="31136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9104"/>
        <c:crosses val="autoZero"/>
        <c:auto val="1"/>
        <c:lblAlgn val="ctr"/>
        <c:lblOffset val="100"/>
        <c:noMultiLvlLbl val="0"/>
      </c:catAx>
      <c:valAx>
        <c:axId val="3113691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871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103162901676298"/>
          <c:y val="0.21336550323470299"/>
          <c:w val="0.28077254186433814"/>
          <c:h val="0.68854991088357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Graphs'!$B$11</c:f>
          <c:strCache>
            <c:ptCount val="1"/>
            <c:pt idx="0">
              <c:v>SNBC3 : Ventilation du parc de logements (%)</c:v>
            </c:pt>
          </c:strCache>
        </c:strRef>
      </c:tx>
      <c:layout>
        <c:manualLayout>
          <c:xMode val="edge"/>
          <c:yMode val="edge"/>
          <c:x val="3.4237370593317988E-2"/>
          <c:y val="1.2537313727519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658523898908643E-2"/>
          <c:y val="8.8051017074071342E-2"/>
          <c:w val="0.68257048305485446"/>
          <c:h val="0.8284510844983883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'T logement'!$Y$19</c:f>
              <c:strCache>
                <c:ptCount val="1"/>
                <c:pt idx="0">
                  <c:v>Passoires énergétiques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logement'!$Z$16:$AB$16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logement'!$Z$19:$AB$19</c:f>
              <c:numCache>
                <c:formatCode>0.0%</c:formatCode>
                <c:ptCount val="3"/>
                <c:pt idx="0">
                  <c:v>0.15151371386272375</c:v>
                </c:pt>
                <c:pt idx="1">
                  <c:v>8.6345441892955385E-2</c:v>
                </c:pt>
                <c:pt idx="2">
                  <c:v>3.4375626342220196E-2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D-4A1E-817A-62C204FE9217}"/>
            </c:ext>
          </c:extLst>
        </c:ser>
        <c:ser>
          <c:idx val="1"/>
          <c:order val="1"/>
          <c:tx>
            <c:strRef>
              <c:f>'T logement'!$Y$18</c:f>
              <c:strCache>
                <c:ptCount val="1"/>
                <c:pt idx="0">
                  <c:v>Consommation modérée 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logement'!$Z$16:$AB$16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logement'!$Z$18:$AB$18</c:f>
              <c:numCache>
                <c:formatCode>0.0%</c:formatCode>
                <c:ptCount val="3"/>
                <c:pt idx="0">
                  <c:v>0.76344681638921852</c:v>
                </c:pt>
                <c:pt idx="1">
                  <c:v>0.69549988223261572</c:v>
                </c:pt>
                <c:pt idx="2">
                  <c:v>0.45828438840249242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D-4A1E-817A-62C204FE9217}"/>
            </c:ext>
          </c:extLst>
        </c:ser>
        <c:ser>
          <c:idx val="0"/>
          <c:order val="2"/>
          <c:tx>
            <c:strRef>
              <c:f>'T logement'!$Y$17</c:f>
              <c:strCache>
                <c:ptCount val="1"/>
                <c:pt idx="0">
                  <c:v>Basse consommation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logement'!$Z$16:$AB$16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logement'!$Z$17:$AB$17</c:f>
              <c:numCache>
                <c:formatCode>0.0%</c:formatCode>
                <c:ptCount val="3"/>
                <c:pt idx="0">
                  <c:v>8.5039469607524967E-2</c:v>
                </c:pt>
                <c:pt idx="1">
                  <c:v>0.21815467571579783</c:v>
                </c:pt>
                <c:pt idx="2">
                  <c:v>0.50753195760395342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D-4A1E-817A-62C204FE9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1369888"/>
        <c:axId val="311370280"/>
      </c:barChart>
      <c:catAx>
        <c:axId val="3113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70280"/>
        <c:crosses val="autoZero"/>
        <c:auto val="1"/>
        <c:lblAlgn val="ctr"/>
        <c:lblOffset val="100"/>
        <c:noMultiLvlLbl val="0"/>
      </c:catAx>
      <c:valAx>
        <c:axId val="3113702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9888"/>
        <c:crosses val="autoZero"/>
        <c:crossBetween val="between"/>
        <c:min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91440886990928"/>
          <c:y val="0.32089954452336433"/>
          <c:w val="0.1938897620111919"/>
          <c:h val="0.49440758790494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Graphique4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Graphique5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Graphique6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Graphique7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Graphique8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Graphique10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 codeName="Graphique12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 codeName="Graphique13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Graphique14"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 codeName="Graphique17">
    <tabColor rgb="FFFF0000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emecloud-my.sharepoint.com/Users/Callonnecg/Github/ThreeME/data/shocks/Bilan%20S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ma.monserand\Documents\GitHub\ThreeME\data\shocks\Bilan%20&#233;nergie%20-%20AMErun2%20-%20AMSrun2.xlsx" TargetMode="External"/><Relationship Id="rId1" Type="http://schemas.openxmlformats.org/officeDocument/2006/relationships/externalLinkPath" Target="https://ademecloud-my.sharepoint.com/Users/alma.monserand/Documents/GitHub/ThreeME/data/shocks/Bilan%20&#233;nergie%20-%20AMErun2%20-%20AMSrun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ma.monserand\Documents\GitHub\ThreeME\data\shocks\Bilan%20&#233;nergie%20-%20AMErun2%20-%20AMSrun2.xlsx" TargetMode="External"/><Relationship Id="rId1" Type="http://schemas.openxmlformats.org/officeDocument/2006/relationships/externalLinkPath" Target="/Users/alma.monserand/Documents/GitHub/ThreeME/data/shocks/Bilan%20&#233;nergie%20-%20AMErun2%20-%20AMSrun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lonnecg\Documents\Github\ThreeME\data\calibrations\Documents%20MTE\AMS-run2\001_Transports\Transports_AMS_run2-vf10.xlsx" TargetMode="External"/><Relationship Id="rId1" Type="http://schemas.openxmlformats.org/officeDocument/2006/relationships/externalLinkPath" Target="/Users/callonnecg/Documents/Github/ThreeME/data/calibrations/Documents%20MTE/AMS-run2/001_Transports/Transports_AMS_run2-vf1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ma.monserand\Desktop\Temporaire\reporting%202%20-%20energie%20SNBC3%20-%20template%20parts%20modales%20voyageurs.xlsx" TargetMode="External"/><Relationship Id="rId1" Type="http://schemas.openxmlformats.org/officeDocument/2006/relationships/externalLinkPath" Target="https://ademecloud-my.sharepoint.com/Users/alma.monserand/Desktop/Temporaire/reporting%202%20-%20energie%20SNBC3%20-%20template%20parts%20modales%20voyageur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lonnecg\Github\ThreeME\results\reporting%201%20-%20energie%20TEND.xlsx" TargetMode="External"/><Relationship Id="rId1" Type="http://schemas.openxmlformats.org/officeDocument/2006/relationships/externalLinkPath" Target="https://ademecloud-my.sharepoint.com/Users/alma.monserand/Documents/GitHub/ThreeME/results/reporting%201%20-%20energie%20T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Cibles THREEME"/>
      <sheetName val="Bilan 2030"/>
      <sheetName val="Bilan 2050"/>
      <sheetName val="Bilan 2020 BAU"/>
      <sheetName val="Bilan 2006"/>
      <sheetName val="Bilan 2010"/>
      <sheetName val="Bilan 2015"/>
      <sheetName val="Bilan 2025"/>
      <sheetName val="bilan énergie format SDS"/>
      <sheetName val="Bilan enerdata_2015"/>
      <sheetName val="Bilan enerdata_2020"/>
      <sheetName val="Bilan enerdata_2025"/>
      <sheetName val="Bilan enerdata_2030"/>
      <sheetName val="Bilan enerdata_2050"/>
      <sheetName val="Demande Format Medpro"/>
      <sheetName val="Format demande MedPro_2015"/>
      <sheetName val="Corrections Bilan enerdata"/>
      <sheetName val="Modèle tertiaire_2015"/>
      <sheetName val="Modèle tertiaire_2020"/>
      <sheetName val="Modèle tertiaire_2025"/>
      <sheetName val="Modèle tertiaire_2030"/>
      <sheetName val="Modèle tertiaire_2050"/>
      <sheetName val="Modèle résidentiel ch_2015"/>
      <sheetName val="Modèle résidentiel ch_2020"/>
      <sheetName val="Modèle résidentiel ch_2025"/>
      <sheetName val="Modèle résidentiel ch_2030"/>
      <sheetName val="Modèle résidentiel ch_2050"/>
      <sheetName val="Modèle résidentiel hch_2015"/>
      <sheetName val="Modèle résidentiel hch_2020"/>
      <sheetName val="Modèle résidentiel hch_2025"/>
      <sheetName val="Modèle résidentiel hch_2030"/>
      <sheetName val="Modèle résidentiel hch_2050"/>
      <sheetName val="Mix énergie_2015"/>
      <sheetName val="Mix énergie_2020"/>
      <sheetName val="Mix énergie_2025"/>
      <sheetName val="Mix énergie_2030"/>
      <sheetName val="Mix énergie_2050"/>
    </sheetNames>
    <sheetDataSet>
      <sheetData sheetId="0" refreshError="1"/>
      <sheetData sheetId="1" refreshError="1">
        <row r="4">
          <cell r="H4">
            <v>10.400607231191495</v>
          </cell>
          <cell r="AJ4">
            <v>9.6821026074859624</v>
          </cell>
        </row>
        <row r="5">
          <cell r="H5">
            <v>3.4968412155770827</v>
          </cell>
          <cell r="AJ5">
            <v>3.4968412155770827</v>
          </cell>
        </row>
        <row r="8">
          <cell r="AJ8">
            <v>0.62105913154569725</v>
          </cell>
        </row>
        <row r="9">
          <cell r="AJ9">
            <v>0.01</v>
          </cell>
        </row>
        <row r="10">
          <cell r="H10">
            <v>2.6577034315641361</v>
          </cell>
          <cell r="AJ10">
            <v>1.0959867027277013</v>
          </cell>
        </row>
        <row r="11">
          <cell r="H11">
            <v>0</v>
          </cell>
          <cell r="AJ11">
            <v>0.01</v>
          </cell>
        </row>
        <row r="12">
          <cell r="H12">
            <v>2.2929206076239605</v>
          </cell>
          <cell r="AJ12">
            <v>12.585580636323101</v>
          </cell>
        </row>
        <row r="13">
          <cell r="H13">
            <v>0</v>
          </cell>
          <cell r="AJ13">
            <v>7.4283543184877532</v>
          </cell>
        </row>
        <row r="14">
          <cell r="H14">
            <v>17.773000859845226</v>
          </cell>
          <cell r="AJ14">
            <v>3.8663975346227235</v>
          </cell>
        </row>
        <row r="15">
          <cell r="AJ15">
            <v>0.31052956577284868</v>
          </cell>
        </row>
        <row r="17">
          <cell r="H17">
            <v>10.490111779879621</v>
          </cell>
          <cell r="AJ17">
            <v>1.3970598106217755</v>
          </cell>
        </row>
        <row r="18">
          <cell r="H18">
            <v>5.4600171969045563</v>
          </cell>
          <cell r="AJ18">
            <v>10.432652801530878</v>
          </cell>
        </row>
        <row r="19">
          <cell r="H19">
            <v>1.1621270136304822</v>
          </cell>
          <cell r="AJ19">
            <v>12.301085039507219</v>
          </cell>
        </row>
        <row r="20">
          <cell r="AJ20">
            <v>0.69912973511411425</v>
          </cell>
        </row>
        <row r="21">
          <cell r="AJ21">
            <v>0.94296387002405035</v>
          </cell>
        </row>
        <row r="22">
          <cell r="AJ22">
            <v>6.7613203915324087</v>
          </cell>
        </row>
        <row r="28">
          <cell r="H28">
            <v>5.438782729559458</v>
          </cell>
        </row>
        <row r="29">
          <cell r="H29">
            <v>11.911185835668668</v>
          </cell>
        </row>
        <row r="30">
          <cell r="H30">
            <v>12.325609312525271</v>
          </cell>
        </row>
        <row r="31">
          <cell r="H31">
            <v>0.79152054400721716</v>
          </cell>
        </row>
        <row r="32">
          <cell r="H32">
            <v>0.25795356835769562</v>
          </cell>
        </row>
        <row r="33">
          <cell r="H33">
            <v>7.4811633429693902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bles THREEME"/>
      <sheetName val="Cibles THREEME AMS"/>
      <sheetName val="Cibles ThreeME v2 "/>
      <sheetName val="Cibles ThreeME v2 AMS"/>
      <sheetName val="Cibles ThreeME v3"/>
      <sheetName val="Cibles ThreeME v3 AMS"/>
      <sheetName val="brouillon"/>
      <sheetName val="Bilan_enerdata_2015"/>
      <sheetName val="Bilan 2015"/>
      <sheetName val="Bilan 2020"/>
      <sheetName val="Bilan 2020 test"/>
      <sheetName val="Bilan 2023"/>
      <sheetName val="Bilan 2025"/>
      <sheetName val="Bilan 2028"/>
      <sheetName val="Bilan 2030"/>
      <sheetName val="Bilan 2033"/>
      <sheetName val="Bilan 2035"/>
      <sheetName val="Bilan 2038"/>
      <sheetName val="Bilan 2040"/>
      <sheetName val="Bilan 2045"/>
      <sheetName val="Bilan 2050"/>
      <sheetName val="Bilan 2023 AMS"/>
      <sheetName val="Bilan 2025 AMS"/>
      <sheetName val="Bilan 2028 AMS"/>
      <sheetName val="Bilan 2030 AMS"/>
      <sheetName val="Bilan 2033 AMS"/>
      <sheetName val="Bilan 2035 AMS"/>
      <sheetName val="Bilan 2038 AMS"/>
      <sheetName val="Bilan 2040 AMS"/>
      <sheetName val="Bilan 2045 AMS"/>
      <sheetName val="Bilan 2050 AMS"/>
      <sheetName val="Bilan_E_AME_Met_2020"/>
      <sheetName val="Bilan_E_KP_AME_2020"/>
      <sheetName val="Bilan_E_KP_AME_2023"/>
      <sheetName val="Bilan_E_KP_AME_2025"/>
      <sheetName val="Bilan_E_KP_AME_2028"/>
      <sheetName val="Bilan_E_KP_AME_2030"/>
      <sheetName val="Bilan_E_KP_AME_2033"/>
      <sheetName val="Bilan_E_KP_AME_2035"/>
      <sheetName val="Bilan_E_KP_AME_2038"/>
      <sheetName val="Bilan_E_KP_AME_2040"/>
      <sheetName val="Bilan_E_KP_AME_2043"/>
      <sheetName val="Bilan_E_KP_AME_2045"/>
      <sheetName val="Bilan_E_KP_AME_2050"/>
      <sheetName val="Bilan_E_KP_AME"/>
      <sheetName val="Bilans_E_AMS_KP"/>
      <sheetName val="Bilans_E_AMS_KP_2023"/>
      <sheetName val="Bilans_E_AMS_KP_2025"/>
      <sheetName val="Bilans_E_AMS_KP_2028"/>
      <sheetName val="Bilans_E_AMS_KP_2030"/>
      <sheetName val="Bilans_E_AMS_KP_2033"/>
      <sheetName val="Bilans_E_AMS_KP_2035"/>
      <sheetName val="Bilans_E_AMS_KP_2038"/>
      <sheetName val="Bilans_E_AMS_KP_2040"/>
      <sheetName val="Bilans_E_AMS_KP_2043"/>
      <sheetName val="Bilans_E_AMS_KP_2045"/>
      <sheetName val="Bilans_E_AMS_KP_2050"/>
      <sheetName val="Bilan_E_KP_AMS_2023"/>
      <sheetName val="Bilan_E_KP_AMS_2025"/>
      <sheetName val="Bilan_E_KP_AMS_2028"/>
      <sheetName val="Bilan_E_KP_AMS_2030"/>
      <sheetName val="Bilan_E_KP_AMS_2033"/>
      <sheetName val="Bilan_E_KP_AMS_2035"/>
      <sheetName val="Bilan_E_KP_AMS_2038"/>
      <sheetName val="Bilan_E_KP_AMS_2040"/>
      <sheetName val="Bilan_E_KP_AMS_2043"/>
      <sheetName val="Bilan_E_KP_AMS_2045"/>
      <sheetName val="Bilan_E_KP_AMS_2050"/>
      <sheetName val="Bilan_E_KP_AMS"/>
      <sheetName val="P1_G4-G5"/>
      <sheetName val="P1_G6"/>
      <sheetName val="bilan énergie format SDS"/>
      <sheetName val="Demande Format Medpro"/>
      <sheetName val="Format demande MedPro_2015"/>
      <sheetName val="Corrections Bilan enerdata"/>
      <sheetName val="Modèle tertiaire_2015"/>
      <sheetName val="Modèle tertiaire_2020"/>
      <sheetName val="Modèle tertiaire_2025"/>
      <sheetName val="Modèle tertiaire_2030"/>
      <sheetName val="Modèle tertiaire_2050"/>
      <sheetName val="Modèle résidentiel ch_2015"/>
      <sheetName val="Modèle résidentiel ch_2020"/>
      <sheetName val="Modèle résidentiel ch_2025"/>
      <sheetName val="Modèle résidentiel ch_2030"/>
      <sheetName val="Modèle résidentiel ch_2050"/>
      <sheetName val="Modèle résidentiel hch_2015"/>
      <sheetName val="Modèle résidentiel hch_2020"/>
      <sheetName val="Modèle résidentiel hch_2025"/>
      <sheetName val="Modèle résidentiel hch_2030"/>
      <sheetName val="Modèle résidentiel hch_2050"/>
      <sheetName val="Mix énergie_2015"/>
      <sheetName val="Bilans_E_AMS_Kyoto_2050"/>
      <sheetName val="Bilan 2050 AMS_ancien"/>
      <sheetName val="Bilans_E_AMS_Kyoto"/>
      <sheetName val="Bilan énergie - AMErun2 - AMSru"/>
      <sheetName val="Bilan 2022 ré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3">
          <cell r="T13">
            <v>0.74651762682717104</v>
          </cell>
          <cell r="U13">
            <v>10.069552160228</v>
          </cell>
          <cell r="V13">
            <v>13.6203670581426</v>
          </cell>
          <cell r="W13">
            <v>12.701365476499801</v>
          </cell>
          <cell r="X13">
            <v>0.94471195184866696</v>
          </cell>
        </row>
        <row r="22">
          <cell r="T22">
            <v>0.20215430661253031</v>
          </cell>
          <cell r="U22">
            <v>10.298005677194096</v>
          </cell>
          <cell r="V22">
            <v>11.912749680464922</v>
          </cell>
          <cell r="W22">
            <v>7.2062454679408585</v>
          </cell>
          <cell r="X22">
            <v>7.267406707154804E-2</v>
          </cell>
        </row>
        <row r="30">
          <cell r="T30">
            <v>6.4536710533781398E-3</v>
          </cell>
          <cell r="U30">
            <v>1.2504899941046146</v>
          </cell>
          <cell r="V30">
            <v>1.21184436300186</v>
          </cell>
          <cell r="W30">
            <v>0.710753475039681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2.9897922514510483E-2</v>
          </cell>
          <cell r="U37">
            <v>1.1062928918353545</v>
          </cell>
          <cell r="V37">
            <v>6.0818806018488383</v>
          </cell>
          <cell r="W37">
            <v>0.31568062817324566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5.1467736003962539E-3</v>
          </cell>
          <cell r="U39">
            <v>2.5010085858689085E-5</v>
          </cell>
          <cell r="V39">
            <v>0.10956763115778498</v>
          </cell>
          <cell r="W39">
            <v>7.4926332712814264E-2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2.5168214298503164</v>
          </cell>
          <cell r="W40">
            <v>0.43850634072353678</v>
          </cell>
          <cell r="X40">
            <v>0</v>
          </cell>
        </row>
        <row r="41">
          <cell r="T41">
            <v>0.12266677554967495</v>
          </cell>
          <cell r="U41">
            <v>5.6111288464125664E-2</v>
          </cell>
          <cell r="V41">
            <v>0</v>
          </cell>
          <cell r="W41">
            <v>0</v>
          </cell>
          <cell r="X41">
            <v>2.9416967808253762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39.807000000000002</v>
          </cell>
        </row>
        <row r="43">
          <cell r="T43">
            <v>3.371</v>
          </cell>
          <cell r="U43">
            <v>2.3566094604778201</v>
          </cell>
          <cell r="V43">
            <v>6.6752954110546101</v>
          </cell>
          <cell r="W43">
            <v>3.01546564464017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2.2137192704974398E-3</v>
          </cell>
          <cell r="U46">
            <v>1.0493092649428299</v>
          </cell>
          <cell r="V46">
            <v>3.6764196608413298E-2</v>
          </cell>
          <cell r="W46">
            <v>4.3073392295861899E-2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3.2143188055943388</v>
          </cell>
        </row>
        <row r="53">
          <cell r="E53">
            <v>1.1015862413247299</v>
          </cell>
        </row>
        <row r="54">
          <cell r="E54">
            <v>12.452999999999999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9" refreshError="1">
        <row r="13">
          <cell r="L13">
            <v>45.039193999999995</v>
          </cell>
          <cell r="T13">
            <v>8.0414155849497</v>
          </cell>
          <cell r="U13">
            <v>105.150592236873</v>
          </cell>
          <cell r="V13">
            <v>158.3858485003</v>
          </cell>
          <cell r="W13">
            <v>124.730012203676</v>
          </cell>
          <cell r="X13">
            <v>8.3371990700000005</v>
          </cell>
        </row>
        <row r="22">
          <cell r="T22">
            <v>2.7076685555555562</v>
          </cell>
          <cell r="U22">
            <v>116.5874281388889</v>
          </cell>
          <cell r="V22">
            <v>125.05981224999999</v>
          </cell>
          <cell r="W22">
            <v>66.374696373468396</v>
          </cell>
          <cell r="X22">
            <v>2.2477144999999998</v>
          </cell>
        </row>
        <row r="30">
          <cell r="T30">
            <v>0.189373333333333</v>
          </cell>
          <cell r="U30">
            <v>22.254054739303911</v>
          </cell>
          <cell r="V30">
            <v>14.411899999999999</v>
          </cell>
          <cell r="W30">
            <v>9.5887644444444504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1.69047944444444</v>
          </cell>
          <cell r="U37">
            <v>15.5648575</v>
          </cell>
          <cell r="V37">
            <v>69.4067088888889</v>
          </cell>
          <cell r="W37">
            <v>2.8232277777777801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0.29232166666666698</v>
          </cell>
          <cell r="U39">
            <v>1.51127777777778E-2</v>
          </cell>
          <cell r="V39">
            <v>1.04480216638667</v>
          </cell>
          <cell r="W39">
            <v>0.354625058755556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27.426589444444399</v>
          </cell>
          <cell r="W40">
            <v>4.4857555555555599</v>
          </cell>
          <cell r="X40">
            <v>0</v>
          </cell>
        </row>
        <row r="41">
          <cell r="T41">
            <v>1.93666726391606</v>
          </cell>
          <cell r="U41">
            <v>1.0434102222764099</v>
          </cell>
          <cell r="V41">
            <v>0</v>
          </cell>
          <cell r="W41">
            <v>0</v>
          </cell>
          <cell r="X41">
            <v>30.751352031352699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384.06791201745</v>
          </cell>
        </row>
        <row r="43">
          <cell r="T43">
            <v>37.008579624305803</v>
          </cell>
          <cell r="U43">
            <v>30.361762354379302</v>
          </cell>
          <cell r="V43">
            <v>49.863308104442503</v>
          </cell>
          <cell r="W43">
            <v>31.480497483360899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1.5371382629999999E-2</v>
          </cell>
          <cell r="U46">
            <v>8.9862670625500005</v>
          </cell>
          <cell r="V46">
            <v>0.24074954805000001</v>
          </cell>
          <cell r="W46">
            <v>0.35525487623000002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27.795210764186699</v>
          </cell>
        </row>
        <row r="53">
          <cell r="E53">
            <v>12.027936499999999</v>
          </cell>
        </row>
        <row r="54">
          <cell r="E54">
            <v>130.484119421548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3">
          <cell r="L13">
            <v>60.64963620940091</v>
          </cell>
          <cell r="T13">
            <v>7.3122587409445634</v>
          </cell>
          <cell r="U13">
            <v>128.0707707310485</v>
          </cell>
          <cell r="V13">
            <v>168.01959458902522</v>
          </cell>
          <cell r="W13">
            <v>127.92853513720873</v>
          </cell>
          <cell r="X13">
            <v>16.304325769708704</v>
          </cell>
        </row>
        <row r="22">
          <cell r="T22">
            <v>2.893035141697446</v>
          </cell>
          <cell r="U22">
            <v>108.65207410895239</v>
          </cell>
          <cell r="V22">
            <v>114.1719455581988</v>
          </cell>
          <cell r="W22">
            <v>64.071431869588679</v>
          </cell>
          <cell r="X22">
            <v>4.2921454750670778</v>
          </cell>
        </row>
        <row r="30">
          <cell r="T30">
            <v>0</v>
          </cell>
          <cell r="U30">
            <v>25.280585756064298</v>
          </cell>
          <cell r="V30">
            <v>23.209710288069441</v>
          </cell>
          <cell r="W30">
            <v>13.960757550169284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1.3784255803477652</v>
          </cell>
          <cell r="U37">
            <v>18.096562918466454</v>
          </cell>
          <cell r="V37">
            <v>70.323676853398695</v>
          </cell>
          <cell r="W37">
            <v>0.46648924043058942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0.36066131262685786</v>
          </cell>
          <cell r="U39">
            <v>4.7991131198633983E-4</v>
          </cell>
          <cell r="V39">
            <v>1.4653773673998376</v>
          </cell>
          <cell r="W39">
            <v>1.9742667541400529</v>
          </cell>
          <cell r="X39">
            <v>0</v>
          </cell>
        </row>
        <row r="40">
          <cell r="T40">
            <v>0.25</v>
          </cell>
          <cell r="U40">
            <v>2.4387543945312502</v>
          </cell>
          <cell r="V40">
            <v>51.588449054022554</v>
          </cell>
          <cell r="W40">
            <v>19.376355841859095</v>
          </cell>
          <cell r="X40">
            <v>0</v>
          </cell>
        </row>
        <row r="41">
          <cell r="T41">
            <v>2.687574286548855</v>
          </cell>
          <cell r="U41">
            <v>0.8476478513209047</v>
          </cell>
          <cell r="V41">
            <v>0</v>
          </cell>
          <cell r="W41">
            <v>0</v>
          </cell>
          <cell r="X41">
            <v>42.098104263639655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405.6747609386457</v>
          </cell>
        </row>
        <row r="43">
          <cell r="T43">
            <v>34.907892644785463</v>
          </cell>
          <cell r="U43">
            <v>21.669942218787114</v>
          </cell>
          <cell r="V43">
            <v>24.373858785220854</v>
          </cell>
          <cell r="W43">
            <v>18.955073126944075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6.3079973787187962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37.871878906250004</v>
          </cell>
        </row>
        <row r="53">
          <cell r="E53">
            <v>13.481059545005067</v>
          </cell>
        </row>
        <row r="54">
          <cell r="E54">
            <v>134.79719064700697</v>
          </cell>
        </row>
        <row r="55">
          <cell r="E55">
            <v>0.85849251597945853</v>
          </cell>
        </row>
        <row r="56">
          <cell r="E56">
            <v>1.2788535468039099</v>
          </cell>
        </row>
        <row r="57">
          <cell r="E57">
            <v>0.36066305637359619</v>
          </cell>
        </row>
      </sheetData>
      <sheetData sheetId="23" refreshError="1"/>
      <sheetData sheetId="24" refreshError="1">
        <row r="13">
          <cell r="L13">
            <v>60.040984503318555</v>
          </cell>
          <cell r="T13">
            <v>6.8477994877191097</v>
          </cell>
          <cell r="U13">
            <v>150.98087036591164</v>
          </cell>
          <cell r="V13">
            <v>168.99529037460601</v>
          </cell>
          <cell r="W13">
            <v>120.41840773999139</v>
          </cell>
          <cell r="X13">
            <v>33.627467612150312</v>
          </cell>
        </row>
        <row r="22">
          <cell r="T22">
            <v>2.4312392278746091</v>
          </cell>
          <cell r="U22">
            <v>98.251995508081279</v>
          </cell>
          <cell r="V22">
            <v>75.312934912361044</v>
          </cell>
          <cell r="W22">
            <v>50.621968033343542</v>
          </cell>
          <cell r="X22">
            <v>7.5907588452297716</v>
          </cell>
        </row>
        <row r="30">
          <cell r="T30">
            <v>0</v>
          </cell>
          <cell r="U30">
            <v>26.694598475411762</v>
          </cell>
          <cell r="V30">
            <v>26.200174165432053</v>
          </cell>
          <cell r="W30">
            <v>18.232180099567369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2.2700672066089305</v>
          </cell>
          <cell r="U37">
            <v>21.324114250752451</v>
          </cell>
          <cell r="V37">
            <v>59.781394249240854</v>
          </cell>
          <cell r="W37">
            <v>0.65520868022421808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0.62518456969816016</v>
          </cell>
          <cell r="U39">
            <v>5.5791983277925228E-4</v>
          </cell>
          <cell r="V39">
            <v>1.8312707461125663</v>
          </cell>
          <cell r="W39">
            <v>2.5023556054496878</v>
          </cell>
          <cell r="X39">
            <v>0</v>
          </cell>
        </row>
        <row r="40">
          <cell r="T40">
            <v>0.5</v>
          </cell>
          <cell r="U40">
            <v>5.4360292968749997</v>
          </cell>
          <cell r="V40">
            <v>71.261229807028784</v>
          </cell>
          <cell r="W40">
            <v>30.500312120088047</v>
          </cell>
          <cell r="X40">
            <v>0</v>
          </cell>
        </row>
        <row r="41">
          <cell r="T41">
            <v>4.4101434474454244</v>
          </cell>
          <cell r="U41">
            <v>1.0929506417768975</v>
          </cell>
          <cell r="V41">
            <v>0</v>
          </cell>
          <cell r="W41">
            <v>0</v>
          </cell>
          <cell r="X41">
            <v>37.967259624706756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316.65258451410631</v>
          </cell>
        </row>
        <row r="43">
          <cell r="T43">
            <v>30.67679188462478</v>
          </cell>
          <cell r="U43">
            <v>12.950442965803651</v>
          </cell>
          <cell r="V43">
            <v>7.2864711080849975</v>
          </cell>
          <cell r="W43">
            <v>3.924731163958576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3.3758020597581235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20.032589355468751</v>
          </cell>
        </row>
        <row r="53">
          <cell r="E53">
            <v>13.544705953911897</v>
          </cell>
        </row>
        <row r="54">
          <cell r="E54">
            <v>126.95463683256074</v>
          </cell>
        </row>
        <row r="55">
          <cell r="E55">
            <v>2.0363529469545623</v>
          </cell>
        </row>
        <row r="56">
          <cell r="E56">
            <v>2.9522071662650609</v>
          </cell>
        </row>
        <row r="57">
          <cell r="E57">
            <v>1.1221461296081543</v>
          </cell>
        </row>
      </sheetData>
      <sheetData sheetId="25" refreshError="1"/>
      <sheetData sheetId="26" refreshError="1">
        <row r="13">
          <cell r="L13">
            <v>78.775924512815891</v>
          </cell>
          <cell r="T13">
            <v>6.8713820538899668</v>
          </cell>
          <cell r="U13">
            <v>163.03873271483607</v>
          </cell>
          <cell r="V13">
            <v>161.8990647634788</v>
          </cell>
          <cell r="W13">
            <v>118.84997058968706</v>
          </cell>
          <cell r="X13">
            <v>62.922987609450331</v>
          </cell>
        </row>
        <row r="22">
          <cell r="T22">
            <v>2.3133122988205677</v>
          </cell>
          <cell r="U22">
            <v>91.224472664234952</v>
          </cell>
          <cell r="V22">
            <v>50.249574150791091</v>
          </cell>
          <cell r="W22">
            <v>36.280546270763686</v>
          </cell>
          <cell r="X22">
            <v>10.301260187064024</v>
          </cell>
        </row>
        <row r="30">
          <cell r="T30">
            <v>0</v>
          </cell>
          <cell r="U30">
            <v>27.031662623925747</v>
          </cell>
          <cell r="V30">
            <v>25.454386166903632</v>
          </cell>
          <cell r="W30">
            <v>18.615976216598927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2.70050068143768</v>
          </cell>
          <cell r="U37">
            <v>21.686124483212218</v>
          </cell>
          <cell r="V37">
            <v>49.933380533226007</v>
          </cell>
          <cell r="W37">
            <v>0.59757790855029691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0.96290247555165809</v>
          </cell>
          <cell r="U39">
            <v>6.9244826847420892E-4</v>
          </cell>
          <cell r="V39">
            <v>2.3427124137087052</v>
          </cell>
          <cell r="W39">
            <v>2.8464095248186312</v>
          </cell>
          <cell r="X39">
            <v>0</v>
          </cell>
        </row>
        <row r="40">
          <cell r="T40">
            <v>0.75</v>
          </cell>
          <cell r="U40">
            <v>9.2526142578124997</v>
          </cell>
          <cell r="V40">
            <v>86.346993730736358</v>
          </cell>
          <cell r="W40">
            <v>38.891325575185007</v>
          </cell>
          <cell r="X40">
            <v>0</v>
          </cell>
        </row>
        <row r="41">
          <cell r="T41">
            <v>8.7092137788049975</v>
          </cell>
          <cell r="U41">
            <v>1.1432225445669904</v>
          </cell>
          <cell r="V41">
            <v>0</v>
          </cell>
          <cell r="W41">
            <v>0</v>
          </cell>
          <cell r="X41">
            <v>55.768281667489369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192.91287296266353</v>
          </cell>
        </row>
        <row r="43">
          <cell r="T43">
            <v>22.266407522057087</v>
          </cell>
          <cell r="U43">
            <v>9.7376785306283384</v>
          </cell>
          <cell r="V43">
            <v>3.0522332565861259</v>
          </cell>
          <cell r="W43">
            <v>2.064637318394833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3.6562282006850468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11.341361328125</v>
          </cell>
        </row>
        <row r="53">
          <cell r="E53">
            <v>11.111186214134182</v>
          </cell>
        </row>
        <row r="54">
          <cell r="E54">
            <v>104.6693916418363</v>
          </cell>
        </row>
        <row r="55">
          <cell r="E55">
            <v>4.7506049603028071</v>
          </cell>
        </row>
        <row r="56">
          <cell r="E56">
            <v>16.302515661537178</v>
          </cell>
        </row>
        <row r="57">
          <cell r="E57">
            <v>16.030988088411341</v>
          </cell>
        </row>
      </sheetData>
      <sheetData sheetId="27" refreshError="1"/>
      <sheetData sheetId="28" refreshError="1">
        <row r="13">
          <cell r="L13">
            <v>64.4982724362319</v>
          </cell>
          <cell r="T13">
            <v>6.8949646200608239</v>
          </cell>
          <cell r="U13">
            <v>177.15385275416003</v>
          </cell>
          <cell r="V13">
            <v>153.62760172238077</v>
          </cell>
          <cell r="W13">
            <v>116.64209363039593</v>
          </cell>
          <cell r="X13">
            <v>93.510067312183125</v>
          </cell>
        </row>
        <row r="22">
          <cell r="T22">
            <v>2.1953853697665267</v>
          </cell>
          <cell r="U22">
            <v>80.926569958454124</v>
          </cell>
          <cell r="V22">
            <v>35.31669341373469</v>
          </cell>
          <cell r="W22">
            <v>22.492374235292672</v>
          </cell>
          <cell r="X22">
            <v>12.628400711843788</v>
          </cell>
        </row>
        <row r="30">
          <cell r="T30">
            <v>0</v>
          </cell>
          <cell r="U30">
            <v>27.62245537234817</v>
          </cell>
          <cell r="V30">
            <v>23.742467864871486</v>
          </cell>
          <cell r="W30">
            <v>18.985143288462343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3.1309341562664299</v>
          </cell>
          <cell r="U37">
            <v>22.312304964799452</v>
          </cell>
          <cell r="V37">
            <v>42.672719714557346</v>
          </cell>
          <cell r="W37">
            <v>0.54085293774126075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1.300620381405156</v>
          </cell>
          <cell r="U39">
            <v>7.8820466826144567E-4</v>
          </cell>
          <cell r="V39">
            <v>2.7285855468891569</v>
          </cell>
          <cell r="W39">
            <v>3.1511646453296667</v>
          </cell>
          <cell r="X39">
            <v>0</v>
          </cell>
        </row>
        <row r="40">
          <cell r="T40">
            <v>1</v>
          </cell>
          <cell r="U40">
            <v>13.3040771484375</v>
          </cell>
          <cell r="V40">
            <v>97.294965653266104</v>
          </cell>
          <cell r="W40">
            <v>46.022009309639856</v>
          </cell>
          <cell r="X40">
            <v>0</v>
          </cell>
        </row>
        <row r="41">
          <cell r="T41">
            <v>14.856440343671846</v>
          </cell>
          <cell r="U41">
            <v>2.0803229791147206</v>
          </cell>
          <cell r="V41">
            <v>0</v>
          </cell>
          <cell r="W41">
            <v>0</v>
          </cell>
          <cell r="X41">
            <v>75.081695100664817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66.70797411064288</v>
          </cell>
        </row>
        <row r="43">
          <cell r="T43">
            <v>11.703228817007544</v>
          </cell>
          <cell r="U43">
            <v>5.9508631597557615</v>
          </cell>
          <cell r="V43">
            <v>0.70989784165710235</v>
          </cell>
          <cell r="W43">
            <v>0.74292942782649596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2.7829395451988024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10.5576943359375</v>
          </cell>
        </row>
        <row r="53">
          <cell r="E53">
            <v>8.9820116802829233</v>
          </cell>
        </row>
        <row r="54">
          <cell r="E54">
            <v>83.18009003150803</v>
          </cell>
        </row>
        <row r="55">
          <cell r="E55">
            <v>7.771086156633026</v>
          </cell>
        </row>
        <row r="56">
          <cell r="E56">
            <v>29.113845956766554</v>
          </cell>
        </row>
        <row r="57">
          <cell r="E57">
            <v>30.755676878666431</v>
          </cell>
        </row>
      </sheetData>
      <sheetData sheetId="29" refreshError="1"/>
      <sheetData sheetId="30" refreshError="1">
        <row r="13">
          <cell r="L13">
            <v>-76.400000000000006</v>
          </cell>
          <cell r="T13">
            <v>6.9303674525217573</v>
          </cell>
          <cell r="U13">
            <v>213.72427811943899</v>
          </cell>
          <cell r="V13">
            <v>133.64902180729109</v>
          </cell>
          <cell r="W13">
            <v>111.32761597349254</v>
          </cell>
          <cell r="X13">
            <v>117.90461095014412</v>
          </cell>
        </row>
        <row r="22">
          <cell r="T22">
            <v>1.9262770132702434</v>
          </cell>
          <cell r="U22">
            <v>61.251424631871934</v>
          </cell>
          <cell r="V22">
            <v>18.424388422101337</v>
          </cell>
          <cell r="W22">
            <v>6.3171748285877136</v>
          </cell>
          <cell r="X22">
            <v>14.813456281706959</v>
          </cell>
        </row>
        <row r="30">
          <cell r="T30">
            <v>0</v>
          </cell>
          <cell r="U30">
            <v>27.619750744869535</v>
          </cell>
          <cell r="V30">
            <v>20.977029614075306</v>
          </cell>
          <cell r="W30">
            <v>18.167862149010045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3.9918011059239289</v>
          </cell>
          <cell r="U37">
            <v>23.360019261656848</v>
          </cell>
          <cell r="V37">
            <v>30.406752837013876</v>
          </cell>
          <cell r="W37">
            <v>0.45236993281073634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2.1874070050904897</v>
          </cell>
          <cell r="U39">
            <v>8.5890570413253253E-4</v>
          </cell>
          <cell r="V39">
            <v>3.1166998128913419</v>
          </cell>
          <cell r="W39">
            <v>3.3575351400940563</v>
          </cell>
          <cell r="X39">
            <v>0</v>
          </cell>
        </row>
        <row r="40">
          <cell r="T40">
            <v>1.5</v>
          </cell>
          <cell r="U40">
            <v>22.01365625</v>
          </cell>
          <cell r="V40">
            <v>105.40020235475453</v>
          </cell>
          <cell r="W40">
            <v>52.288295873759658</v>
          </cell>
          <cell r="X40">
            <v>0</v>
          </cell>
        </row>
        <row r="41">
          <cell r="T41">
            <v>18.700816435906518</v>
          </cell>
          <cell r="U41">
            <v>1.3034813300305972</v>
          </cell>
          <cell r="V41">
            <v>0</v>
          </cell>
          <cell r="W41">
            <v>0</v>
          </cell>
          <cell r="X41">
            <v>24.115043444028551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2.548518600222561</v>
          </cell>
        </row>
        <row r="43">
          <cell r="T43">
            <v>0.14607036001340537</v>
          </cell>
          <cell r="U43">
            <v>1.525731430410463</v>
          </cell>
          <cell r="V43">
            <v>0.35613019618188829</v>
          </cell>
          <cell r="W43">
            <v>6.5854952123934399E-2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0.64129319091675452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0</v>
          </cell>
        </row>
        <row r="53">
          <cell r="E53">
            <v>3.2223770587889593</v>
          </cell>
        </row>
        <row r="54">
          <cell r="E54">
            <v>44.559074374942114</v>
          </cell>
        </row>
        <row r="55">
          <cell r="E55">
            <v>13.801033069140475</v>
          </cell>
        </row>
        <row r="56">
          <cell r="E56">
            <v>53.321417696630832</v>
          </cell>
        </row>
        <row r="57">
          <cell r="E57">
            <v>63.833639735754474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bles THREEME"/>
      <sheetName val="Cibles THREEME AMS"/>
      <sheetName val="Cibles ThreeME v2 "/>
      <sheetName val="Cibles ThreeME v2 AMS"/>
      <sheetName val="Cibles ThreeME v3"/>
      <sheetName val="Cibles ThreeME v3 AMS"/>
      <sheetName val="brouillon"/>
      <sheetName val="Bilan_enerdata_2015"/>
      <sheetName val="Bilan 2015"/>
      <sheetName val="Bilan 2020"/>
      <sheetName val="Bilan 2020 test"/>
      <sheetName val="Bilan 2022 réel"/>
      <sheetName val="Bilan 2023 réel"/>
      <sheetName val="Bilan 2023"/>
      <sheetName val="Bilan 2025"/>
      <sheetName val="Bilan 2028"/>
      <sheetName val="Bilan 2030"/>
      <sheetName val="Bilan 2033"/>
      <sheetName val="Bilan 2035"/>
      <sheetName val="Bilan 2038"/>
      <sheetName val="Bilan 2040"/>
      <sheetName val="Bilan 2045"/>
      <sheetName val="Bilan 2050"/>
      <sheetName val="Bilan 2023 AMS"/>
      <sheetName val="Bilan 2025 AMS"/>
      <sheetName val="Bilan 2028 AMS"/>
      <sheetName val="Bilan 2030 AMS"/>
      <sheetName val="Bilan 2033 AMS"/>
      <sheetName val="Bilan 2035 AMS"/>
      <sheetName val="Bilan 2038 AMS"/>
      <sheetName val="Bilan 2040 AMS"/>
      <sheetName val="Bilan 2045 AMS"/>
      <sheetName val="Bilan 2050 AMS"/>
      <sheetName val="Bilan_E_KP_réel_2022"/>
      <sheetName val="Bilan_E_KP_réel_2023"/>
      <sheetName val="Bilan_E_AME_Met_2020"/>
      <sheetName val="Bilan_E_KP_AME_2020"/>
      <sheetName val="Bilan_E_KP_AME_2023"/>
      <sheetName val="Bilan_E_KP_AME_2025"/>
      <sheetName val="Bilan_E_KP_AME_2028"/>
      <sheetName val="Bilan_E_KP_AME_2030"/>
      <sheetName val="Bilan_E_KP_AME_2033"/>
      <sheetName val="Bilan_E_KP_AME_2035"/>
      <sheetName val="Bilan_E_KP_AME_2038"/>
      <sheetName val="Bilan_E_KP_AME_2040"/>
      <sheetName val="Bilan_E_KP_AME_2043"/>
      <sheetName val="Bilan_E_KP_AME_2045"/>
      <sheetName val="Bilan_E_KP_AME_2050"/>
      <sheetName val="Bilan_E_KP_AME"/>
      <sheetName val="Bilans_E_AMS_KP"/>
      <sheetName val="Bilans_E_AMS_KP_2023"/>
      <sheetName val="Bilans_E_AMS_KP_2025"/>
      <sheetName val="Bilans_E_AMS_KP_2028"/>
      <sheetName val="Bilans_E_AMS_KP_2030"/>
      <sheetName val="Bilans_E_AMS_KP_2033"/>
      <sheetName val="Bilans_E_AMS_KP_2035"/>
      <sheetName val="Bilans_E_AMS_KP_2038"/>
      <sheetName val="Bilans_E_AMS_KP_2040"/>
      <sheetName val="Bilans_E_AMS_KP_2043"/>
      <sheetName val="Bilans_E_AMS_KP_2045"/>
      <sheetName val="Bilans_E_AMS_KP_2050"/>
      <sheetName val="Bilan_E_KP_AMS_2023"/>
      <sheetName val="Bilan_E_KP_AMS_2025"/>
      <sheetName val="Bilan_E_KP_AMS_2028"/>
      <sheetName val="Bilan_E_KP_AMS_2030"/>
      <sheetName val="Bilan_E_KP_AMS_2033"/>
      <sheetName val="Bilan_E_KP_AMS_2035"/>
      <sheetName val="Bilan_E_KP_AMS_2038"/>
      <sheetName val="Bilan_E_KP_AMS_2040"/>
      <sheetName val="Bilan_E_KP_AMS_2043"/>
      <sheetName val="Bilan_E_KP_AMS_2045"/>
      <sheetName val="Bilan_E_KP_AMS_2050"/>
      <sheetName val="Bilan_E_KP_AMS"/>
      <sheetName val="P1_G4-G5"/>
      <sheetName val="P1_G6"/>
      <sheetName val="bilan énergie format SDS"/>
      <sheetName val="Demande Format Medpro"/>
      <sheetName val="Format demande MedPro_2015"/>
      <sheetName val="Corrections Bilan enerdata"/>
      <sheetName val="Modèle tertiaire_2015"/>
      <sheetName val="Modèle tertiaire_2020"/>
      <sheetName val="Modèle tertiaire_2025"/>
      <sheetName val="Modèle tertiaire_2030"/>
      <sheetName val="Modèle tertiaire_2050"/>
      <sheetName val="Modèle résidentiel ch_2015"/>
      <sheetName val="Modèle résidentiel ch_2020"/>
      <sheetName val="Modèle résidentiel ch_2025"/>
      <sheetName val="Modèle résidentiel ch_2030"/>
      <sheetName val="Modèle résidentiel ch_2050"/>
      <sheetName val="Modèle résidentiel hch_2015"/>
      <sheetName val="Modèle résidentiel hch_2020"/>
      <sheetName val="Modèle résidentiel hch_2025"/>
      <sheetName val="Modèle résidentiel hch_2030"/>
      <sheetName val="Modèle résidentiel hch_2050"/>
      <sheetName val="Mix énergie_2015"/>
      <sheetName val="Bilans_E_AMS_Kyoto_2050"/>
      <sheetName val="Bilan 2050 AMS_ancien"/>
      <sheetName val="Bilans_E_AMS_Kyo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3">
          <cell r="T13">
            <v>0.74651762682717104</v>
          </cell>
        </row>
      </sheetData>
      <sheetData sheetId="9">
        <row r="13">
          <cell r="T13">
            <v>8.0414155849497</v>
          </cell>
        </row>
      </sheetData>
      <sheetData sheetId="10"/>
      <sheetData sheetId="11">
        <row r="13">
          <cell r="T13">
            <v>7.8260000000000005</v>
          </cell>
          <cell r="U13">
            <v>107.64707300000001</v>
          </cell>
          <cell r="V13">
            <v>155.36990600000001</v>
          </cell>
          <cell r="W13">
            <v>133.03417000000002</v>
          </cell>
          <cell r="X13">
            <v>10.823198000000001</v>
          </cell>
        </row>
        <row r="22">
          <cell r="T22">
            <v>2.7474958333333332</v>
          </cell>
          <cell r="U22">
            <v>108.57266219444446</v>
          </cell>
          <cell r="V22">
            <v>110.55954550000001</v>
          </cell>
          <cell r="W22">
            <v>67.887248027777787</v>
          </cell>
          <cell r="X22">
            <v>3.7083049999999997</v>
          </cell>
        </row>
        <row r="30">
          <cell r="T30">
            <v>0.23347250000000003</v>
          </cell>
          <cell r="U30">
            <v>26.203729444444445</v>
          </cell>
          <cell r="V30">
            <v>14.53032638888889</v>
          </cell>
          <cell r="W30">
            <v>9.7167455555555549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1.8437186111111112</v>
          </cell>
          <cell r="U37">
            <v>15.531573611111112</v>
          </cell>
          <cell r="V37">
            <v>69.611392402361105</v>
          </cell>
          <cell r="W37">
            <v>3.2420080555555599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0.29211333333333334</v>
          </cell>
          <cell r="U39">
            <v>2.4585833333333335E-2</v>
          </cell>
          <cell r="V39">
            <v>2.5257802777777778</v>
          </cell>
          <cell r="W39">
            <v>0.34678083333333298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39.547388055555558</v>
          </cell>
          <cell r="W40">
            <v>4.8885494444444442</v>
          </cell>
          <cell r="X40">
            <v>0</v>
          </cell>
        </row>
        <row r="41">
          <cell r="T41">
            <v>2.0636319502888534</v>
          </cell>
          <cell r="U41">
            <v>0.8896092618446092</v>
          </cell>
          <cell r="V41">
            <v>0</v>
          </cell>
          <cell r="W41">
            <v>0</v>
          </cell>
          <cell r="X41">
            <v>35.98692255406236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468.70719657595708</v>
          </cell>
        </row>
        <row r="43">
          <cell r="T43">
            <v>39.452873847389007</v>
          </cell>
          <cell r="U43">
            <v>27.924680978677003</v>
          </cell>
          <cell r="V43">
            <v>40.712038874909005</v>
          </cell>
          <cell r="W43">
            <v>24.208682698433005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1.9208852320000001E-2</v>
          </cell>
          <cell r="U46">
            <v>7.3736578567600004</v>
          </cell>
          <cell r="V46">
            <v>0.30791956671000004</v>
          </cell>
          <cell r="W46">
            <v>0.38187951663999997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44.997299641464451</v>
          </cell>
        </row>
        <row r="53">
          <cell r="E53">
            <v>10.145451250000001</v>
          </cell>
        </row>
        <row r="54">
          <cell r="E54">
            <v>107.81117013444999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2">
        <row r="13">
          <cell r="T13">
            <v>7.6348390000000004</v>
          </cell>
          <cell r="U13">
            <v>103.14419500000001</v>
          </cell>
          <cell r="V13">
            <v>151.42570800000004</v>
          </cell>
          <cell r="W13">
            <v>130.260345</v>
          </cell>
          <cell r="X13">
            <v>10.543191</v>
          </cell>
        </row>
        <row r="22">
          <cell r="T22">
            <v>2.7313033333333334</v>
          </cell>
          <cell r="U22">
            <v>100.79992327777778</v>
          </cell>
          <cell r="V22">
            <v>103.59429425</v>
          </cell>
          <cell r="W22">
            <v>63.657246916666658</v>
          </cell>
          <cell r="X22">
            <v>3.7083049999999997</v>
          </cell>
        </row>
        <row r="30">
          <cell r="T30">
            <v>0.26707805555555558</v>
          </cell>
          <cell r="U30">
            <v>25.961824722222225</v>
          </cell>
          <cell r="V30">
            <v>15.629575833333334</v>
          </cell>
          <cell r="W30">
            <v>9.8594538888888898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1.8475597222222224</v>
          </cell>
          <cell r="U37">
            <v>14.497804722222222</v>
          </cell>
          <cell r="V37">
            <v>70.150979653888882</v>
          </cell>
          <cell r="W37">
            <v>3.2188041666666698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0.29294666666666669</v>
          </cell>
          <cell r="U39">
            <v>2.5632777777777779E-2</v>
          </cell>
          <cell r="V39">
            <v>2.6333313888888892</v>
          </cell>
          <cell r="W39">
            <v>0.353265833333333</v>
          </cell>
          <cell r="X39">
            <v>0</v>
          </cell>
        </row>
        <row r="40">
          <cell r="T40">
            <v>0</v>
          </cell>
          <cell r="U40">
            <v>2.6356574892997744E-4</v>
          </cell>
          <cell r="V40">
            <v>44.439514166666662</v>
          </cell>
          <cell r="W40">
            <v>5.0584755555555549</v>
          </cell>
          <cell r="X40">
            <v>0</v>
          </cell>
        </row>
        <row r="41">
          <cell r="T41">
            <v>2.0636319502888525</v>
          </cell>
          <cell r="U41">
            <v>0.89176663588059402</v>
          </cell>
          <cell r="V41">
            <v>0</v>
          </cell>
          <cell r="W41">
            <v>4.4999999999999929E-2</v>
          </cell>
          <cell r="X41">
            <v>37.735735445533919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452.34819647075807</v>
          </cell>
        </row>
        <row r="43">
          <cell r="T43">
            <v>37.704445299680003</v>
          </cell>
          <cell r="U43">
            <v>26.970422859407002</v>
          </cell>
          <cell r="V43">
            <v>35.382495305294</v>
          </cell>
          <cell r="W43">
            <v>23.957943117617006</v>
          </cell>
          <cell r="X43">
            <v>0</v>
          </cell>
        </row>
        <row r="44"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1.4204347020000001E-2</v>
          </cell>
          <cell r="U46">
            <v>6.7561224064300012</v>
          </cell>
          <cell r="V46">
            <v>0.23010017802000002</v>
          </cell>
          <cell r="W46">
            <v>0.34274047288000004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37.544340114489998</v>
          </cell>
        </row>
        <row r="53">
          <cell r="E53">
            <v>10.01566775</v>
          </cell>
        </row>
        <row r="54">
          <cell r="E54">
            <v>113.10061663207698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3"/>
      <sheetData sheetId="14">
        <row r="13">
          <cell r="T13">
            <v>8.2455072704191767</v>
          </cell>
        </row>
      </sheetData>
      <sheetData sheetId="15"/>
      <sheetData sheetId="16">
        <row r="5">
          <cell r="T5">
            <v>47.147872325239078</v>
          </cell>
        </row>
      </sheetData>
      <sheetData sheetId="17"/>
      <sheetData sheetId="18">
        <row r="13">
          <cell r="T13">
            <v>7.1029233048090266</v>
          </cell>
        </row>
      </sheetData>
      <sheetData sheetId="19"/>
      <sheetData sheetId="20">
        <row r="13">
          <cell r="T13">
            <v>6.3643203530837074</v>
          </cell>
        </row>
      </sheetData>
      <sheetData sheetId="21"/>
      <sheetData sheetId="22">
        <row r="13">
          <cell r="T13">
            <v>5.5235547180923223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lan énergie"/>
      <sheetName val="FE_et_bio"/>
      <sheetName val="VP"/>
      <sheetName val="VUL"/>
      <sheetName val="PL"/>
      <sheetName val="donnees parc"/>
      <sheetName val="B&amp;C"/>
      <sheetName val="2RM"/>
      <sheetName val="Autres_modes"/>
      <sheetName val="Aérien"/>
      <sheetName val="Trafic"/>
      <sheetName val="Feuil2"/>
    </sheetNames>
    <sheetDataSet>
      <sheetData sheetId="0"/>
      <sheetData sheetId="1"/>
      <sheetData sheetId="2">
        <row r="30">
          <cell r="C30">
            <v>1.9403870000000001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23">
          <cell r="H23">
            <v>629.84570702567703</v>
          </cell>
          <cell r="J23">
            <v>746.12634327708076</v>
          </cell>
          <cell r="N23">
            <v>684.63084367246472</v>
          </cell>
        </row>
        <row r="25">
          <cell r="H25">
            <v>64.888834107401252</v>
          </cell>
          <cell r="J25">
            <v>140.59793923050162</v>
          </cell>
          <cell r="N25">
            <v>187.05149835225939</v>
          </cell>
        </row>
        <row r="26">
          <cell r="H26">
            <v>37.912440194392154</v>
          </cell>
          <cell r="J26">
            <v>75.079943524557834</v>
          </cell>
          <cell r="N26">
            <v>97.003287033728711</v>
          </cell>
        </row>
        <row r="27">
          <cell r="H27">
            <v>7.2496149479999996</v>
          </cell>
          <cell r="J27">
            <v>14.4</v>
          </cell>
          <cell r="N27">
            <v>6.5</v>
          </cell>
        </row>
        <row r="28">
          <cell r="H28">
            <v>9.5825009382689181</v>
          </cell>
          <cell r="J28">
            <v>11.58776593289357</v>
          </cell>
          <cell r="N28">
            <v>11.683292928212129</v>
          </cell>
        </row>
        <row r="29">
          <cell r="H29">
            <v>5.5</v>
          </cell>
          <cell r="J29">
            <v>19.108172758676037</v>
          </cell>
          <cell r="N29">
            <v>28.331906374785511</v>
          </cell>
        </row>
        <row r="30">
          <cell r="H30">
            <v>754.94948226573945</v>
          </cell>
          <cell r="J30">
            <v>1006.9001647237097</v>
          </cell>
          <cell r="N30">
            <v>1015.2008283614504</v>
          </cell>
        </row>
        <row r="31">
          <cell r="H31">
            <v>749.44948226573945</v>
          </cell>
          <cell r="J31">
            <v>987.79199196503373</v>
          </cell>
          <cell r="N31">
            <v>986.86892198666487</v>
          </cell>
        </row>
      </sheetData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 energie vecteurs"/>
      <sheetName val="T energie usages"/>
      <sheetName val="Résultats"/>
      <sheetName val="T CO2"/>
      <sheetName val="T logement"/>
      <sheetName val="G energie"/>
      <sheetName val="G mix energie"/>
      <sheetName val="G mix élec"/>
      <sheetName val="G mix carb"/>
      <sheetName val="G mix gaz"/>
      <sheetName val="G CO2"/>
      <sheetName val="T parc auto"/>
      <sheetName val="G parc auto total"/>
      <sheetName val="G parc elec"/>
      <sheetName val="G parc auto"/>
      <sheetName val="T transport"/>
      <sheetName val="G parc logt"/>
      <sheetName val="Table Graphs"/>
    </sheetNames>
    <sheetDataSet>
      <sheetData sheetId="0" refreshError="1"/>
      <sheetData sheetId="1" refreshError="1"/>
      <sheetData sheetId="2">
        <row r="1">
          <cell r="B1" t="str">
            <v>SNBC3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ésultats"/>
      <sheetName val="T energie vecteurs"/>
      <sheetName val="T energie usages"/>
      <sheetName val="G energie"/>
      <sheetName val="G mix élec"/>
      <sheetName val="G mix carb"/>
      <sheetName val="G mix gaz"/>
      <sheetName val="T CO2"/>
      <sheetName val="G CO2"/>
      <sheetName val="T parc auto"/>
      <sheetName val="G parc auto"/>
      <sheetName val="T logement"/>
      <sheetName val="G parc logt"/>
      <sheetName val="Table Graph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>
        <row r="4">
          <cell r="A4" t="str">
            <v>TEND</v>
          </cell>
        </row>
        <row r="5">
          <cell r="I5">
            <v>34.664492700000004</v>
          </cell>
          <cell r="J5">
            <v>34.956187980000003</v>
          </cell>
          <cell r="K5">
            <v>35.116030049999999</v>
          </cell>
          <cell r="L5">
            <v>35.22984451</v>
          </cell>
          <cell r="M5">
            <v>35.293663940000002</v>
          </cell>
          <cell r="N5">
            <v>35.310390290000001</v>
          </cell>
          <cell r="O5">
            <v>35.378433780000002</v>
          </cell>
          <cell r="P5">
            <v>35.496856720000004</v>
          </cell>
          <cell r="Q5">
            <v>35.653829440000003</v>
          </cell>
          <cell r="R5">
            <v>35.834650719999999</v>
          </cell>
          <cell r="S5">
            <v>36.029956510000005</v>
          </cell>
          <cell r="T5">
            <v>36.22702245</v>
          </cell>
          <cell r="U5">
            <v>36.422585409999996</v>
          </cell>
          <cell r="V5">
            <v>36.615497920000003</v>
          </cell>
          <cell r="W5">
            <v>36.806113070000002</v>
          </cell>
          <cell r="X5">
            <v>36.99621071</v>
          </cell>
          <cell r="Y5">
            <v>37.184294620000003</v>
          </cell>
          <cell r="Z5">
            <v>37.372872549999997</v>
          </cell>
          <cell r="AA5">
            <v>37.563526299999999</v>
          </cell>
          <cell r="AB5">
            <v>37.757729379999994</v>
          </cell>
          <cell r="AC5">
            <v>37.955981359999996</v>
          </cell>
          <cell r="AD5">
            <v>38.166927919999999</v>
          </cell>
          <cell r="AE5">
            <v>38.388725370000003</v>
          </cell>
          <cell r="AF5">
            <v>38.617999920000003</v>
          </cell>
          <cell r="AG5">
            <v>38.852641049999995</v>
          </cell>
          <cell r="AH5">
            <v>39.090289320000004</v>
          </cell>
          <cell r="AI5">
            <v>39.328744280000002</v>
          </cell>
          <cell r="AJ5">
            <v>39.56777889</v>
          </cell>
          <cell r="AK5">
            <v>39.807161919999999</v>
          </cell>
          <cell r="AL5">
            <v>40.046711999999999</v>
          </cell>
          <cell r="AM5">
            <v>40.288447350000006</v>
          </cell>
        </row>
        <row r="6">
          <cell r="I6">
            <v>8.5699726798540449E-3</v>
          </cell>
          <cell r="J6">
            <v>1.3125767536852568E-2</v>
          </cell>
          <cell r="K6">
            <v>2.093814652035246E-2</v>
          </cell>
          <cell r="L6">
            <v>2.9339596650975963E-2</v>
          </cell>
          <cell r="M6">
            <v>3.8422705171822412E-2</v>
          </cell>
          <cell r="N6">
            <v>4.8298948326351107E-2</v>
          </cell>
          <cell r="O6">
            <v>5.9426982864022086E-2</v>
          </cell>
          <cell r="P6">
            <v>7.1945526561541698E-2</v>
          </cell>
          <cell r="Q6">
            <v>8.5942049539349558E-2</v>
          </cell>
          <cell r="R6">
            <v>0.10147172535354351</v>
          </cell>
          <cell r="S6">
            <v>0.11859008108472456</v>
          </cell>
          <cell r="T6">
            <v>0.13730358074183932</v>
          </cell>
          <cell r="U6">
            <v>0.15763780877629907</v>
          </cell>
          <cell r="V6">
            <v>0.17959577390884213</v>
          </cell>
          <cell r="W6">
            <v>0.20315166958215294</v>
          </cell>
          <cell r="X6">
            <v>0.22824904180571959</v>
          </cell>
          <cell r="Y6">
            <v>0.2547637951132391</v>
          </cell>
          <cell r="Z6">
            <v>0.28256330245612871</v>
          </cell>
          <cell r="AA6">
            <v>0.31147078409409074</v>
          </cell>
          <cell r="AB6">
            <v>0.34127816401018973</v>
          </cell>
          <cell r="AC6">
            <v>0.3717464103001657</v>
          </cell>
          <cell r="AD6">
            <v>0.40269710709271045</v>
          </cell>
          <cell r="AE6">
            <v>0.43384849821076515</v>
          </cell>
          <cell r="AF6">
            <v>0.464913357170052</v>
          </cell>
          <cell r="AG6">
            <v>0.49563467577965337</v>
          </cell>
          <cell r="AH6">
            <v>0.52577836510113596</v>
          </cell>
          <cell r="AI6">
            <v>0.55514202702634574</v>
          </cell>
          <cell r="AJ6">
            <v>0.58357173153926301</v>
          </cell>
          <cell r="AK6">
            <v>0.61094374421556352</v>
          </cell>
          <cell r="AL6">
            <v>0.63716406480512056</v>
          </cell>
          <cell r="AM6">
            <v>0.66218106938290833</v>
          </cell>
        </row>
      </sheetData>
      <sheetData sheetId="10" refreshError="1"/>
      <sheetData sheetId="11"/>
      <sheetData sheetId="12" refreshError="1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>
    <tabColor rgb="FF0070C0"/>
  </sheetPr>
  <dimension ref="A1:BF524"/>
  <sheetViews>
    <sheetView zoomScale="90" zoomScaleNormal="90" workbookViewId="0">
      <selection activeCell="T5" sqref="T5"/>
    </sheetView>
  </sheetViews>
  <sheetFormatPr baseColWidth="10" defaultRowHeight="15" x14ac:dyDescent="0.25"/>
  <cols>
    <col min="2" max="2" width="14.42578125" customWidth="1"/>
    <col min="3" max="3" width="18.5703125" bestFit="1" customWidth="1"/>
    <col min="4" max="4" width="18.5703125" customWidth="1"/>
    <col min="5" max="8" width="5.5703125" customWidth="1"/>
    <col min="9" max="23" width="7.42578125" customWidth="1"/>
    <col min="25" max="58" width="11.42578125" style="3"/>
  </cols>
  <sheetData>
    <row r="1" spans="1:29" ht="28.5" x14ac:dyDescent="0.45">
      <c r="A1" s="171" t="s">
        <v>97</v>
      </c>
      <c r="B1" s="3"/>
      <c r="C1" s="3"/>
      <c r="D1" s="3" t="s">
        <v>487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9" ht="23.25" x14ac:dyDescent="0.35">
      <c r="A2" s="4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9" ht="21" x14ac:dyDescent="0.35">
      <c r="A3" s="172" t="s">
        <v>81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9" ht="23.25" x14ac:dyDescent="0.35">
      <c r="A4" s="161" t="str">
        <f>Résultats!B1</f>
        <v>SNBC3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9" s="3" customFormat="1" ht="23.25" x14ac:dyDescent="0.35">
      <c r="A5" s="46"/>
      <c r="D5" s="7"/>
      <c r="E5" s="235">
        <f>Résultats!E1</f>
        <v>4</v>
      </c>
      <c r="F5" s="235">
        <f>E5+9</f>
        <v>13</v>
      </c>
      <c r="G5" s="235">
        <f>F5+3</f>
        <v>16</v>
      </c>
      <c r="H5" s="235">
        <f t="shared" ref="H5:S5" si="0">G5+1</f>
        <v>17</v>
      </c>
      <c r="I5" s="235">
        <f t="shared" si="0"/>
        <v>18</v>
      </c>
      <c r="J5" s="235">
        <f t="shared" si="0"/>
        <v>19</v>
      </c>
      <c r="K5" s="235">
        <f t="shared" si="0"/>
        <v>20</v>
      </c>
      <c r="L5" s="235">
        <f t="shared" si="0"/>
        <v>21</v>
      </c>
      <c r="M5" s="235">
        <f t="shared" si="0"/>
        <v>22</v>
      </c>
      <c r="N5" s="235">
        <f t="shared" si="0"/>
        <v>23</v>
      </c>
      <c r="O5" s="235">
        <f t="shared" si="0"/>
        <v>24</v>
      </c>
      <c r="P5" s="235">
        <f t="shared" si="0"/>
        <v>25</v>
      </c>
      <c r="Q5" s="235">
        <f t="shared" si="0"/>
        <v>26</v>
      </c>
      <c r="R5" s="235">
        <f t="shared" si="0"/>
        <v>27</v>
      </c>
      <c r="S5" s="235">
        <f t="shared" si="0"/>
        <v>28</v>
      </c>
      <c r="T5" s="235">
        <f>S5+5</f>
        <v>33</v>
      </c>
      <c r="U5" s="235">
        <f>T5+5</f>
        <v>38</v>
      </c>
      <c r="V5" s="235">
        <f>U5+5</f>
        <v>43</v>
      </c>
      <c r="W5" s="235">
        <f>V5+5</f>
        <v>48</v>
      </c>
    </row>
    <row r="6" spans="1:29" x14ac:dyDescent="0.25">
      <c r="A6" s="3"/>
      <c r="B6" s="168"/>
      <c r="C6" s="2"/>
      <c r="D6" s="15"/>
      <c r="E6" s="4">
        <v>2006</v>
      </c>
      <c r="F6" s="4">
        <v>2015</v>
      </c>
      <c r="G6" s="20">
        <v>2018</v>
      </c>
      <c r="H6" s="27">
        <v>2019</v>
      </c>
      <c r="I6" s="83">
        <v>2020</v>
      </c>
      <c r="J6" s="91">
        <v>2021</v>
      </c>
      <c r="K6" s="27">
        <v>2022</v>
      </c>
      <c r="L6" s="27">
        <v>2023</v>
      </c>
      <c r="M6" s="27">
        <v>2024</v>
      </c>
      <c r="N6" s="83">
        <v>2025</v>
      </c>
      <c r="O6" s="91">
        <v>2026</v>
      </c>
      <c r="P6" s="27">
        <v>2027</v>
      </c>
      <c r="Q6" s="27">
        <v>2028</v>
      </c>
      <c r="R6" s="27">
        <v>2029</v>
      </c>
      <c r="S6" s="92">
        <v>2030</v>
      </c>
      <c r="T6" s="93">
        <v>2035</v>
      </c>
      <c r="U6" s="93">
        <v>2040</v>
      </c>
      <c r="V6" s="93">
        <v>2045</v>
      </c>
      <c r="W6" s="93">
        <v>2050</v>
      </c>
      <c r="X6" s="3"/>
      <c r="Y6" s="19"/>
      <c r="Z6" s="166" t="s">
        <v>90</v>
      </c>
      <c r="AA6" s="166"/>
      <c r="AB6" s="166"/>
      <c r="AC6" s="38"/>
    </row>
    <row r="7" spans="1:29" ht="15" customHeight="1" x14ac:dyDescent="0.25">
      <c r="A7" s="3"/>
      <c r="B7" s="318" t="s">
        <v>0</v>
      </c>
      <c r="C7" s="5" t="s">
        <v>1</v>
      </c>
      <c r="D7" s="2"/>
      <c r="E7" s="6">
        <f>SUM(E8:E9)</f>
        <v>85.512305875500005</v>
      </c>
      <c r="F7" s="6">
        <f>SUM(F8:F9)</f>
        <v>73.793814201000004</v>
      </c>
      <c r="G7" s="84">
        <f t="shared" ref="G7:R7" si="1">SUM(G8:G9)</f>
        <v>67.845464389</v>
      </c>
      <c r="H7" s="6">
        <f t="shared" si="1"/>
        <v>66.427640584000002</v>
      </c>
      <c r="I7" s="85">
        <f t="shared" si="1"/>
        <v>64.656103305999991</v>
      </c>
      <c r="J7" s="84">
        <f t="shared" si="1"/>
        <v>64.200372532999992</v>
      </c>
      <c r="K7" s="6">
        <f t="shared" si="1"/>
        <v>63.674742393999999</v>
      </c>
      <c r="L7" s="6">
        <f t="shared" si="1"/>
        <v>62.836219370999999</v>
      </c>
      <c r="M7" s="6">
        <f t="shared" si="1"/>
        <v>60.85860271</v>
      </c>
      <c r="N7" s="85">
        <f t="shared" si="1"/>
        <v>58.639429237000002</v>
      </c>
      <c r="O7" s="84">
        <f t="shared" si="1"/>
        <v>56.510416601999999</v>
      </c>
      <c r="P7" s="6">
        <f t="shared" si="1"/>
        <v>54.476686254000001</v>
      </c>
      <c r="Q7" s="6">
        <f t="shared" si="1"/>
        <v>52.489449444000002</v>
      </c>
      <c r="R7" s="6">
        <f t="shared" si="1"/>
        <v>50.409337690999998</v>
      </c>
      <c r="S7" s="85">
        <f>SUM(S8:S9)</f>
        <v>48.332972749</v>
      </c>
      <c r="T7" s="94">
        <f>SUM(T8:T9)</f>
        <v>38.587036265999998</v>
      </c>
      <c r="U7" s="94">
        <f>SUM(U8:U9)</f>
        <v>29.926099199999996</v>
      </c>
      <c r="V7" s="94">
        <f>SUM(V8:V9)</f>
        <v>23.380080092</v>
      </c>
      <c r="W7" s="94">
        <f>SUM(W8:W9)</f>
        <v>18.912754985999999</v>
      </c>
      <c r="X7" s="3"/>
      <c r="Y7" s="75"/>
      <c r="Z7" s="194"/>
      <c r="AA7" s="195">
        <v>2020</v>
      </c>
      <c r="AB7" s="195">
        <v>2030</v>
      </c>
      <c r="AC7" s="196">
        <v>2050</v>
      </c>
    </row>
    <row r="8" spans="1:29" x14ac:dyDescent="0.25">
      <c r="A8" s="3"/>
      <c r="B8" s="319"/>
      <c r="C8" s="3" t="s">
        <v>2</v>
      </c>
      <c r="D8" s="15" t="s">
        <v>356</v>
      </c>
      <c r="E8" s="16">
        <f>VLOOKUP($D8,Résultats!$B$2:$AX$476,E$5,FALSE)</f>
        <v>84.844840500000004</v>
      </c>
      <c r="F8" s="16">
        <f>VLOOKUP($D8,Résultats!$B$2:$AX$476,F$5,FALSE)</f>
        <v>70.625168520000003</v>
      </c>
      <c r="G8" s="22">
        <f>VLOOKUP($D8,Résultats!$B$2:$AX$476,G$5,FALSE)</f>
        <v>64.76106747</v>
      </c>
      <c r="H8" s="16">
        <f>VLOOKUP($D8,Résultats!$B$2:$AX$476,H$5,FALSE)</f>
        <v>63.34463289</v>
      </c>
      <c r="I8" s="86">
        <f>VLOOKUP($D8,Résultats!$B$2:$AX$476,I$5,FALSE)</f>
        <v>61.589810569999997</v>
      </c>
      <c r="J8" s="22">
        <f>VLOOKUP($D8,Résultats!$B$2:$AX$476,J$5,FALSE)</f>
        <v>61.006711539999998</v>
      </c>
      <c r="K8" s="16">
        <f>VLOOKUP($D8,Résultats!$B$2:$AX$476,K$5,FALSE)</f>
        <v>60.36560076</v>
      </c>
      <c r="L8" s="16">
        <f>VLOOKUP($D8,Résultats!$B$2:$AX$476,L$5,FALSE)</f>
        <v>59.436633899999997</v>
      </c>
      <c r="M8" s="16">
        <f>VLOOKUP($D8,Résultats!$B$2:$AX$476,M$5,FALSE)</f>
        <v>57.216869680000002</v>
      </c>
      <c r="N8" s="86">
        <f>VLOOKUP($D8,Résultats!$B$2:$AX$476,N$5,FALSE)</f>
        <v>54.774013680000003</v>
      </c>
      <c r="O8" s="22">
        <f>VLOOKUP($D8,Résultats!$B$2:$AX$476,O$5,FALSE)</f>
        <v>52.629387719999997</v>
      </c>
      <c r="P8" s="16">
        <f>VLOOKUP($D8,Résultats!$B$2:$AX$476,P$5,FALSE)</f>
        <v>50.571329149999997</v>
      </c>
      <c r="Q8" s="16">
        <f>VLOOKUP($D8,Résultats!$B$2:$AX$476,Q$5,FALSE)</f>
        <v>48.553497069999999</v>
      </c>
      <c r="R8" s="16">
        <f>VLOOKUP($D8,Résultats!$B$2:$AX$476,R$5,FALSE)</f>
        <v>46.4503506</v>
      </c>
      <c r="S8" s="86">
        <f>VLOOKUP($D8,Résultats!$B$2:$AX$476,S$5,FALSE)</f>
        <v>44.347399359999997</v>
      </c>
      <c r="T8" s="95">
        <f>VLOOKUP($D8,Résultats!$B$2:$AX$476,T$5,FALSE)</f>
        <v>31.294267120000001</v>
      </c>
      <c r="U8" s="95">
        <f>VLOOKUP($D8,Résultats!$B$2:$AX$476,U$5,FALSE)</f>
        <v>17.975444629999998</v>
      </c>
      <c r="V8" s="95">
        <f>VLOOKUP($D8,Résultats!$B$2:$AX$476,V$5,FALSE)</f>
        <v>9.6695994719999998</v>
      </c>
      <c r="W8" s="95">
        <f>VLOOKUP($D8,Résultats!$B$2:$AX$476,W$5,FALSE)</f>
        <v>6.6802507660000003</v>
      </c>
      <c r="X8" s="45">
        <f>W8-'[1]Cibles THREEME'!$H4</f>
        <v>-3.7203564651914949</v>
      </c>
      <c r="Y8" s="75"/>
      <c r="Z8" s="198" t="s">
        <v>68</v>
      </c>
      <c r="AA8" s="199">
        <f>I27</f>
        <v>232.56143793579997</v>
      </c>
      <c r="AB8" s="199">
        <f>S27</f>
        <v>214.06917823849997</v>
      </c>
      <c r="AC8" s="89">
        <f>W27</f>
        <v>129.97749047702001</v>
      </c>
    </row>
    <row r="9" spans="1:29" x14ac:dyDescent="0.25">
      <c r="A9" s="3"/>
      <c r="B9" s="320"/>
      <c r="C9" s="7" t="s">
        <v>3</v>
      </c>
      <c r="D9" s="15" t="s">
        <v>357</v>
      </c>
      <c r="E9" s="16">
        <f>VLOOKUP($D9,Résultats!$B$2:$AX$476,E$5,FALSE)</f>
        <v>0.66746537549999996</v>
      </c>
      <c r="F9" s="16">
        <f>VLOOKUP($D9,Résultats!$B$2:$AX$476,F$5,FALSE)</f>
        <v>3.1686456810000001</v>
      </c>
      <c r="G9" s="22">
        <f>VLOOKUP($D9,Résultats!$B$2:$AX$476,G$5,FALSE)</f>
        <v>3.084396919</v>
      </c>
      <c r="H9" s="16">
        <f>VLOOKUP($D9,Résultats!$B$2:$AX$476,H$5,FALSE)</f>
        <v>3.083007694</v>
      </c>
      <c r="I9" s="86">
        <f>VLOOKUP($D9,Résultats!$B$2:$AX$476,I$5,FALSE)</f>
        <v>3.0662927359999999</v>
      </c>
      <c r="J9" s="22">
        <f>VLOOKUP($D9,Résultats!$B$2:$AX$476,J$5,FALSE)</f>
        <v>3.1936609929999999</v>
      </c>
      <c r="K9" s="16">
        <f>VLOOKUP($D9,Résultats!$B$2:$AX$476,K$5,FALSE)</f>
        <v>3.3091416339999999</v>
      </c>
      <c r="L9" s="16">
        <f>VLOOKUP($D9,Résultats!$B$2:$AX$476,L$5,FALSE)</f>
        <v>3.399585471</v>
      </c>
      <c r="M9" s="16">
        <f>VLOOKUP($D9,Résultats!$B$2:$AX$476,M$5,FALSE)</f>
        <v>3.6417330300000001</v>
      </c>
      <c r="N9" s="86">
        <f>VLOOKUP($D9,Résultats!$B$2:$AX$476,N$5,FALSE)</f>
        <v>3.8654155569999999</v>
      </c>
      <c r="O9" s="22">
        <f>VLOOKUP($D9,Résultats!$B$2:$AX$476,O$5,FALSE)</f>
        <v>3.8810288819999998</v>
      </c>
      <c r="P9" s="16">
        <f>VLOOKUP($D9,Résultats!$B$2:$AX$476,P$5,FALSE)</f>
        <v>3.9053571040000001</v>
      </c>
      <c r="Q9" s="16">
        <f>VLOOKUP($D9,Résultats!$B$2:$AX$476,Q$5,FALSE)</f>
        <v>3.9359523740000002</v>
      </c>
      <c r="R9" s="16">
        <f>VLOOKUP($D9,Résultats!$B$2:$AX$476,R$5,FALSE)</f>
        <v>3.958987091</v>
      </c>
      <c r="S9" s="86">
        <f>VLOOKUP($D9,Résultats!$B$2:$AX$476,S$5,FALSE)</f>
        <v>3.9855733889999998</v>
      </c>
      <c r="T9" s="95">
        <f>VLOOKUP($D9,Résultats!$B$2:$AX$476,T$5,FALSE)</f>
        <v>7.2927691460000004</v>
      </c>
      <c r="U9" s="95">
        <f>VLOOKUP($D9,Résultats!$B$2:$AX$476,U$5,FALSE)</f>
        <v>11.950654569999999</v>
      </c>
      <c r="V9" s="95">
        <f>VLOOKUP($D9,Résultats!$B$2:$AX$476,V$5,FALSE)</f>
        <v>13.71048062</v>
      </c>
      <c r="W9" s="95">
        <f>VLOOKUP($D9,Résultats!$B$2:$AX$476,W$5,FALSE)</f>
        <v>12.232504219999999</v>
      </c>
      <c r="X9" s="45">
        <f>W9-'[1]Cibles THREEME'!$H5</f>
        <v>8.735663004422916</v>
      </c>
      <c r="Y9" s="75"/>
      <c r="Z9" s="75"/>
      <c r="AA9" s="75"/>
      <c r="AB9" s="75"/>
      <c r="AC9" s="75"/>
    </row>
    <row r="10" spans="1:29" ht="15" customHeight="1" x14ac:dyDescent="0.25">
      <c r="A10" s="3"/>
      <c r="B10" s="318" t="s">
        <v>4</v>
      </c>
      <c r="C10" s="5" t="s">
        <v>1</v>
      </c>
      <c r="D10" s="2"/>
      <c r="E10" s="8">
        <f>SUM(E11:E18)</f>
        <v>135.21135414020003</v>
      </c>
      <c r="F10" s="8">
        <f>SUM(F11:F18)</f>
        <v>149.5009495155</v>
      </c>
      <c r="G10" s="21">
        <f t="shared" ref="G10:R10" si="2">SUM(G11:G18)</f>
        <v>139.02163213289998</v>
      </c>
      <c r="H10" s="8">
        <f t="shared" si="2"/>
        <v>134.54298043510002</v>
      </c>
      <c r="I10" s="87">
        <f t="shared" si="2"/>
        <v>130.06616049959999</v>
      </c>
      <c r="J10" s="21">
        <f t="shared" si="2"/>
        <v>128.29468747159999</v>
      </c>
      <c r="K10" s="8">
        <f t="shared" si="2"/>
        <v>126.98505227460002</v>
      </c>
      <c r="L10" s="8">
        <f t="shared" si="2"/>
        <v>124.58547727359999</v>
      </c>
      <c r="M10" s="8">
        <f t="shared" si="2"/>
        <v>134.5712180692</v>
      </c>
      <c r="N10" s="87">
        <f t="shared" si="2"/>
        <v>142.81932691659998</v>
      </c>
      <c r="O10" s="21">
        <f t="shared" si="2"/>
        <v>141.35971179749998</v>
      </c>
      <c r="P10" s="8">
        <f t="shared" si="2"/>
        <v>139.62054808089997</v>
      </c>
      <c r="Q10" s="8">
        <f t="shared" si="2"/>
        <v>137.79230703439998</v>
      </c>
      <c r="R10" s="8">
        <f t="shared" si="2"/>
        <v>136.60083912429999</v>
      </c>
      <c r="S10" s="87">
        <f>SUM(S11:S18)</f>
        <v>135.57317099389999</v>
      </c>
      <c r="T10" s="96">
        <f>SUM(T11:T18)</f>
        <v>115.74380516273</v>
      </c>
      <c r="U10" s="96">
        <f>SUM(U11:U18)</f>
        <v>113.74996908942998</v>
      </c>
      <c r="V10" s="96">
        <f>SUM(V11:V18)</f>
        <v>100.18052660358001</v>
      </c>
      <c r="W10" s="96">
        <f>SUM(W11:W18)</f>
        <v>86.793706358120005</v>
      </c>
      <c r="X10" s="45"/>
      <c r="Y10" s="75"/>
      <c r="Z10" s="75"/>
      <c r="AA10" s="75"/>
      <c r="AB10" s="75"/>
      <c r="AC10" s="75"/>
    </row>
    <row r="11" spans="1:29" x14ac:dyDescent="0.25">
      <c r="A11" s="3"/>
      <c r="B11" s="319"/>
      <c r="C11" s="3" t="s">
        <v>5</v>
      </c>
      <c r="D11" s="3" t="s">
        <v>358</v>
      </c>
      <c r="E11" s="16">
        <f>VLOOKUP($D11,Résultats!$B$2:$AX$476,E$5,FALSE)</f>
        <v>118.4724703</v>
      </c>
      <c r="F11" s="16">
        <f>VLOOKUP($D11,Résultats!$B$2:$AX$476,F$5,FALSE)</f>
        <v>129.76890750000001</v>
      </c>
      <c r="G11" s="22">
        <f>VLOOKUP($D11,Résultats!$B$2:$AX$476,G$5,FALSE)</f>
        <v>118.4848916</v>
      </c>
      <c r="H11" s="16">
        <f>VLOOKUP($D11,Résultats!$B$2:$AX$476,H$5,FALSE)</f>
        <v>113.8474648</v>
      </c>
      <c r="I11" s="86">
        <f>VLOOKUP($D11,Résultats!$B$2:$AX$476,I$5,FALSE)</f>
        <v>109.2008305</v>
      </c>
      <c r="J11" s="22">
        <f>VLOOKUP($D11,Résultats!$B$2:$AX$476,J$5,FALSE)</f>
        <v>107.1350743</v>
      </c>
      <c r="K11" s="16">
        <f>VLOOKUP($D11,Résultats!$B$2:$AX$476,K$5,FALSE)</f>
        <v>105.45770280000001</v>
      </c>
      <c r="L11" s="16">
        <f>VLOOKUP($D11,Résultats!$B$2:$AX$476,L$5,FALSE)</f>
        <v>102.8808789</v>
      </c>
      <c r="M11" s="16">
        <f>VLOOKUP($D11,Résultats!$B$2:$AX$476,M$5,FALSE)</f>
        <v>111.59752109999999</v>
      </c>
      <c r="N11" s="86">
        <f>VLOOKUP($D11,Résultats!$B$2:$AX$476,N$5,FALSE)</f>
        <v>118.7541322</v>
      </c>
      <c r="O11" s="22">
        <f>VLOOKUP($D11,Résultats!$B$2:$AX$476,O$5,FALSE)</f>
        <v>117.0483292</v>
      </c>
      <c r="P11" s="16">
        <f>VLOOKUP($D11,Résultats!$B$2:$AX$476,P$5,FALSE)</f>
        <v>115.1337961</v>
      </c>
      <c r="Q11" s="16">
        <f>VLOOKUP($D11,Résultats!$B$2:$AX$476,Q$5,FALSE)</f>
        <v>113.1692439</v>
      </c>
      <c r="R11" s="16">
        <f>VLOOKUP($D11,Résultats!$B$2:$AX$476,R$5,FALSE)</f>
        <v>111.70641190000001</v>
      </c>
      <c r="S11" s="86">
        <f>VLOOKUP($D11,Résultats!$B$2:$AX$476,S$5,FALSE)</f>
        <v>110.3823939</v>
      </c>
      <c r="T11" s="95">
        <f>VLOOKUP($D11,Résultats!$B$2:$AX$476,T$5,FALSE)</f>
        <v>89.749189389999998</v>
      </c>
      <c r="U11" s="95">
        <f>VLOOKUP($D11,Résultats!$B$2:$AX$476,U$5,FALSE)</f>
        <v>87.121995479999995</v>
      </c>
      <c r="V11" s="95">
        <f>VLOOKUP($D11,Résultats!$B$2:$AX$476,V$5,FALSE)</f>
        <v>69.087899120000003</v>
      </c>
      <c r="W11" s="95">
        <f>VLOOKUP($D11,Résultats!$B$2:$AX$476,W$5,FALSE)</f>
        <v>52.05140059</v>
      </c>
      <c r="X11" s="45">
        <f>W11-'[1]Cibles THREEME'!$H10</f>
        <v>49.393697158435863</v>
      </c>
      <c r="Y11" s="75"/>
      <c r="Z11" s="75"/>
      <c r="AA11" s="75"/>
      <c r="AB11" s="75"/>
      <c r="AC11" s="75"/>
    </row>
    <row r="12" spans="1:29" x14ac:dyDescent="0.25">
      <c r="A12" s="3"/>
      <c r="B12" s="319"/>
      <c r="C12" s="3" t="s">
        <v>6</v>
      </c>
      <c r="D12" s="3" t="s">
        <v>359</v>
      </c>
      <c r="E12" s="16">
        <f>VLOOKUP($D12,Résultats!$B$2:$AX$476,E$5,FALSE)</f>
        <v>1.3210359140000001</v>
      </c>
      <c r="F12" s="16">
        <f>VLOOKUP($D12,Résultats!$B$2:$AX$476,F$5,FALSE)</f>
        <v>0.78813533049999995</v>
      </c>
      <c r="G12" s="22">
        <f>VLOOKUP($D12,Résultats!$B$2:$AX$476,G$5,FALSE)</f>
        <v>0.52850563390000005</v>
      </c>
      <c r="H12" s="16">
        <f>VLOOKUP($D12,Résultats!$B$2:$AX$476,H$5,FALSE)</f>
        <v>0.4372770111</v>
      </c>
      <c r="I12" s="86">
        <f>VLOOKUP($D12,Résultats!$B$2:$AX$476,I$5,FALSE)</f>
        <v>0.34627987339999999</v>
      </c>
      <c r="J12" s="22">
        <f>VLOOKUP($D12,Résultats!$B$2:$AX$476,J$5,FALSE)</f>
        <v>0.45074561619999998</v>
      </c>
      <c r="K12" s="16">
        <f>VLOOKUP($D12,Résultats!$B$2:$AX$476,K$5,FALSE)</f>
        <v>0.55608676749999997</v>
      </c>
      <c r="L12" s="16">
        <f>VLOOKUP($D12,Résultats!$B$2:$AX$476,L$5,FALSE)</f>
        <v>0.65534672810000005</v>
      </c>
      <c r="M12" s="16">
        <f>VLOOKUP($D12,Résultats!$B$2:$AX$476,M$5,FALSE)</f>
        <v>0.39209358519999998</v>
      </c>
      <c r="N12" s="86">
        <f>VLOOKUP($D12,Résultats!$B$2:$AX$476,N$5,FALSE)</f>
        <v>0.1872919495</v>
      </c>
      <c r="O12" s="22">
        <f>VLOOKUP($D12,Résultats!$B$2:$AX$476,O$5,FALSE)</f>
        <v>0.17390114039999999</v>
      </c>
      <c r="P12" s="16">
        <f>VLOOKUP($D12,Résultats!$B$2:$AX$476,P$5,FALSE)</f>
        <v>0.14204850050000001</v>
      </c>
      <c r="Q12" s="16">
        <f>VLOOKUP($D12,Résultats!$B$2:$AX$476,Q$5,FALSE)</f>
        <v>9.2733953399999999E-2</v>
      </c>
      <c r="R12" s="16">
        <f>VLOOKUP($D12,Résultats!$B$2:$AX$476,R$5,FALSE)</f>
        <v>8.29586769E-2</v>
      </c>
      <c r="S12" s="86">
        <f>VLOOKUP($D12,Résultats!$B$2:$AX$476,S$5,FALSE)</f>
        <v>7.3322094700000007E-2</v>
      </c>
      <c r="T12" s="95">
        <f>VLOOKUP($D12,Résultats!$B$2:$AX$476,T$5,FALSE)</f>
        <v>6.1926859100000002E-2</v>
      </c>
      <c r="U12" s="95">
        <f>VLOOKUP($D12,Résultats!$B$2:$AX$476,U$5,FALSE)</f>
        <v>1.2830867500000001E-2</v>
      </c>
      <c r="V12" s="95">
        <f>VLOOKUP($D12,Résultats!$B$2:$AX$476,V$5,FALSE)</f>
        <v>7.7021243399999998E-3</v>
      </c>
      <c r="W12" s="95">
        <f>VLOOKUP($D12,Résultats!$B$2:$AX$476,W$5,FALSE)</f>
        <v>7.4177752600000004E-3</v>
      </c>
      <c r="X12" s="45">
        <f>W12-'[1]Cibles THREEME'!$H11</f>
        <v>7.4177752600000004E-3</v>
      </c>
      <c r="Y12" s="75"/>
      <c r="Z12" s="200"/>
      <c r="AA12" s="188"/>
      <c r="AB12" s="188"/>
      <c r="AC12" s="188"/>
    </row>
    <row r="13" spans="1:29" x14ac:dyDescent="0.25">
      <c r="A13" s="3"/>
      <c r="B13" s="319"/>
      <c r="C13" s="3" t="s">
        <v>7</v>
      </c>
      <c r="D13" s="3" t="s">
        <v>360</v>
      </c>
      <c r="E13" s="16">
        <f>VLOOKUP($D13,Résultats!$B$2:$AX$476,E$5,FALSE)</f>
        <v>3.5861750990000001</v>
      </c>
      <c r="F13" s="16">
        <f>VLOOKUP($D13,Résultats!$B$2:$AX$476,F$5,FALSE)</f>
        <v>4.2850458189999996</v>
      </c>
      <c r="G13" s="22">
        <f>VLOOKUP($D13,Résultats!$B$2:$AX$476,G$5,FALSE)</f>
        <v>5.3965378199999998</v>
      </c>
      <c r="H13" s="16">
        <f>VLOOKUP($D13,Résultats!$B$2:$AX$476,H$5,FALSE)</f>
        <v>5.7390882369999998</v>
      </c>
      <c r="I13" s="86">
        <f>VLOOKUP($D13,Résultats!$B$2:$AX$476,I$5,FALSE)</f>
        <v>6.0820907369999997</v>
      </c>
      <c r="J13" s="22">
        <f>VLOOKUP($D13,Résultats!$B$2:$AX$476,J$5,FALSE)</f>
        <v>5.7800069499999998</v>
      </c>
      <c r="K13" s="16">
        <f>VLOOKUP($D13,Résultats!$B$2:$AX$476,K$5,FALSE)</f>
        <v>5.49820916</v>
      </c>
      <c r="L13" s="16">
        <f>VLOOKUP($D13,Résultats!$B$2:$AX$476,L$5,FALSE)</f>
        <v>5.1698632130000002</v>
      </c>
      <c r="M13" s="16">
        <f>VLOOKUP($D13,Résultats!$B$2:$AX$476,M$5,FALSE)</f>
        <v>5.8926728989999999</v>
      </c>
      <c r="N13" s="86">
        <f>VLOOKUP($D13,Résultats!$B$2:$AX$476,N$5,FALSE)</f>
        <v>6.5320925450000002</v>
      </c>
      <c r="O13" s="22">
        <f>VLOOKUP($D13,Résultats!$B$2:$AX$476,O$5,FALSE)</f>
        <v>6.2792380950000002</v>
      </c>
      <c r="P13" s="16">
        <f>VLOOKUP($D13,Résultats!$B$2:$AX$476,P$5,FALSE)</f>
        <v>6.0196726470000002</v>
      </c>
      <c r="Q13" s="16">
        <f>VLOOKUP($D13,Résultats!$B$2:$AX$476,Q$5,FALSE)</f>
        <v>5.762349317</v>
      </c>
      <c r="R13" s="16">
        <f>VLOOKUP($D13,Résultats!$B$2:$AX$476,R$5,FALSE)</f>
        <v>5.5396817399999998</v>
      </c>
      <c r="S13" s="86">
        <f>VLOOKUP($D13,Résultats!$B$2:$AX$476,S$5,FALSE)</f>
        <v>5.327082334</v>
      </c>
      <c r="T13" s="95">
        <f>VLOOKUP($D13,Résultats!$B$2:$AX$476,T$5,FALSE)</f>
        <v>3.423130757</v>
      </c>
      <c r="U13" s="95">
        <f>VLOOKUP($D13,Résultats!$B$2:$AX$476,U$5,FALSE)</f>
        <v>0.37475327470000003</v>
      </c>
      <c r="V13" s="95">
        <f>VLOOKUP($D13,Résultats!$B$2:$AX$476,V$5,FALSE)</f>
        <v>0.46665333990000002</v>
      </c>
      <c r="W13" s="95">
        <f>VLOOKUP($D13,Résultats!$B$2:$AX$476,W$5,FALSE)</f>
        <v>0.52863514659999999</v>
      </c>
      <c r="X13" s="45">
        <f>W13-'[1]Cibles THREEME'!$H12</f>
        <v>-1.7642854610239604</v>
      </c>
      <c r="Y13" s="75"/>
    </row>
    <row r="14" spans="1:29" x14ac:dyDescent="0.25">
      <c r="A14" s="3"/>
      <c r="B14" s="319"/>
      <c r="C14" s="3" t="s">
        <v>8</v>
      </c>
      <c r="D14" s="3" t="s">
        <v>361</v>
      </c>
      <c r="E14" s="16">
        <f>VLOOKUP($D14,Résultats!$B$2:$AX$476,E$5,FALSE)</f>
        <v>5.263975168</v>
      </c>
      <c r="F14" s="16">
        <f>VLOOKUP($D14,Résultats!$B$2:$AX$476,F$5,FALSE)</f>
        <v>3.4168409909999999</v>
      </c>
      <c r="G14" s="22">
        <f>VLOOKUP($D14,Résultats!$B$2:$AX$476,G$5,FALSE)</f>
        <v>1.9590989029999999</v>
      </c>
      <c r="H14" s="16">
        <f>VLOOKUP($D14,Résultats!$B$2:$AX$476,H$5,FALSE)</f>
        <v>1.455575847</v>
      </c>
      <c r="I14" s="86">
        <f>VLOOKUP($D14,Résultats!$B$2:$AX$476,I$5,FALSE)</f>
        <v>0.95436361020000005</v>
      </c>
      <c r="J14" s="22">
        <f>VLOOKUP($D14,Résultats!$B$2:$AX$476,J$5,FALSE)</f>
        <v>0.90709861540000003</v>
      </c>
      <c r="K14" s="16">
        <f>VLOOKUP($D14,Résultats!$B$2:$AX$476,K$5,FALSE)</f>
        <v>0.86294362309999995</v>
      </c>
      <c r="L14" s="16">
        <f>VLOOKUP($D14,Résultats!$B$2:$AX$476,L$5,FALSE)</f>
        <v>0.81140992749999996</v>
      </c>
      <c r="M14" s="16">
        <f>VLOOKUP($D14,Résultats!$B$2:$AX$476,M$5,FALSE)</f>
        <v>0.33527489300000002</v>
      </c>
      <c r="N14" s="86">
        <f>VLOOKUP($D14,Résultats!$B$2:$AX$476,N$5,FALSE)</f>
        <v>6.2761401100000003E-2</v>
      </c>
      <c r="O14" s="22">
        <f>VLOOKUP($D14,Résultats!$B$2:$AX$476,O$5,FALSE)</f>
        <v>4.8297968099999998E-2</v>
      </c>
      <c r="P14" s="16">
        <f>VLOOKUP($D14,Résultats!$B$2:$AX$476,P$5,FALSE)</f>
        <v>3.4064895400000003E-2</v>
      </c>
      <c r="Q14" s="16">
        <f>VLOOKUP($D14,Résultats!$B$2:$AX$476,Q$5,FALSE)</f>
        <v>2.0167727999999999E-2</v>
      </c>
      <c r="R14" s="16">
        <f>VLOOKUP($D14,Résultats!$B$2:$AX$476,R$5,FALSE)</f>
        <v>1.9987733399999999E-2</v>
      </c>
      <c r="S14" s="86">
        <f>VLOOKUP($D14,Résultats!$B$2:$AX$476,S$5,FALSE)</f>
        <v>1.9831085200000001E-2</v>
      </c>
      <c r="T14" s="95">
        <f>VLOOKUP($D14,Résultats!$B$2:$AX$476,T$5,FALSE)</f>
        <v>8.3967756300000005E-3</v>
      </c>
      <c r="U14" s="95">
        <f>VLOOKUP($D14,Résultats!$B$2:$AX$476,U$5,FALSE)</f>
        <v>8.0259192299999907E-3</v>
      </c>
      <c r="V14" s="95">
        <f>VLOOKUP($D14,Résultats!$B$2:$AX$476,V$5,FALSE)</f>
        <v>7.7021243399999998E-3</v>
      </c>
      <c r="W14" s="95">
        <f>VLOOKUP($D14,Résultats!$B$2:$AX$476,W$5,FALSE)</f>
        <v>7.4177752600000004E-3</v>
      </c>
      <c r="X14" s="45">
        <f>W14-'[1]Cibles THREEME'!$H13</f>
        <v>7.4177752600000004E-3</v>
      </c>
      <c r="Y14" s="75"/>
    </row>
    <row r="15" spans="1:29" x14ac:dyDescent="0.25">
      <c r="A15" s="3"/>
      <c r="B15" s="319"/>
      <c r="C15" s="3" t="s">
        <v>9</v>
      </c>
      <c r="D15" s="3" t="s">
        <v>362</v>
      </c>
      <c r="E15" s="16">
        <f>VLOOKUP($D15,Résultats!$B$2:$AX$476,E$5,FALSE)</f>
        <v>0.36837996020000002</v>
      </c>
      <c r="F15" s="16">
        <f>VLOOKUP($D15,Résultats!$B$2:$AX$476,F$5,FALSE)</f>
        <v>2.616382422</v>
      </c>
      <c r="G15" s="22">
        <f>VLOOKUP($D15,Résultats!$B$2:$AX$476,G$5,FALSE)</f>
        <v>3.3935444440000002</v>
      </c>
      <c r="H15" s="16">
        <f>VLOOKUP($D15,Résultats!$B$2:$AX$476,H$5,FALSE)</f>
        <v>3.6388344190000002</v>
      </c>
      <c r="I15" s="86">
        <f>VLOOKUP($D15,Résultats!$B$2:$AX$476,I$5,FALSE)</f>
        <v>3.8860842459999998</v>
      </c>
      <c r="J15" s="22">
        <f>VLOOKUP($D15,Résultats!$B$2:$AX$476,J$5,FALSE)</f>
        <v>4.0511886209999997</v>
      </c>
      <c r="K15" s="16">
        <f>VLOOKUP($D15,Résultats!$B$2:$AX$476,K$5,FALSE)</f>
        <v>4.2301318339999998</v>
      </c>
      <c r="L15" s="16">
        <f>VLOOKUP($D15,Résultats!$B$2:$AX$476,L$5,FALSE)</f>
        <v>4.3708876659999998</v>
      </c>
      <c r="M15" s="16">
        <f>VLOOKUP($D15,Résultats!$B$2:$AX$476,M$5,FALSE)</f>
        <v>4.7886324089999999</v>
      </c>
      <c r="N15" s="86">
        <f>VLOOKUP($D15,Résultats!$B$2:$AX$476,N$5,FALSE)</f>
        <v>5.1334498420000001</v>
      </c>
      <c r="O15" s="22">
        <f>VLOOKUP($D15,Résultats!$B$2:$AX$476,O$5,FALSE)</f>
        <v>5.4385312859999999</v>
      </c>
      <c r="P15" s="16">
        <f>VLOOKUP($D15,Résultats!$B$2:$AX$476,P$5,FALSE)</f>
        <v>5.7255661269999996</v>
      </c>
      <c r="Q15" s="16">
        <f>VLOOKUP($D15,Résultats!$B$2:$AX$476,Q$5,FALSE)</f>
        <v>6.0007902629999998</v>
      </c>
      <c r="R15" s="16">
        <f>VLOOKUP($D15,Résultats!$B$2:$AX$476,R$5,FALSE)</f>
        <v>6.2826986939999996</v>
      </c>
      <c r="S15" s="86">
        <f>VLOOKUP($D15,Résultats!$B$2:$AX$476,S$5,FALSE)</f>
        <v>6.5668058169999997</v>
      </c>
      <c r="T15" s="95">
        <f>VLOOKUP($D15,Résultats!$B$2:$AX$476,T$5,FALSE)</f>
        <v>9.029347392</v>
      </c>
      <c r="U15" s="95">
        <f>VLOOKUP($D15,Résultats!$B$2:$AX$476,U$5,FALSE)</f>
        <v>11.894379349999999</v>
      </c>
      <c r="V15" s="95">
        <f>VLOOKUP($D15,Résultats!$B$2:$AX$476,V$5,FALSE)</f>
        <v>15.02397517</v>
      </c>
      <c r="W15" s="95">
        <f>VLOOKUP($D15,Résultats!$B$2:$AX$476,W$5,FALSE)</f>
        <v>17.96384531</v>
      </c>
      <c r="X15" s="45">
        <f>W15-'[1]Cibles THREEME'!$H14</f>
        <v>0.19084445015477414</v>
      </c>
      <c r="Y15" s="75"/>
    </row>
    <row r="16" spans="1:29" x14ac:dyDescent="0.25">
      <c r="A16" s="3"/>
      <c r="B16" s="319"/>
      <c r="C16" s="3" t="s">
        <v>10</v>
      </c>
      <c r="D16" s="3" t="s">
        <v>363</v>
      </c>
      <c r="E16" s="16">
        <f>VLOOKUP($D16,Résultats!$B$2:$AX$476,E$5,FALSE)</f>
        <v>8.2885491000000006E-2</v>
      </c>
      <c r="F16" s="16">
        <f>VLOOKUP($D16,Résultats!$B$2:$AX$476,F$5,FALSE)</f>
        <v>1.1530531509999999</v>
      </c>
      <c r="G16" s="22">
        <f>VLOOKUP($D16,Résultats!$B$2:$AX$476,G$5,FALSE)</f>
        <v>1.4955524389999999</v>
      </c>
      <c r="H16" s="16">
        <f>VLOOKUP($D16,Résultats!$B$2:$AX$476,H$5,FALSE)</f>
        <v>1.603652989</v>
      </c>
      <c r="I16" s="86">
        <f>VLOOKUP($D16,Résultats!$B$2:$AX$476,I$5,FALSE)</f>
        <v>1.7126172559999999</v>
      </c>
      <c r="J16" s="22">
        <f>VLOOKUP($D16,Résultats!$B$2:$AX$476,J$5,FALSE)</f>
        <v>1.760841514</v>
      </c>
      <c r="K16" s="16">
        <f>VLOOKUP($D16,Résultats!$B$2:$AX$476,K$5,FALSE)</f>
        <v>1.815168111</v>
      </c>
      <c r="L16" s="16">
        <f>VLOOKUP($D16,Résultats!$B$2:$AX$476,L$5,FALSE)</f>
        <v>1.853305894</v>
      </c>
      <c r="M16" s="16">
        <f>VLOOKUP($D16,Résultats!$B$2:$AX$476,M$5,FALSE)</f>
        <v>2.1924279640000002</v>
      </c>
      <c r="N16" s="86">
        <f>VLOOKUP($D16,Résultats!$B$2:$AX$476,N$5,FALSE)</f>
        <v>2.4996835279999998</v>
      </c>
      <c r="O16" s="22">
        <f>VLOOKUP($D16,Résultats!$B$2:$AX$476,O$5,FALSE)</f>
        <v>2.9311875399999998</v>
      </c>
      <c r="P16" s="16">
        <f>VLOOKUP($D16,Résultats!$B$2:$AX$476,P$5,FALSE)</f>
        <v>3.347206393</v>
      </c>
      <c r="Q16" s="16">
        <f>VLOOKUP($D16,Résultats!$B$2:$AX$476,Q$5,FALSE)</f>
        <v>3.7503082399999998</v>
      </c>
      <c r="R16" s="16">
        <f>VLOOKUP($D16,Résultats!$B$2:$AX$476,R$5,FALSE)</f>
        <v>4.1471739310000002</v>
      </c>
      <c r="S16" s="86">
        <f>VLOOKUP($D16,Résultats!$B$2:$AX$476,S$5,FALSE)</f>
        <v>4.5422950670000004</v>
      </c>
      <c r="T16" s="95">
        <f>VLOOKUP($D16,Résultats!$B$2:$AX$476,T$5,FALSE)</f>
        <v>5.8258716230000003</v>
      </c>
      <c r="U16" s="95">
        <f>VLOOKUP($D16,Résultats!$B$2:$AX$476,U$5,FALSE)</f>
        <v>6.9947908380000001</v>
      </c>
      <c r="V16" s="95">
        <f>VLOOKUP($D16,Résultats!$B$2:$AX$476,V$5,FALSE)</f>
        <v>8.3870387409999996</v>
      </c>
      <c r="W16" s="95">
        <f>VLOOKUP($D16,Résultats!$B$2:$AX$476,W$5,FALSE)</f>
        <v>9.3413418690000007</v>
      </c>
      <c r="X16" s="45">
        <f>W16-'[1]Cibles THREEME'!$H17</f>
        <v>-1.1487699108796203</v>
      </c>
      <c r="Y16" s="75"/>
    </row>
    <row r="17" spans="1:39" x14ac:dyDescent="0.25">
      <c r="A17" s="3"/>
      <c r="B17" s="319"/>
      <c r="C17" s="3" t="s">
        <v>11</v>
      </c>
      <c r="D17" s="3" t="s">
        <v>364</v>
      </c>
      <c r="E17" s="16">
        <f>VLOOKUP($D17,Résultats!$B$2:$AX$476,E$5,FALSE)</f>
        <v>4.6467107179999996</v>
      </c>
      <c r="F17" s="16">
        <f>VLOOKUP($D17,Résultats!$B$2:$AX$476,F$5,FALSE)</f>
        <v>3.413394099</v>
      </c>
      <c r="G17" s="22">
        <f>VLOOKUP($D17,Résultats!$B$2:$AX$476,G$5,FALSE)</f>
        <v>4.4449885939999998</v>
      </c>
      <c r="H17" s="16">
        <f>VLOOKUP($D17,Résultats!$B$2:$AX$476,H$5,FALSE)</f>
        <v>4.7725682860000003</v>
      </c>
      <c r="I17" s="86">
        <f>VLOOKUP($D17,Résultats!$B$2:$AX$476,I$5,FALSE)</f>
        <v>5.1035522240000004</v>
      </c>
      <c r="J17" s="22">
        <f>VLOOKUP($D17,Résultats!$B$2:$AX$476,J$5,FALSE)</f>
        <v>5.2986750220000003</v>
      </c>
      <c r="K17" s="16">
        <f>VLOOKUP($D17,Résultats!$B$2:$AX$476,K$5,FALSE)</f>
        <v>5.512237431</v>
      </c>
      <c r="L17" s="16">
        <f>VLOOKUP($D17,Résultats!$B$2:$AX$476,L$5,FALSE)</f>
        <v>5.6764702900000001</v>
      </c>
      <c r="M17" s="16">
        <f>VLOOKUP($D17,Résultats!$B$2:$AX$476,M$5,FALSE)</f>
        <v>5.8610037500000001</v>
      </c>
      <c r="N17" s="86">
        <f>VLOOKUP($D17,Résultats!$B$2:$AX$476,N$5,FALSE)</f>
        <v>5.9536470259999996</v>
      </c>
      <c r="O17" s="22">
        <f>VLOOKUP($D17,Résultats!$B$2:$AX$476,O$5,FALSE)</f>
        <v>5.925954333</v>
      </c>
      <c r="P17" s="16">
        <f>VLOOKUP($D17,Résultats!$B$2:$AX$476,P$5,FALSE)</f>
        <v>5.8863918660000003</v>
      </c>
      <c r="Q17" s="16">
        <f>VLOOKUP($D17,Résultats!$B$2:$AX$476,Q$5,FALSE)</f>
        <v>5.8428222170000002</v>
      </c>
      <c r="R17" s="16">
        <f>VLOOKUP($D17,Résultats!$B$2:$AX$476,R$5,FALSE)</f>
        <v>5.8193659330000003</v>
      </c>
      <c r="S17" s="86">
        <f>VLOOKUP($D17,Résultats!$B$2:$AX$476,S$5,FALSE)</f>
        <v>5.802252395</v>
      </c>
      <c r="T17" s="95">
        <f>VLOOKUP($D17,Résultats!$B$2:$AX$476,T$5,FALSE)</f>
        <v>5.1704372059999999</v>
      </c>
      <c r="U17" s="95">
        <f>VLOOKUP($D17,Résultats!$B$2:$AX$476,U$5,FALSE)</f>
        <v>4.811123995</v>
      </c>
      <c r="V17" s="95">
        <f>VLOOKUP($D17,Résultats!$B$2:$AX$476,V$5,FALSE)</f>
        <v>4.7585913560000002</v>
      </c>
      <c r="W17" s="95">
        <f>VLOOKUP($D17,Résultats!$B$2:$AX$476,W$5,FALSE)</f>
        <v>4.5529204439999997</v>
      </c>
      <c r="X17" s="45">
        <f>W17-'[1]Cibles THREEME'!$H18</f>
        <v>-0.9070967529045566</v>
      </c>
      <c r="Y17" s="75"/>
    </row>
    <row r="18" spans="1:39" x14ac:dyDescent="0.25">
      <c r="A18" s="3"/>
      <c r="B18" s="320"/>
      <c r="C18" s="7" t="s">
        <v>12</v>
      </c>
      <c r="D18" s="3" t="s">
        <v>365</v>
      </c>
      <c r="E18" s="17">
        <f>VLOOKUP($D18,Résultats!$B$2:$AX$476,E$5,FALSE)</f>
        <v>1.46972149</v>
      </c>
      <c r="F18" s="17">
        <f>VLOOKUP($D18,Résultats!$B$2:$AX$476,F$5,FALSE)</f>
        <v>4.059190203</v>
      </c>
      <c r="G18" s="88">
        <f>VLOOKUP($D18,Résultats!$B$2:$AX$476,G$5,FALSE)</f>
        <v>3.3185126989999998</v>
      </c>
      <c r="H18" s="17">
        <f>VLOOKUP($D18,Résultats!$B$2:$AX$476,H$5,FALSE)</f>
        <v>3.0485188459999999</v>
      </c>
      <c r="I18" s="89">
        <f>VLOOKUP($D18,Résultats!$B$2:$AX$476,I$5,FALSE)</f>
        <v>2.780342053</v>
      </c>
      <c r="J18" s="88">
        <f>VLOOKUP($D18,Résultats!$B$2:$AX$476,J$5,FALSE)</f>
        <v>2.911056833</v>
      </c>
      <c r="K18" s="17">
        <f>VLOOKUP($D18,Résultats!$B$2:$AX$476,K$5,FALSE)</f>
        <v>3.0525725480000001</v>
      </c>
      <c r="L18" s="17">
        <f>VLOOKUP($D18,Résultats!$B$2:$AX$476,L$5,FALSE)</f>
        <v>3.1673146550000002</v>
      </c>
      <c r="M18" s="17">
        <f>VLOOKUP($D18,Résultats!$B$2:$AX$476,M$5,FALSE)</f>
        <v>3.5115914689999999</v>
      </c>
      <c r="N18" s="89">
        <f>VLOOKUP($D18,Résultats!$B$2:$AX$476,N$5,FALSE)</f>
        <v>3.696268425</v>
      </c>
      <c r="O18" s="88">
        <f>VLOOKUP($D18,Résultats!$B$2:$AX$476,O$5,FALSE)</f>
        <v>3.514272235</v>
      </c>
      <c r="P18" s="17">
        <f>VLOOKUP($D18,Résultats!$B$2:$AX$476,P$5,FALSE)</f>
        <v>3.3318015519999999</v>
      </c>
      <c r="Q18" s="17">
        <f>VLOOKUP($D18,Résultats!$B$2:$AX$476,Q$5,FALSE)</f>
        <v>3.153891416</v>
      </c>
      <c r="R18" s="17">
        <f>VLOOKUP($D18,Résultats!$B$2:$AX$476,R$5,FALSE)</f>
        <v>3.002560516</v>
      </c>
      <c r="S18" s="89">
        <f>VLOOKUP($D18,Résultats!$B$2:$AX$476,S$5,FALSE)</f>
        <v>2.8591883010000001</v>
      </c>
      <c r="T18" s="97">
        <f>VLOOKUP($D18,Résultats!$B$2:$AX$476,T$5,FALSE)</f>
        <v>2.47550516</v>
      </c>
      <c r="U18" s="97">
        <f>VLOOKUP($D18,Résultats!$B$2:$AX$476,U$5,FALSE)</f>
        <v>2.5320693649999999</v>
      </c>
      <c r="V18" s="97">
        <f>VLOOKUP($D18,Résultats!$B$2:$AX$476,V$5,FALSE)</f>
        <v>2.4409646280000001</v>
      </c>
      <c r="W18" s="97">
        <f>VLOOKUP($D18,Résultats!$B$2:$AX$476,W$5,FALSE)</f>
        <v>2.340727448</v>
      </c>
      <c r="X18" s="45">
        <f>W18-'[1]Cibles THREEME'!$H19</f>
        <v>1.1786004343695178</v>
      </c>
      <c r="Y18" s="75"/>
    </row>
    <row r="19" spans="1:39" ht="15" customHeight="1" x14ac:dyDescent="0.25">
      <c r="A19" s="3"/>
      <c r="B19" s="318" t="s">
        <v>53</v>
      </c>
      <c r="C19" s="5" t="s">
        <v>1</v>
      </c>
      <c r="D19" s="2"/>
      <c r="E19" s="6">
        <f>SUM(E20:E25)</f>
        <v>38.516186696399991</v>
      </c>
      <c r="F19" s="6">
        <f>SUM(F20:F25)</f>
        <v>39.559006188799998</v>
      </c>
      <c r="G19" s="84">
        <f t="shared" ref="G19:R19" si="3">SUM(G20:G25)</f>
        <v>37.816821104600002</v>
      </c>
      <c r="H19" s="6">
        <f t="shared" si="3"/>
        <v>36.396971876599991</v>
      </c>
      <c r="I19" s="85">
        <f t="shared" si="3"/>
        <v>35.786557094200006</v>
      </c>
      <c r="J19" s="84">
        <f t="shared" si="3"/>
        <v>35.401283463999995</v>
      </c>
      <c r="K19" s="6">
        <f t="shared" si="3"/>
        <v>35.102813802599997</v>
      </c>
      <c r="L19" s="6">
        <f t="shared" si="3"/>
        <v>35.173389766199996</v>
      </c>
      <c r="M19" s="6">
        <f t="shared" si="3"/>
        <v>34.247067206800004</v>
      </c>
      <c r="N19" s="85">
        <f t="shared" si="3"/>
        <v>33.4831058153</v>
      </c>
      <c r="O19" s="84">
        <f t="shared" si="3"/>
        <v>32.834682429400004</v>
      </c>
      <c r="P19" s="6">
        <f t="shared" si="3"/>
        <v>32.294579747500002</v>
      </c>
      <c r="Q19" s="6">
        <f t="shared" si="3"/>
        <v>31.730624864599999</v>
      </c>
      <c r="R19" s="6">
        <f t="shared" si="3"/>
        <v>30.805011561800004</v>
      </c>
      <c r="S19" s="85">
        <f>SUM(S20:S25)</f>
        <v>29.873049367299995</v>
      </c>
      <c r="T19" s="94">
        <f>SUM(T20:T25)</f>
        <v>27.573971772400004</v>
      </c>
      <c r="U19" s="94">
        <f>SUM(U20:U25)</f>
        <v>26.113449119899997</v>
      </c>
      <c r="V19" s="94">
        <f>SUM(V20:V25)</f>
        <v>25.389451641000001</v>
      </c>
      <c r="W19" s="94">
        <f>SUM(W20:W25)</f>
        <v>24.164372569999998</v>
      </c>
      <c r="X19" s="3"/>
      <c r="Y19" s="75"/>
    </row>
    <row r="20" spans="1:39" x14ac:dyDescent="0.25">
      <c r="A20" s="3"/>
      <c r="B20" s="319"/>
      <c r="C20" s="3" t="s">
        <v>13</v>
      </c>
      <c r="D20" s="3" t="s">
        <v>366</v>
      </c>
      <c r="E20" s="16">
        <f>VLOOKUP($D20,Résultats!$B$2:$AX$476,E$5,FALSE)</f>
        <v>35.359287029999997</v>
      </c>
      <c r="F20" s="16">
        <f>VLOOKUP($D20,Résultats!$B$2:$AX$476,F$5,FALSE)</f>
        <v>27.834732120000002</v>
      </c>
      <c r="G20" s="22">
        <f>VLOOKUP($D20,Résultats!$B$2:$AX$476,G$5,FALSE)</f>
        <v>26.166316909999999</v>
      </c>
      <c r="H20" s="16">
        <f>VLOOKUP($D20,Résultats!$B$2:$AX$476,H$5,FALSE)</f>
        <v>25.069344139999998</v>
      </c>
      <c r="I20" s="86">
        <f>VLOOKUP($D20,Résultats!$B$2:$AX$476,I$5,FALSE)</f>
        <v>24.549517210000001</v>
      </c>
      <c r="J20" s="22">
        <f>VLOOKUP($D20,Résultats!$B$2:$AX$476,J$5,FALSE)</f>
        <v>23.317250399999999</v>
      </c>
      <c r="K20" s="16">
        <f>VLOOKUP($D20,Résultats!$B$2:$AX$476,K$5,FALSE)</f>
        <v>22.136537300000001</v>
      </c>
      <c r="L20" s="16">
        <f>VLOOKUP($D20,Résultats!$B$2:$AX$476,L$5,FALSE)</f>
        <v>20.922506309999999</v>
      </c>
      <c r="M20" s="16">
        <f>VLOOKUP($D20,Résultats!$B$2:$AX$476,M$5,FALSE)</f>
        <v>20.252391970000001</v>
      </c>
      <c r="N20" s="86">
        <f>VLOOKUP($D20,Résultats!$B$2:$AX$476,N$5,FALSE)</f>
        <v>19.421250740000001</v>
      </c>
      <c r="O20" s="22">
        <f>VLOOKUP($D20,Résultats!$B$2:$AX$476,O$5,FALSE)</f>
        <v>18.24238999</v>
      </c>
      <c r="P20" s="16">
        <f>VLOOKUP($D20,Résultats!$B$2:$AX$476,P$5,FALSE)</f>
        <v>17.16272661</v>
      </c>
      <c r="Q20" s="16">
        <f>VLOOKUP($D20,Résultats!$B$2:$AX$476,Q$5,FALSE)</f>
        <v>16.10445503</v>
      </c>
      <c r="R20" s="16">
        <f>VLOOKUP($D20,Résultats!$B$2:$AX$476,R$5,FALSE)</f>
        <v>14.9319653</v>
      </c>
      <c r="S20" s="86">
        <f>VLOOKUP($D20,Résultats!$B$2:$AX$476,S$5,FALSE)</f>
        <v>13.802178809999999</v>
      </c>
      <c r="T20" s="95">
        <f>VLOOKUP($D20,Résultats!$B$2:$AX$476,T$5,FALSE)</f>
        <v>7.6332023060000003</v>
      </c>
      <c r="U20" s="95">
        <f>VLOOKUP($D20,Résultats!$B$2:$AX$476,U$5,FALSE)</f>
        <v>7.1122618089999996</v>
      </c>
      <c r="V20" s="95">
        <f>VLOOKUP($D20,Résultats!$B$2:$AX$476,V$5,FALSE)</f>
        <v>2.2531368980000002</v>
      </c>
      <c r="W20" s="95">
        <f>VLOOKUP($D20,Résultats!$B$2:$AX$476,W$5,FALSE)</f>
        <v>3.7726665540000002</v>
      </c>
      <c r="X20" s="45">
        <f>W20-'[1]Cibles THREEME'!$H28</f>
        <v>-1.6661161755594578</v>
      </c>
      <c r="Y20" s="75"/>
    </row>
    <row r="21" spans="1:39" x14ac:dyDescent="0.25">
      <c r="A21" s="3"/>
      <c r="B21" s="319"/>
      <c r="C21" s="3" t="s">
        <v>14</v>
      </c>
      <c r="D21" s="3" t="s">
        <v>367</v>
      </c>
      <c r="E21" s="16">
        <f>VLOOKUP($D21,Résultats!$B$2:$AX$476,E$5,FALSE)</f>
        <v>1.608611295</v>
      </c>
      <c r="F21" s="16">
        <f>VLOOKUP($D21,Résultats!$B$2:$AX$476,F$5,FALSE)</f>
        <v>7.0411191799999999</v>
      </c>
      <c r="G21" s="22">
        <f>VLOOKUP($D21,Résultats!$B$2:$AX$476,G$5,FALSE)</f>
        <v>6.9876733169999996</v>
      </c>
      <c r="H21" s="16">
        <f>VLOOKUP($D21,Résultats!$B$2:$AX$476,H$5,FALSE)</f>
        <v>6.8149874099999996</v>
      </c>
      <c r="I21" s="86">
        <f>VLOOKUP($D21,Résultats!$B$2:$AX$476,I$5,FALSE)</f>
        <v>6.792712377</v>
      </c>
      <c r="J21" s="22">
        <f>VLOOKUP($D21,Résultats!$B$2:$AX$476,J$5,FALSE)</f>
        <v>6.906570576</v>
      </c>
      <c r="K21" s="16">
        <f>VLOOKUP($D21,Résultats!$B$2:$AX$476,K$5,FALSE)</f>
        <v>7.0384943040000003</v>
      </c>
      <c r="L21" s="16">
        <f>VLOOKUP($D21,Résultats!$B$2:$AX$476,L$5,FALSE)</f>
        <v>7.4566850599999999</v>
      </c>
      <c r="M21" s="16">
        <f>VLOOKUP($D21,Résultats!$B$2:$AX$476,M$5,FALSE)</f>
        <v>7.0458848080000003</v>
      </c>
      <c r="N21" s="86">
        <f>VLOOKUP($D21,Résultats!$B$2:$AX$476,N$5,FALSE)</f>
        <v>6.8996367249999997</v>
      </c>
      <c r="O21" s="22">
        <f>VLOOKUP($D21,Résultats!$B$2:$AX$476,O$5,FALSE)</f>
        <v>6.8435115350000002</v>
      </c>
      <c r="P21" s="16">
        <f>VLOOKUP($D21,Résultats!$B$2:$AX$476,P$5,FALSE)</f>
        <v>6.8085694139999999</v>
      </c>
      <c r="Q21" s="16">
        <f>VLOOKUP($D21,Résultats!$B$2:$AX$476,Q$5,FALSE)</f>
        <v>6.7696948270000004</v>
      </c>
      <c r="R21" s="16">
        <f>VLOOKUP($D21,Résultats!$B$2:$AX$476,R$5,FALSE)</f>
        <v>6.673669683</v>
      </c>
      <c r="S21" s="86">
        <f>VLOOKUP($D21,Résultats!$B$2:$AX$476,S$5,FALSE)</f>
        <v>6.578109338</v>
      </c>
      <c r="T21" s="95">
        <f>VLOOKUP($D21,Résultats!$B$2:$AX$476,T$5,FALSE)</f>
        <v>7.6882889390000004</v>
      </c>
      <c r="U21" s="95">
        <f>VLOOKUP($D21,Résultats!$B$2:$AX$476,U$5,FALSE)</f>
        <v>6.038702797</v>
      </c>
      <c r="V21" s="95">
        <f>VLOOKUP($D21,Résultats!$B$2:$AX$476,V$5,FALSE)</f>
        <v>8.2001118000000002</v>
      </c>
      <c r="W21" s="95">
        <f>VLOOKUP($D21,Résultats!$B$2:$AX$476,W$5,FALSE)</f>
        <v>6.0151230360000003</v>
      </c>
      <c r="X21" s="45">
        <f>W21-'[1]Cibles THREEME'!$H29</f>
        <v>-5.8960627996686679</v>
      </c>
      <c r="Y21" s="75"/>
    </row>
    <row r="22" spans="1:39" x14ac:dyDescent="0.25">
      <c r="A22" s="3"/>
      <c r="B22" s="319"/>
      <c r="C22" s="3" t="s">
        <v>15</v>
      </c>
      <c r="D22" s="3" t="s">
        <v>368</v>
      </c>
      <c r="E22" s="16">
        <f>VLOOKUP($D22,Résultats!$B$2:$AX$476,E$5,FALSE)</f>
        <v>0.2010764119</v>
      </c>
      <c r="F22" s="16">
        <f>VLOOKUP($D22,Résultats!$B$2:$AX$476,F$5,FALSE)</f>
        <v>0.1190013798</v>
      </c>
      <c r="G22" s="22">
        <f>VLOOKUP($D22,Résultats!$B$2:$AX$476,G$5,FALSE)</f>
        <v>0.2856559971</v>
      </c>
      <c r="H22" s="16">
        <f>VLOOKUP($D22,Résultats!$B$2:$AX$476,H$5,FALSE)</f>
        <v>0.33047600440000002</v>
      </c>
      <c r="I22" s="86">
        <f>VLOOKUP($D22,Résultats!$B$2:$AX$476,I$5,FALSE)</f>
        <v>0.37988941679999999</v>
      </c>
      <c r="J22" s="22">
        <f>VLOOKUP($D22,Résultats!$B$2:$AX$476,J$5,FALSE)</f>
        <v>0.58598982619999995</v>
      </c>
      <c r="K22" s="16">
        <f>VLOOKUP($D22,Résultats!$B$2:$AX$476,K$5,FALSE)</f>
        <v>0.79495402140000004</v>
      </c>
      <c r="L22" s="16">
        <f>VLOOKUP($D22,Résultats!$B$2:$AX$476,L$5,FALSE)</f>
        <v>1.0285220369999999</v>
      </c>
      <c r="M22" s="16">
        <f>VLOOKUP($D22,Résultats!$B$2:$AX$476,M$5,FALSE)</f>
        <v>1.088065654</v>
      </c>
      <c r="N22" s="86">
        <f>VLOOKUP($D22,Résultats!$B$2:$AX$476,N$5,FALSE)</f>
        <v>1.155367689</v>
      </c>
      <c r="O22" s="22">
        <f>VLOOKUP($D22,Résultats!$B$2:$AX$476,O$5,FALSE)</f>
        <v>1.480817719</v>
      </c>
      <c r="P22" s="16">
        <f>VLOOKUP($D22,Résultats!$B$2:$AX$476,P$5,FALSE)</f>
        <v>1.793088351</v>
      </c>
      <c r="Q22" s="16">
        <f>VLOOKUP($D22,Résultats!$B$2:$AX$476,Q$5,FALSE)</f>
        <v>2.0870978930000001</v>
      </c>
      <c r="R22" s="16">
        <f>VLOOKUP($D22,Résultats!$B$2:$AX$476,R$5,FALSE)</f>
        <v>2.2914919980000001</v>
      </c>
      <c r="S22" s="86">
        <f>VLOOKUP($D22,Résultats!$B$2:$AX$476,S$5,FALSE)</f>
        <v>2.4742120550000002</v>
      </c>
      <c r="T22" s="95">
        <f>VLOOKUP($D22,Résultats!$B$2:$AX$476,T$5,FALSE)</f>
        <v>4.1406477639999997</v>
      </c>
      <c r="U22" s="95">
        <f>VLOOKUP($D22,Résultats!$B$2:$AX$476,U$5,FALSE)</f>
        <v>5.2685447380000001</v>
      </c>
      <c r="V22" s="95">
        <f>VLOOKUP($D22,Résultats!$B$2:$AX$476,V$5,FALSE)</f>
        <v>6.3471014019999998</v>
      </c>
      <c r="W22" s="95">
        <f>VLOOKUP($D22,Résultats!$B$2:$AX$476,W$5,FALSE)</f>
        <v>6.9299889410000004</v>
      </c>
      <c r="X22" s="45">
        <f>W22-'[1]Cibles THREEME'!$H30</f>
        <v>-5.3956203715252711</v>
      </c>
      <c r="Y22" s="75"/>
      <c r="Z22" s="75"/>
      <c r="AA22" s="75"/>
    </row>
    <row r="23" spans="1:39" x14ac:dyDescent="0.25">
      <c r="A23" s="3"/>
      <c r="B23" s="319"/>
      <c r="C23" s="3" t="s">
        <v>16</v>
      </c>
      <c r="D23" s="3" t="s">
        <v>369</v>
      </c>
      <c r="E23" s="16">
        <f>VLOOKUP($D23,Résultats!$B$2:$AX$476,E$5,FALSE)</f>
        <v>0.74398272389999998</v>
      </c>
      <c r="F23" s="16">
        <f>VLOOKUP($D23,Résultats!$B$2:$AX$476,F$5,FALSE)</f>
        <v>0.59907667880000004</v>
      </c>
      <c r="G23" s="22">
        <f>VLOOKUP($D23,Résultats!$B$2:$AX$476,G$5,FALSE)</f>
        <v>1.217362949</v>
      </c>
      <c r="H23" s="16">
        <f>VLOOKUP($D23,Résultats!$B$2:$AX$476,H$5,FALSE)</f>
        <v>1.3404486710000001</v>
      </c>
      <c r="I23" s="86">
        <f>VLOOKUP($D23,Résultats!$B$2:$AX$476,I$5,FALSE)</f>
        <v>1.465607573</v>
      </c>
      <c r="J23" s="22">
        <f>VLOOKUP($D23,Résultats!$B$2:$AX$476,J$5,FALSE)</f>
        <v>1.4994942950000001</v>
      </c>
      <c r="K23" s="16">
        <f>VLOOKUP($D23,Résultats!$B$2:$AX$476,K$5,FALSE)</f>
        <v>1.5366182399999999</v>
      </c>
      <c r="L23" s="16">
        <f>VLOOKUP($D23,Résultats!$B$2:$AX$476,L$5,FALSE)</f>
        <v>1.5968495009999999</v>
      </c>
      <c r="M23" s="16">
        <f>VLOOKUP($D23,Résultats!$B$2:$AX$476,M$5,FALSE)</f>
        <v>1.33098432</v>
      </c>
      <c r="N23" s="86">
        <f>VLOOKUP($D23,Résultats!$B$2:$AX$476,N$5,FALSE)</f>
        <v>1.132235366</v>
      </c>
      <c r="O23" s="22">
        <f>VLOOKUP($D23,Résultats!$B$2:$AX$476,O$5,FALSE)</f>
        <v>1.144769385</v>
      </c>
      <c r="P23" s="16">
        <f>VLOOKUP($D23,Résultats!$B$2:$AX$476,P$5,FALSE)</f>
        <v>1.1593030769999999</v>
      </c>
      <c r="Q23" s="16">
        <f>VLOOKUP($D23,Résultats!$B$2:$AX$476,Q$5,FALSE)</f>
        <v>1.1714353930000001</v>
      </c>
      <c r="R23" s="16">
        <f>VLOOKUP($D23,Résultats!$B$2:$AX$476,R$5,FALSE)</f>
        <v>1.159858864</v>
      </c>
      <c r="S23" s="86">
        <f>VLOOKUP($D23,Résultats!$B$2:$AX$476,S$5,FALSE)</f>
        <v>1.1466575320000001</v>
      </c>
      <c r="T23" s="95">
        <f>VLOOKUP($D23,Résultats!$B$2:$AX$476,T$5,FALSE)</f>
        <v>1.162317853</v>
      </c>
      <c r="U23" s="95">
        <f>VLOOKUP($D23,Résultats!$B$2:$AX$476,U$5,FALSE)</f>
        <v>0.95824748209999999</v>
      </c>
      <c r="V23" s="95">
        <f>VLOOKUP($D23,Résultats!$B$2:$AX$476,V$5,FALSE)</f>
        <v>1.1104234980000001</v>
      </c>
      <c r="W23" s="95">
        <f>VLOOKUP($D23,Résultats!$B$2:$AX$476,W$5,FALSE)</f>
        <v>0.84754388790000001</v>
      </c>
      <c r="X23" s="45">
        <f>W23-'[1]Cibles THREEME'!$H31</f>
        <v>5.6023343892782851E-2</v>
      </c>
      <c r="Y23" s="75"/>
      <c r="Z23" s="75"/>
      <c r="AA23" s="75"/>
    </row>
    <row r="24" spans="1:39" x14ac:dyDescent="0.25">
      <c r="A24" s="3"/>
      <c r="B24" s="319"/>
      <c r="C24" s="3" t="s">
        <v>17</v>
      </c>
      <c r="D24" s="3" t="s">
        <v>370</v>
      </c>
      <c r="E24" s="16">
        <f>VLOOKUP($D24,Résultats!$B$2:$AX$476,E$5,FALSE)</f>
        <v>0.2010764119</v>
      </c>
      <c r="F24" s="16">
        <f>VLOOKUP($D24,Résultats!$B$2:$AX$476,F$5,FALSE)</f>
        <v>0.20230992719999999</v>
      </c>
      <c r="G24" s="22">
        <f>VLOOKUP($D24,Résultats!$B$2:$AX$476,G$5,FALSE)</f>
        <v>0.2874068005</v>
      </c>
      <c r="H24" s="16">
        <f>VLOOKUP($D24,Résultats!$B$2:$AX$476,H$5,FALSE)</f>
        <v>0.30712736019999998</v>
      </c>
      <c r="I24" s="86">
        <f>VLOOKUP($D24,Résultats!$B$2:$AX$476,I$5,FALSE)</f>
        <v>0.33223021740000003</v>
      </c>
      <c r="J24" s="22">
        <f>VLOOKUP($D24,Résultats!$B$2:$AX$476,J$5,FALSE)</f>
        <v>0.39156071780000001</v>
      </c>
      <c r="K24" s="16">
        <f>VLOOKUP($D24,Résultats!$B$2:$AX$476,K$5,FALSE)</f>
        <v>0.45227369020000002</v>
      </c>
      <c r="L24" s="16">
        <f>VLOOKUP($D24,Résultats!$B$2:$AX$476,L$5,FALSE)</f>
        <v>0.54026796720000003</v>
      </c>
      <c r="M24" s="16">
        <f>VLOOKUP($D24,Résultats!$B$2:$AX$476,M$5,FALSE)</f>
        <v>0.5062335348</v>
      </c>
      <c r="N24" s="86">
        <f>VLOOKUP($D24,Résultats!$B$2:$AX$476,N$5,FALSE)</f>
        <v>0.50171536930000005</v>
      </c>
      <c r="O24" s="22">
        <f>VLOOKUP($D24,Résultats!$B$2:$AX$476,O$5,FALSE)</f>
        <v>0.53352756639999999</v>
      </c>
      <c r="P24" s="16">
        <f>VLOOKUP($D24,Résultats!$B$2:$AX$476,P$5,FALSE)</f>
        <v>0.56519469150000001</v>
      </c>
      <c r="Q24" s="16">
        <f>VLOOKUP($D24,Résultats!$B$2:$AX$476,Q$5,FALSE)</f>
        <v>0.59489092259999998</v>
      </c>
      <c r="R24" s="16">
        <f>VLOOKUP($D24,Résultats!$B$2:$AX$476,R$5,FALSE)</f>
        <v>0.61910164180000005</v>
      </c>
      <c r="S24" s="86">
        <f>VLOOKUP($D24,Résultats!$B$2:$AX$476,S$5,FALSE)</f>
        <v>0.64082717229999997</v>
      </c>
      <c r="T24" s="95">
        <f>VLOOKUP($D24,Résultats!$B$2:$AX$476,T$5,FALSE)</f>
        <v>0.99946951640000004</v>
      </c>
      <c r="U24" s="95">
        <f>VLOOKUP($D24,Résultats!$B$2:$AX$476,U$5,FALSE)</f>
        <v>0.83859796480000004</v>
      </c>
      <c r="V24" s="95">
        <f>VLOOKUP($D24,Résultats!$B$2:$AX$476,V$5,FALSE)</f>
        <v>1.1511043910000001</v>
      </c>
      <c r="W24" s="95">
        <f>VLOOKUP($D24,Résultats!$B$2:$AX$476,W$5,FALSE)</f>
        <v>0.89309429809999996</v>
      </c>
      <c r="X24" s="45">
        <f>W24-'[1]Cibles THREEME'!$H32</f>
        <v>0.6351407297423044</v>
      </c>
      <c r="Y24" s="75"/>
      <c r="Z24" s="75"/>
      <c r="AA24" s="75"/>
    </row>
    <row r="25" spans="1:39" x14ac:dyDescent="0.25">
      <c r="A25" s="3"/>
      <c r="B25" s="320"/>
      <c r="C25" s="7" t="s">
        <v>12</v>
      </c>
      <c r="D25" s="3" t="s">
        <v>371</v>
      </c>
      <c r="E25" s="17">
        <f>VLOOKUP($D25,Résultats!$B$2:$AX$476,E$5,FALSE)</f>
        <v>0.4021528237</v>
      </c>
      <c r="F25" s="17">
        <f>VLOOKUP($D25,Résultats!$B$2:$AX$476,F$5,FALSE)</f>
        <v>3.7627669030000002</v>
      </c>
      <c r="G25" s="88">
        <f>VLOOKUP($D25,Résultats!$B$2:$AX$476,G$5,FALSE)</f>
        <v>2.8724051309999998</v>
      </c>
      <c r="H25" s="17">
        <f>VLOOKUP($D25,Résultats!$B$2:$AX$476,H$5,FALSE)</f>
        <v>2.5345882909999999</v>
      </c>
      <c r="I25" s="89">
        <f>VLOOKUP($D25,Résultats!$B$2:$AX$476,I$5,FALSE)</f>
        <v>2.2666002999999999</v>
      </c>
      <c r="J25" s="88">
        <f>VLOOKUP($D25,Résultats!$B$2:$AX$476,J$5,FALSE)</f>
        <v>2.7004176489999998</v>
      </c>
      <c r="K25" s="17">
        <f>VLOOKUP($D25,Résultats!$B$2:$AX$476,K$5,FALSE)</f>
        <v>3.1439362470000001</v>
      </c>
      <c r="L25" s="17">
        <f>VLOOKUP($D25,Résultats!$B$2:$AX$476,L$5,FALSE)</f>
        <v>3.628558891</v>
      </c>
      <c r="M25" s="17">
        <f>VLOOKUP($D25,Résultats!$B$2:$AX$476,M$5,FALSE)</f>
        <v>4.02350692</v>
      </c>
      <c r="N25" s="89">
        <f>VLOOKUP($D25,Résultats!$B$2:$AX$476,N$5,FALSE)</f>
        <v>4.3728999259999997</v>
      </c>
      <c r="O25" s="88">
        <f>VLOOKUP($D25,Résultats!$B$2:$AX$476,O$5,FALSE)</f>
        <v>4.5896662340000001</v>
      </c>
      <c r="P25" s="17">
        <f>VLOOKUP($D25,Résultats!$B$2:$AX$476,P$5,FALSE)</f>
        <v>4.8056976039999997</v>
      </c>
      <c r="Q25" s="17">
        <f>VLOOKUP($D25,Résultats!$B$2:$AX$476,Q$5,FALSE)</f>
        <v>5.0030507990000004</v>
      </c>
      <c r="R25" s="17">
        <f>VLOOKUP($D25,Résultats!$B$2:$AX$476,R$5,FALSE)</f>
        <v>5.1289240749999996</v>
      </c>
      <c r="S25" s="89">
        <f>VLOOKUP($D25,Résultats!$B$2:$AX$476,S$5,FALSE)</f>
        <v>5.2310644599999998</v>
      </c>
      <c r="T25" s="97">
        <f>VLOOKUP($D25,Résultats!$B$2:$AX$476,T$5,FALSE)</f>
        <v>5.950045394</v>
      </c>
      <c r="U25" s="97">
        <f>VLOOKUP($D25,Résultats!$B$2:$AX$476,U$5,FALSE)</f>
        <v>5.8970943289999997</v>
      </c>
      <c r="V25" s="97">
        <f>VLOOKUP($D25,Résultats!$B$2:$AX$476,V$5,FALSE)</f>
        <v>6.3275736519999999</v>
      </c>
      <c r="W25" s="97">
        <f>VLOOKUP($D25,Résultats!$B$2:$AX$476,W$5,FALSE)</f>
        <v>5.7059558529999999</v>
      </c>
      <c r="X25" s="45">
        <f>W25-'[1]Cibles THREEME'!$H33</f>
        <v>-1.7752074899693904</v>
      </c>
      <c r="Y25" s="75"/>
      <c r="Z25" s="75"/>
      <c r="AA25" s="75"/>
    </row>
    <row r="26" spans="1:39" x14ac:dyDescent="0.25">
      <c r="A26" s="3"/>
      <c r="B26" s="170" t="s">
        <v>8</v>
      </c>
      <c r="C26" s="2"/>
      <c r="D26" s="14" t="s">
        <v>372</v>
      </c>
      <c r="E26" s="6">
        <f>VLOOKUP($D26,Résultats!$B$2:$AX$476,E$5,FALSE)</f>
        <v>5.7508898210000003</v>
      </c>
      <c r="F26" s="6">
        <f>VLOOKUP($D26,Résultats!$B$2:$AX$476,F$5,FALSE)</f>
        <v>4.1903269859999996</v>
      </c>
      <c r="G26" s="84">
        <f>VLOOKUP($D26,Résultats!$B$2:$AX$476,G$5,FALSE)</f>
        <v>2.4425633360000001</v>
      </c>
      <c r="H26" s="6">
        <f>VLOOKUP($D26,Résultats!$B$2:$AX$476,H$5,FALSE)</f>
        <v>2.229243114</v>
      </c>
      <c r="I26" s="85">
        <f>VLOOKUP($D26,Résultats!$B$2:$AX$476,I$5,FALSE)</f>
        <v>2.052617036</v>
      </c>
      <c r="J26" s="84">
        <f>VLOOKUP($D26,Résultats!$B$2:$AX$476,J$5,FALSE)</f>
        <v>2.0139272940000001</v>
      </c>
      <c r="K26" s="6">
        <f>VLOOKUP($D26,Résultats!$B$2:$AX$476,K$5,FALSE)</f>
        <v>1.9885553650000001</v>
      </c>
      <c r="L26" s="6">
        <f>VLOOKUP($D26,Résultats!$B$2:$AX$476,L$5,FALSE)</f>
        <v>1.685813303</v>
      </c>
      <c r="M26" s="6">
        <f>VLOOKUP($D26,Résultats!$B$2:$AX$476,M$5,FALSE)</f>
        <v>1.291013553</v>
      </c>
      <c r="N26" s="85">
        <f>VLOOKUP($D26,Résultats!$B$2:$AX$476,N$5,FALSE)</f>
        <v>0.92962630560000004</v>
      </c>
      <c r="O26" s="84">
        <f>VLOOKUP($D26,Résultats!$B$2:$AX$476,O$5,FALSE)</f>
        <v>0.69574596529999999</v>
      </c>
      <c r="P26" s="6">
        <f>VLOOKUP($D26,Résultats!$B$2:$AX$476,P$5,FALSE)</f>
        <v>0.53793738059999996</v>
      </c>
      <c r="Q26" s="6">
        <f>VLOOKUP($D26,Résultats!$B$2:$AX$476,Q$5,FALSE)</f>
        <v>0.42738048049999999</v>
      </c>
      <c r="R26" s="6">
        <f>VLOOKUP($D26,Résultats!$B$2:$AX$476,R$5,FALSE)</f>
        <v>0.347907672</v>
      </c>
      <c r="S26" s="85">
        <f>VLOOKUP($D26,Résultats!$B$2:$AX$476,S$5,FALSE)</f>
        <v>0.28998512830000001</v>
      </c>
      <c r="T26" s="94">
        <f>VLOOKUP($D26,Résultats!$B$2:$AX$476,T$5,FALSE)</f>
        <v>0.1893240863</v>
      </c>
      <c r="U26" s="94">
        <f>VLOOKUP($D26,Résultats!$B$2:$AX$476,U$5,FALSE)</f>
        <v>0.14972520449999999</v>
      </c>
      <c r="V26" s="94">
        <f>VLOOKUP($D26,Résultats!$B$2:$AX$476,V$5,FALSE)</f>
        <v>0.12339649799999999</v>
      </c>
      <c r="W26" s="94">
        <f>VLOOKUP($D26,Résultats!$B$2:$AX$476,W$5,FALSE)</f>
        <v>0.1066565629</v>
      </c>
      <c r="X26" s="3"/>
      <c r="Y26" s="75"/>
      <c r="Z26" s="75"/>
      <c r="AA26" s="75"/>
    </row>
    <row r="27" spans="1:39" x14ac:dyDescent="0.25">
      <c r="A27" s="3"/>
      <c r="B27" s="169" t="s">
        <v>1</v>
      </c>
      <c r="C27" s="2"/>
      <c r="D27" s="2"/>
      <c r="E27" s="9">
        <f>E26+E19+E10+E7</f>
        <v>264.99073653310006</v>
      </c>
      <c r="F27" s="9">
        <f>F26+F19+F10+F7</f>
        <v>267.0440968913</v>
      </c>
      <c r="G27" s="23">
        <f t="shared" ref="G27:R27" si="4">G26+G19+G10+G7</f>
        <v>247.12648096249998</v>
      </c>
      <c r="H27" s="9">
        <f t="shared" si="4"/>
        <v>239.59683600970004</v>
      </c>
      <c r="I27" s="90">
        <f t="shared" si="4"/>
        <v>232.56143793579997</v>
      </c>
      <c r="J27" s="23">
        <f t="shared" si="4"/>
        <v>229.91027076259996</v>
      </c>
      <c r="K27" s="9">
        <f t="shared" si="4"/>
        <v>227.75116383620002</v>
      </c>
      <c r="L27" s="9">
        <f t="shared" si="4"/>
        <v>224.28089971379998</v>
      </c>
      <c r="M27" s="9">
        <f t="shared" si="4"/>
        <v>230.96790153900002</v>
      </c>
      <c r="N27" s="90">
        <f t="shared" si="4"/>
        <v>235.8714882745</v>
      </c>
      <c r="O27" s="23">
        <f t="shared" si="4"/>
        <v>231.40055679419999</v>
      </c>
      <c r="P27" s="9">
        <f t="shared" si="4"/>
        <v>226.92975146299995</v>
      </c>
      <c r="Q27" s="9">
        <f t="shared" si="4"/>
        <v>222.43976182349999</v>
      </c>
      <c r="R27" s="9">
        <f t="shared" si="4"/>
        <v>218.16309604910001</v>
      </c>
      <c r="S27" s="90">
        <f>S26+S19+S10+S7</f>
        <v>214.06917823849997</v>
      </c>
      <c r="T27" s="98">
        <f>T26+T19+T10+T7</f>
        <v>182.09413728742999</v>
      </c>
      <c r="U27" s="98">
        <f>U26+U19+U10+U7</f>
        <v>169.93924261383</v>
      </c>
      <c r="V27" s="98">
        <f>V26+V19+V10+V7</f>
        <v>149.07345483457999</v>
      </c>
      <c r="W27" s="98">
        <f>W26+W19+W10+W7</f>
        <v>129.97749047702001</v>
      </c>
      <c r="X27" s="3"/>
      <c r="Y27" s="75"/>
      <c r="Z27" s="75"/>
      <c r="AA27" s="75"/>
    </row>
    <row r="28" spans="1:39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39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39" ht="21" x14ac:dyDescent="0.35">
      <c r="A30" s="172" t="s">
        <v>82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39" ht="23.25" x14ac:dyDescent="0.35">
      <c r="A31" s="161" t="str">
        <f>Résultats!B1</f>
        <v>SNBC3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Z31" s="166" t="s">
        <v>91</v>
      </c>
      <c r="AA31" s="166"/>
      <c r="AB31" s="166"/>
      <c r="AC31" s="38"/>
      <c r="AE31" s="166" t="s">
        <v>94</v>
      </c>
      <c r="AF31" s="166"/>
      <c r="AG31" s="166"/>
      <c r="AH31" s="38"/>
      <c r="AJ31" s="166" t="s">
        <v>95</v>
      </c>
      <c r="AK31" s="166"/>
      <c r="AL31" s="166"/>
      <c r="AM31" s="38"/>
    </row>
    <row r="32" spans="1:39" x14ac:dyDescent="0.25">
      <c r="A32" s="3"/>
      <c r="B32" s="168"/>
      <c r="C32" s="2"/>
      <c r="D32" s="15"/>
      <c r="E32" s="4">
        <v>2006</v>
      </c>
      <c r="F32" s="4">
        <v>2015</v>
      </c>
      <c r="G32" s="20">
        <v>2018</v>
      </c>
      <c r="H32" s="27">
        <v>2019</v>
      </c>
      <c r="I32" s="83">
        <v>2020</v>
      </c>
      <c r="J32" s="91">
        <v>2021</v>
      </c>
      <c r="K32" s="27">
        <v>2022</v>
      </c>
      <c r="L32" s="27">
        <v>2023</v>
      </c>
      <c r="M32" s="27">
        <v>2024</v>
      </c>
      <c r="N32" s="83">
        <v>2025</v>
      </c>
      <c r="O32" s="91">
        <v>2026</v>
      </c>
      <c r="P32" s="27">
        <v>2027</v>
      </c>
      <c r="Q32" s="27">
        <v>2028</v>
      </c>
      <c r="R32" s="27">
        <v>2029</v>
      </c>
      <c r="S32" s="92">
        <v>2030</v>
      </c>
      <c r="T32" s="93">
        <v>2035</v>
      </c>
      <c r="U32" s="93">
        <v>2040</v>
      </c>
      <c r="V32" s="93">
        <v>2045</v>
      </c>
      <c r="W32" s="93">
        <v>2050</v>
      </c>
      <c r="X32" s="3"/>
      <c r="Z32" s="194"/>
      <c r="AA32" s="195">
        <v>2020</v>
      </c>
      <c r="AB32" s="195">
        <v>2030</v>
      </c>
      <c r="AC32" s="196">
        <v>2050</v>
      </c>
      <c r="AE32" s="194"/>
      <c r="AF32" s="195">
        <v>2020</v>
      </c>
      <c r="AG32" s="195">
        <v>2030</v>
      </c>
      <c r="AH32" s="196">
        <v>2050</v>
      </c>
      <c r="AJ32" s="194"/>
      <c r="AK32" s="195">
        <v>2020</v>
      </c>
      <c r="AL32" s="195">
        <v>2030</v>
      </c>
      <c r="AM32" s="196">
        <v>2050</v>
      </c>
    </row>
    <row r="33" spans="1:39" x14ac:dyDescent="0.25">
      <c r="A33" s="3"/>
      <c r="B33" s="318" t="s">
        <v>0</v>
      </c>
      <c r="C33" s="5" t="s">
        <v>1</v>
      </c>
      <c r="D33" s="2" t="s">
        <v>373</v>
      </c>
      <c r="E33" s="6">
        <f>SUM(E34:E35)</f>
        <v>80.671202845500005</v>
      </c>
      <c r="F33" s="6">
        <f>SUM(F34:F35)</f>
        <v>71.498433731000006</v>
      </c>
      <c r="G33" s="84">
        <f t="shared" ref="G33:R33" si="5">SUM(G34:G35)</f>
        <v>66.192345649000004</v>
      </c>
      <c r="H33" s="6">
        <f t="shared" si="5"/>
        <v>64.959362024000001</v>
      </c>
      <c r="I33" s="85">
        <f t="shared" si="5"/>
        <v>63.373762966000001</v>
      </c>
      <c r="J33" s="84">
        <f t="shared" si="5"/>
        <v>62.700539413000001</v>
      </c>
      <c r="K33" s="6">
        <f t="shared" si="5"/>
        <v>61.965190923999998</v>
      </c>
      <c r="L33" s="6">
        <f t="shared" si="5"/>
        <v>60.932660061</v>
      </c>
      <c r="M33" s="6">
        <f t="shared" si="5"/>
        <v>58.741658709999996</v>
      </c>
      <c r="N33" s="85">
        <f t="shared" si="5"/>
        <v>56.343319997000002</v>
      </c>
      <c r="O33" s="84">
        <f t="shared" si="5"/>
        <v>54.279283532000001</v>
      </c>
      <c r="P33" s="6">
        <f t="shared" si="5"/>
        <v>52.308873583999997</v>
      </c>
      <c r="Q33" s="6">
        <f t="shared" si="5"/>
        <v>50.385183974</v>
      </c>
      <c r="R33" s="6">
        <f t="shared" si="5"/>
        <v>48.368398070999994</v>
      </c>
      <c r="S33" s="85">
        <f>SUM(S34:S35)</f>
        <v>46.357903009000005</v>
      </c>
      <c r="T33" s="94">
        <f>SUM(T34:T35)</f>
        <v>36.954254175999999</v>
      </c>
      <c r="U33" s="94">
        <f>SUM(U34:U35)</f>
        <v>28.583378629999999</v>
      </c>
      <c r="V33" s="94">
        <f>SUM(V34:V35)</f>
        <v>22.379130537999998</v>
      </c>
      <c r="W33" s="94">
        <f>SUM(W34:W35)</f>
        <v>18.386356239000001</v>
      </c>
      <c r="X33" s="3"/>
      <c r="Z33" s="197" t="s">
        <v>42</v>
      </c>
      <c r="AA33" s="201">
        <f>(I38+I40)/I36</f>
        <v>8.6413757756729475E-3</v>
      </c>
      <c r="AB33" s="201">
        <f>(S38+S40)/S36</f>
        <v>9.4212087421420457E-4</v>
      </c>
      <c r="AC33" s="202">
        <f>(W38+W40)/W36</f>
        <v>3.48189415207838E-4</v>
      </c>
      <c r="AE33" s="197" t="s">
        <v>96</v>
      </c>
      <c r="AF33" s="201">
        <f>I34/I33</f>
        <v>0.95161573824099621</v>
      </c>
      <c r="AG33" s="201">
        <f>S34/S33</f>
        <v>0.9140260208011084</v>
      </c>
      <c r="AH33" s="202">
        <f>W34/W33</f>
        <v>0.33469665979531227</v>
      </c>
      <c r="AJ33" s="197" t="s">
        <v>66</v>
      </c>
      <c r="AK33" s="201">
        <f>I46/(I46+I48)</f>
        <v>0.98439656250179053</v>
      </c>
      <c r="AL33" s="201">
        <f>S46/(S46+S48)</f>
        <v>0.84505794154884162</v>
      </c>
      <c r="AM33" s="202">
        <f>W46/(W46+W48)</f>
        <v>0.35227008173512275</v>
      </c>
    </row>
    <row r="34" spans="1:39" x14ac:dyDescent="0.25">
      <c r="A34" s="3"/>
      <c r="B34" s="319"/>
      <c r="C34" s="3" t="s">
        <v>2</v>
      </c>
      <c r="D34" s="15" t="s">
        <v>374</v>
      </c>
      <c r="E34" s="16">
        <f>VLOOKUP($D34,Résultats!$B$2:$AX$476,E$5,FALSE)</f>
        <v>80.003737470000004</v>
      </c>
      <c r="F34" s="16">
        <f>VLOOKUP($D34,Résultats!$B$2:$AX$476,F$5,FALSE)</f>
        <v>68.329788050000005</v>
      </c>
      <c r="G34" s="22">
        <f>VLOOKUP($D34,Résultats!$B$2:$AX$476,G$5,FALSE)</f>
        <v>63.107948729999997</v>
      </c>
      <c r="H34" s="16">
        <f>VLOOKUP($D34,Résultats!$B$2:$AX$476,H$5,FALSE)</f>
        <v>61.876354329999998</v>
      </c>
      <c r="I34" s="86">
        <f>VLOOKUP($D34,Résultats!$B$2:$AX$476,I$5,FALSE)</f>
        <v>60.30747023</v>
      </c>
      <c r="J34" s="22">
        <f>VLOOKUP($D34,Résultats!$B$2:$AX$476,J$5,FALSE)</f>
        <v>59.50687842</v>
      </c>
      <c r="K34" s="16">
        <f>VLOOKUP($D34,Résultats!$B$2:$AX$476,K$5,FALSE)</f>
        <v>58.656049289999999</v>
      </c>
      <c r="L34" s="16">
        <f>VLOOKUP($D34,Résultats!$B$2:$AX$476,L$5,FALSE)</f>
        <v>57.533074589999998</v>
      </c>
      <c r="M34" s="16">
        <f>VLOOKUP($D34,Résultats!$B$2:$AX$476,M$5,FALSE)</f>
        <v>55.099925679999998</v>
      </c>
      <c r="N34" s="86">
        <f>VLOOKUP($D34,Résultats!$B$2:$AX$476,N$5,FALSE)</f>
        <v>52.477904440000003</v>
      </c>
      <c r="O34" s="22">
        <f>VLOOKUP($D34,Résultats!$B$2:$AX$476,O$5,FALSE)</f>
        <v>50.398254649999998</v>
      </c>
      <c r="P34" s="16">
        <f>VLOOKUP($D34,Résultats!$B$2:$AX$476,P$5,FALSE)</f>
        <v>48.40351648</v>
      </c>
      <c r="Q34" s="16">
        <f>VLOOKUP($D34,Résultats!$B$2:$AX$476,Q$5,FALSE)</f>
        <v>46.449231599999997</v>
      </c>
      <c r="R34" s="16">
        <f>VLOOKUP($D34,Résultats!$B$2:$AX$476,R$5,FALSE)</f>
        <v>44.409410979999997</v>
      </c>
      <c r="S34" s="86">
        <f>VLOOKUP($D34,Résultats!$B$2:$AX$476,S$5,FALSE)</f>
        <v>42.372329620000002</v>
      </c>
      <c r="T34" s="95">
        <f>VLOOKUP($D34,Résultats!$B$2:$AX$476,T$5,FALSE)</f>
        <v>29.661485030000001</v>
      </c>
      <c r="U34" s="95">
        <f>VLOOKUP($D34,Résultats!$B$2:$AX$476,U$5,FALSE)</f>
        <v>16.632724060000001</v>
      </c>
      <c r="V34" s="95">
        <f>VLOOKUP($D34,Résultats!$B$2:$AX$476,V$5,FALSE)</f>
        <v>8.6686499179999998</v>
      </c>
      <c r="W34" s="95">
        <f>VLOOKUP($D34,Résultats!$B$2:$AX$476,W$5,FALSE)</f>
        <v>6.1538520190000003</v>
      </c>
      <c r="X34" s="45">
        <f>W34-'[1]Cibles THREEME'!$AJ4</f>
        <v>-3.5282505884859621</v>
      </c>
      <c r="Z34" s="197" t="s">
        <v>61</v>
      </c>
      <c r="AA34" s="201">
        <f>I37/I36</f>
        <v>0.69408091305775432</v>
      </c>
      <c r="AB34" s="201">
        <f>S37/S36</f>
        <v>0.62114143572004954</v>
      </c>
      <c r="AC34" s="202">
        <f>W37/W36</f>
        <v>0.32025252687309452</v>
      </c>
      <c r="AE34" s="198" t="s">
        <v>65</v>
      </c>
      <c r="AF34" s="203">
        <f>I35/I33</f>
        <v>4.8384261759003719E-2</v>
      </c>
      <c r="AG34" s="203">
        <f>S35/S33</f>
        <v>8.5973979198891576E-2</v>
      </c>
      <c r="AH34" s="204">
        <f>W35/W33</f>
        <v>0.66530334020468762</v>
      </c>
      <c r="AJ34" s="198" t="s">
        <v>67</v>
      </c>
      <c r="AK34" s="203">
        <f>I48/(I46+I48)</f>
        <v>1.5603437498209437E-2</v>
      </c>
      <c r="AL34" s="203">
        <f>S48/(S46+S48)</f>
        <v>0.15494205845115838</v>
      </c>
      <c r="AM34" s="204">
        <f>W48/(W46+W48)</f>
        <v>0.64772991826487714</v>
      </c>
    </row>
    <row r="35" spans="1:39" x14ac:dyDescent="0.25">
      <c r="A35" s="3"/>
      <c r="B35" s="320"/>
      <c r="C35" s="7" t="s">
        <v>3</v>
      </c>
      <c r="D35" s="3" t="s">
        <v>375</v>
      </c>
      <c r="E35" s="16">
        <f>VLOOKUP($D35,Résultats!$B$2:$AX$476,E$5,FALSE)</f>
        <v>0.66746537549999996</v>
      </c>
      <c r="F35" s="16">
        <f>VLOOKUP($D35,Résultats!$B$2:$AX$476,F$5,FALSE)</f>
        <v>3.1686456810000001</v>
      </c>
      <c r="G35" s="22">
        <f>VLOOKUP($D35,Résultats!$B$2:$AX$476,G$5,FALSE)</f>
        <v>3.084396919</v>
      </c>
      <c r="H35" s="16">
        <f>VLOOKUP($D35,Résultats!$B$2:$AX$476,H$5,FALSE)</f>
        <v>3.083007694</v>
      </c>
      <c r="I35" s="86">
        <f>VLOOKUP($D35,Résultats!$B$2:$AX$476,I$5,FALSE)</f>
        <v>3.0662927359999999</v>
      </c>
      <c r="J35" s="22">
        <f>VLOOKUP($D35,Résultats!$B$2:$AX$476,J$5,FALSE)</f>
        <v>3.1936609929999999</v>
      </c>
      <c r="K35" s="16">
        <f>VLOOKUP($D35,Résultats!$B$2:$AX$476,K$5,FALSE)</f>
        <v>3.3091416339999999</v>
      </c>
      <c r="L35" s="16">
        <f>VLOOKUP($D35,Résultats!$B$2:$AX$476,L$5,FALSE)</f>
        <v>3.399585471</v>
      </c>
      <c r="M35" s="16">
        <f>VLOOKUP($D35,Résultats!$B$2:$AX$476,M$5,FALSE)</f>
        <v>3.6417330300000001</v>
      </c>
      <c r="N35" s="86">
        <f>VLOOKUP($D35,Résultats!$B$2:$AX$476,N$5,FALSE)</f>
        <v>3.8654155569999999</v>
      </c>
      <c r="O35" s="22">
        <f>VLOOKUP($D35,Résultats!$B$2:$AX$476,O$5,FALSE)</f>
        <v>3.8810288819999998</v>
      </c>
      <c r="P35" s="16">
        <f>VLOOKUP($D35,Résultats!$B$2:$AX$476,P$5,FALSE)</f>
        <v>3.9053571040000001</v>
      </c>
      <c r="Q35" s="16">
        <f>VLOOKUP($D35,Résultats!$B$2:$AX$476,Q$5,FALSE)</f>
        <v>3.9359523740000002</v>
      </c>
      <c r="R35" s="16">
        <f>VLOOKUP($D35,Résultats!$B$2:$AX$476,R$5,FALSE)</f>
        <v>3.958987091</v>
      </c>
      <c r="S35" s="86">
        <f>VLOOKUP($D35,Résultats!$B$2:$AX$476,S$5,FALSE)</f>
        <v>3.9855733889999998</v>
      </c>
      <c r="T35" s="95">
        <f>VLOOKUP($D35,Résultats!$B$2:$AX$476,T$5,FALSE)</f>
        <v>7.2927691460000004</v>
      </c>
      <c r="U35" s="95">
        <f>VLOOKUP($D35,Résultats!$B$2:$AX$476,U$5,FALSE)</f>
        <v>11.950654569999999</v>
      </c>
      <c r="V35" s="95">
        <f>VLOOKUP($D35,Résultats!$B$2:$AX$476,V$5,FALSE)</f>
        <v>13.71048062</v>
      </c>
      <c r="W35" s="95">
        <f>VLOOKUP($D35,Résultats!$B$2:$AX$476,W$5,FALSE)</f>
        <v>12.232504219999999</v>
      </c>
      <c r="X35" s="45">
        <f>W35-'[1]Cibles THREEME'!$AJ5</f>
        <v>8.735663004422916</v>
      </c>
      <c r="Z35" s="197" t="s">
        <v>93</v>
      </c>
      <c r="AA35" s="201">
        <f>I43/I36</f>
        <v>0.10258601322203964</v>
      </c>
      <c r="AB35" s="201">
        <f>S43/S36</f>
        <v>0.10094479365938483</v>
      </c>
      <c r="AC35" s="202">
        <f>W43/W36</f>
        <v>8.5931446886705828E-2</v>
      </c>
      <c r="AE35" s="189" t="s">
        <v>92</v>
      </c>
      <c r="AF35" s="205">
        <f>SUM(AF33:AF34)</f>
        <v>0.99999999999999989</v>
      </c>
      <c r="AG35" s="205">
        <f t="shared" ref="AG35:AH35" si="6">SUM(AG33:AG34)</f>
        <v>1</v>
      </c>
      <c r="AH35" s="205">
        <f t="shared" si="6"/>
        <v>0.99999999999999989</v>
      </c>
      <c r="AJ35" s="189" t="s">
        <v>92</v>
      </c>
      <c r="AK35" s="205">
        <f>SUM(AK33:AK34)</f>
        <v>1</v>
      </c>
      <c r="AL35" s="205">
        <f t="shared" ref="AL35" si="7">SUM(AL33:AL34)</f>
        <v>1</v>
      </c>
      <c r="AM35" s="205">
        <f t="shared" ref="AM35" si="8">SUM(AM33:AM34)</f>
        <v>0.99999999999999989</v>
      </c>
    </row>
    <row r="36" spans="1:39" x14ac:dyDescent="0.25">
      <c r="A36" s="3"/>
      <c r="B36" s="318" t="s">
        <v>4</v>
      </c>
      <c r="C36" s="5" t="s">
        <v>1</v>
      </c>
      <c r="D36" s="2" t="s">
        <v>376</v>
      </c>
      <c r="E36" s="8">
        <f>SUM(E37:E44)</f>
        <v>37.199368417400002</v>
      </c>
      <c r="F36" s="8">
        <f>SUM(F37:F44)</f>
        <v>39.878133716599997</v>
      </c>
      <c r="G36" s="21">
        <f t="shared" ref="G36:R36" si="9">SUM(G37:G44)</f>
        <v>39.553918442099992</v>
      </c>
      <c r="H36" s="8">
        <f t="shared" si="9"/>
        <v>39.148654401200005</v>
      </c>
      <c r="I36" s="87">
        <f t="shared" si="9"/>
        <v>38.745095224599993</v>
      </c>
      <c r="J36" s="21">
        <f t="shared" si="9"/>
        <v>39.013103754199996</v>
      </c>
      <c r="K36" s="8">
        <f t="shared" si="9"/>
        <v>39.433226496099998</v>
      </c>
      <c r="L36" s="8">
        <f t="shared" si="9"/>
        <v>39.512260870399999</v>
      </c>
      <c r="M36" s="8">
        <f t="shared" si="9"/>
        <v>41.047412063300001</v>
      </c>
      <c r="N36" s="87">
        <f t="shared" si="9"/>
        <v>41.911867927700001</v>
      </c>
      <c r="O36" s="21">
        <f t="shared" si="9"/>
        <v>42.068581889699999</v>
      </c>
      <c r="P36" s="8">
        <f t="shared" si="9"/>
        <v>42.122365444200007</v>
      </c>
      <c r="Q36" s="8">
        <f t="shared" si="9"/>
        <v>42.134666054299998</v>
      </c>
      <c r="R36" s="8">
        <f t="shared" si="9"/>
        <v>42.346114109100007</v>
      </c>
      <c r="S36" s="87">
        <f>SUM(S37:S44)</f>
        <v>42.601437351100003</v>
      </c>
      <c r="T36" s="96">
        <f>SUM(T37:T44)</f>
        <v>42.498698787350008</v>
      </c>
      <c r="U36" s="96">
        <f>SUM(U37:U44)</f>
        <v>43.135558389220002</v>
      </c>
      <c r="V36" s="96">
        <f>SUM(V37:V44)</f>
        <v>43.163176481959994</v>
      </c>
      <c r="W36" s="96">
        <f>SUM(W37:W44)</f>
        <v>42.607565514719994</v>
      </c>
      <c r="X36" s="3"/>
      <c r="Z36" s="197" t="s">
        <v>62</v>
      </c>
      <c r="AA36" s="201">
        <f>I42/I36</f>
        <v>3.6998234271723864E-2</v>
      </c>
      <c r="AB36" s="201">
        <f>S42/S36</f>
        <v>8.7555323855843775E-2</v>
      </c>
      <c r="AC36" s="202">
        <f>W42/W36</f>
        <v>0.19408802049821469</v>
      </c>
    </row>
    <row r="37" spans="1:39" x14ac:dyDescent="0.25">
      <c r="A37" s="3"/>
      <c r="B37" s="319"/>
      <c r="C37" s="3" t="s">
        <v>5</v>
      </c>
      <c r="D37" s="3" t="s">
        <v>377</v>
      </c>
      <c r="E37" s="16">
        <f>VLOOKUP($D37,Résultats!$B$2:$AX$476,E$5,FALSE)</f>
        <v>29.720948660000001</v>
      </c>
      <c r="F37" s="16">
        <f>VLOOKUP($D37,Résultats!$B$2:$AX$476,F$5,FALSE)</f>
        <v>30.94722003</v>
      </c>
      <c r="G37" s="22">
        <f>VLOOKUP($D37,Résultats!$B$2:$AX$476,G$5,FALSE)</f>
        <v>28.821975479999999</v>
      </c>
      <c r="H37" s="16">
        <f>VLOOKUP($D37,Résultats!$B$2:$AX$476,H$5,FALSE)</f>
        <v>27.862190479999999</v>
      </c>
      <c r="I37" s="86">
        <f>VLOOKUP($D37,Résultats!$B$2:$AX$476,I$5,FALSE)</f>
        <v>26.892231070000001</v>
      </c>
      <c r="J37" s="22">
        <f>VLOOKUP($D37,Résultats!$B$2:$AX$476,J$5,FALSE)</f>
        <v>26.743234449999999</v>
      </c>
      <c r="K37" s="16">
        <f>VLOOKUP($D37,Résultats!$B$2:$AX$476,K$5,FALSE)</f>
        <v>26.690278289999998</v>
      </c>
      <c r="L37" s="16">
        <f>VLOOKUP($D37,Résultats!$B$2:$AX$476,L$5,FALSE)</f>
        <v>26.399789129999998</v>
      </c>
      <c r="M37" s="16">
        <f>VLOOKUP($D37,Résultats!$B$2:$AX$476,M$5,FALSE)</f>
        <v>27.337713690000001</v>
      </c>
      <c r="N37" s="86">
        <f>VLOOKUP($D37,Résultats!$B$2:$AX$476,N$5,FALSE)</f>
        <v>27.83345362</v>
      </c>
      <c r="O37" s="22">
        <f>VLOOKUP($D37,Résultats!$B$2:$AX$476,O$5,FALSE)</f>
        <v>27.560236830000001</v>
      </c>
      <c r="P37" s="16">
        <f>VLOOKUP($D37,Résultats!$B$2:$AX$476,P$5,FALSE)</f>
        <v>27.227235440000001</v>
      </c>
      <c r="Q37" s="16">
        <f>VLOOKUP($D37,Résultats!$B$2:$AX$476,Q$5,FALSE)</f>
        <v>26.876024210000001</v>
      </c>
      <c r="R37" s="16">
        <f>VLOOKUP($D37,Résultats!$B$2:$AX$476,R$5,FALSE)</f>
        <v>26.652592760000001</v>
      </c>
      <c r="S37" s="86">
        <f>VLOOKUP($D37,Résultats!$B$2:$AX$476,S$5,FALSE)</f>
        <v>26.461517959999998</v>
      </c>
      <c r="T37" s="95">
        <f>VLOOKUP($D37,Résultats!$B$2:$AX$476,T$5,FALSE)</f>
        <v>22.61955665</v>
      </c>
      <c r="U37" s="95">
        <f>VLOOKUP($D37,Résultats!$B$2:$AX$476,U$5,FALSE)</f>
        <v>21.191571320000001</v>
      </c>
      <c r="V37" s="95">
        <f>VLOOKUP($D37,Résultats!$B$2:$AX$476,V$5,FALSE)</f>
        <v>17.323615</v>
      </c>
      <c r="W37" s="95">
        <f>VLOOKUP($D37,Résultats!$B$2:$AX$476,W$5,FALSE)</f>
        <v>13.64518052</v>
      </c>
      <c r="X37" s="45">
        <f>W37-'[1]Cibles THREEME'!$AJ8</f>
        <v>13.024121388454303</v>
      </c>
      <c r="Z37" s="197" t="s">
        <v>63</v>
      </c>
      <c r="AA37" s="201">
        <f>I41/I36</f>
        <v>8.3952357044015533E-2</v>
      </c>
      <c r="AB37" s="201">
        <f>S41/S36</f>
        <v>0.12657892135324308</v>
      </c>
      <c r="AC37" s="202">
        <f>W41/W36</f>
        <v>0.3732405071232221</v>
      </c>
    </row>
    <row r="38" spans="1:39" x14ac:dyDescent="0.25">
      <c r="A38" s="3"/>
      <c r="B38" s="319"/>
      <c r="C38" s="3" t="s">
        <v>6</v>
      </c>
      <c r="D38" s="3" t="s">
        <v>378</v>
      </c>
      <c r="E38" s="16">
        <f>VLOOKUP($D38,Résultats!$B$2:$AX$476,E$5,FALSE)</f>
        <v>0.38143295329999999</v>
      </c>
      <c r="F38" s="16">
        <f>VLOOKUP($D38,Résultats!$B$2:$AX$476,F$5,FALSE)</f>
        <v>0.2443393163</v>
      </c>
      <c r="G38" s="22">
        <f>VLOOKUP($D38,Résultats!$B$2:$AX$476,G$5,FALSE)</f>
        <v>0.16877833140000001</v>
      </c>
      <c r="H38" s="16">
        <f>VLOOKUP($D38,Résultats!$B$2:$AX$476,H$5,FALSE)</f>
        <v>0.14095614400000001</v>
      </c>
      <c r="I38" s="86">
        <f>VLOOKUP($D38,Résultats!$B$2:$AX$476,I$5,FALSE)</f>
        <v>0.11269291770000001</v>
      </c>
      <c r="J38" s="22">
        <f>VLOOKUP($D38,Résultats!$B$2:$AX$476,J$5,FALSE)</f>
        <v>0.14899317249999999</v>
      </c>
      <c r="K38" s="16">
        <f>VLOOKUP($D38,Résultats!$B$2:$AX$476,K$5,FALSE)</f>
        <v>0.186747265</v>
      </c>
      <c r="L38" s="16">
        <f>VLOOKUP($D38,Résultats!$B$2:$AX$476,L$5,FALSE)</f>
        <v>0.2235930465</v>
      </c>
      <c r="M38" s="16">
        <f>VLOOKUP($D38,Résultats!$B$2:$AX$476,M$5,FALSE)</f>
        <v>0.15856735629999999</v>
      </c>
      <c r="N38" s="86">
        <f>VLOOKUP($D38,Résultats!$B$2:$AX$476,N$5,FALSE)</f>
        <v>9.4730452600000001E-2</v>
      </c>
      <c r="O38" s="22">
        <f>VLOOKUP($D38,Résultats!$B$2:$AX$476,O$5,FALSE)</f>
        <v>7.2284177699999896E-2</v>
      </c>
      <c r="P38" s="16">
        <f>VLOOKUP($D38,Résultats!$B$2:$AX$476,P$5,FALSE)</f>
        <v>5.01232187E-2</v>
      </c>
      <c r="Q38" s="16">
        <f>VLOOKUP($D38,Résultats!$B$2:$AX$476,Q$5,FALSE)</f>
        <v>2.8432861699999999E-2</v>
      </c>
      <c r="R38" s="16">
        <f>VLOOKUP($D38,Résultats!$B$2:$AX$476,R$5,FALSE)</f>
        <v>2.5331334699999999E-2</v>
      </c>
      <c r="S38" s="86">
        <f>VLOOKUP($D38,Résultats!$B$2:$AX$476,S$5,FALSE)</f>
        <v>2.2298986100000001E-2</v>
      </c>
      <c r="T38" s="95">
        <f>VLOOKUP($D38,Résultats!$B$2:$AX$476,T$5,FALSE)</f>
        <v>1.97938603E-2</v>
      </c>
      <c r="U38" s="95">
        <f>VLOOKUP($D38,Résultats!$B$2:$AX$476,U$5,FALSE)</f>
        <v>9.5114954000000002E-3</v>
      </c>
      <c r="V38" s="95">
        <f>VLOOKUP($D38,Résultats!$B$2:$AX$476,V$5,FALSE)</f>
        <v>7.7020990800000001E-3</v>
      </c>
      <c r="W38" s="95">
        <f>VLOOKUP($D38,Résultats!$B$2:$AX$476,W$5,FALSE)</f>
        <v>7.4177516600000002E-3</v>
      </c>
      <c r="X38" s="45">
        <f>W38-'[1]Cibles THREEME'!$AJ9</f>
        <v>-2.58224834E-3</v>
      </c>
      <c r="Z38" s="198" t="s">
        <v>64</v>
      </c>
      <c r="AA38" s="203">
        <f>(I39+I44)/I36</f>
        <v>7.3741106628793865E-2</v>
      </c>
      <c r="AB38" s="203">
        <f>(S39+S44)/S36</f>
        <v>6.2837404537264482E-2</v>
      </c>
      <c r="AC38" s="204">
        <f>(W39+W44)/W36</f>
        <v>2.6139309203555162E-2</v>
      </c>
    </row>
    <row r="39" spans="1:39" x14ac:dyDescent="0.25">
      <c r="A39" s="3"/>
      <c r="B39" s="319"/>
      <c r="C39" s="3" t="s">
        <v>7</v>
      </c>
      <c r="D39" s="3" t="s">
        <v>379</v>
      </c>
      <c r="E39" s="16">
        <f>VLOOKUP($D39,Résultats!$B$2:$AX$476,E$5,FALSE)</f>
        <v>1.5232798540000001</v>
      </c>
      <c r="F39" s="16">
        <f>VLOOKUP($D39,Résultats!$B$2:$AX$476,F$5,FALSE)</f>
        <v>1.6070134890000001</v>
      </c>
      <c r="G39" s="22">
        <f>VLOOKUP($D39,Résultats!$B$2:$AX$476,G$5,FALSE)</f>
        <v>2.0796825569999999</v>
      </c>
      <c r="H39" s="16">
        <f>VLOOKUP($D39,Résultats!$B$2:$AX$476,H$5,FALSE)</f>
        <v>2.2306382600000001</v>
      </c>
      <c r="I39" s="86">
        <f>VLOOKUP($D39,Résultats!$B$2:$AX$476,I$5,FALSE)</f>
        <v>2.3846433419999999</v>
      </c>
      <c r="J39" s="22">
        <f>VLOOKUP($D39,Résultats!$B$2:$AX$476,J$5,FALSE)</f>
        <v>2.2924331910000002</v>
      </c>
      <c r="K39" s="16">
        <f>VLOOKUP($D39,Résultats!$B$2:$AX$476,K$5,FALSE)</f>
        <v>2.2064899809999998</v>
      </c>
      <c r="L39" s="16">
        <f>VLOOKUP($D39,Résultats!$B$2:$AX$476,L$5,FALSE)</f>
        <v>2.0992974520000001</v>
      </c>
      <c r="M39" s="16">
        <f>VLOOKUP($D39,Résultats!$B$2:$AX$476,M$5,FALSE)</f>
        <v>2.3062018499999999</v>
      </c>
      <c r="N39" s="86">
        <f>VLOOKUP($D39,Résultats!$B$2:$AX$476,N$5,FALSE)</f>
        <v>2.4689969899999999</v>
      </c>
      <c r="O39" s="22">
        <f>VLOOKUP($D39,Résultats!$B$2:$AX$476,O$5,FALSE)</f>
        <v>2.3827284610000001</v>
      </c>
      <c r="P39" s="16">
        <f>VLOOKUP($D39,Résultats!$B$2:$AX$476,P$5,FALSE)</f>
        <v>2.2925658769999999</v>
      </c>
      <c r="Q39" s="16">
        <f>VLOOKUP($D39,Résultats!$B$2:$AX$476,Q$5,FALSE)</f>
        <v>2.2023234129999998</v>
      </c>
      <c r="R39" s="16">
        <f>VLOOKUP($D39,Résultats!$B$2:$AX$476,R$5,FALSE)</f>
        <v>2.1256268870000001</v>
      </c>
      <c r="S39" s="86">
        <f>VLOOKUP($D39,Résultats!$B$2:$AX$476,S$5,FALSE)</f>
        <v>2.0522939679999999</v>
      </c>
      <c r="T39" s="95">
        <f>VLOOKUP($D39,Résultats!$B$2:$AX$476,T$5,FALSE)</f>
        <v>1.433789564</v>
      </c>
      <c r="U39" s="95">
        <f>VLOOKUP($D39,Résultats!$B$2:$AX$476,U$5,FALSE)</f>
        <v>0.1564820525</v>
      </c>
      <c r="V39" s="95">
        <f>VLOOKUP($D39,Résultats!$B$2:$AX$476,V$5,FALSE)</f>
        <v>0.2041073279</v>
      </c>
      <c r="W39" s="95">
        <f>VLOOKUP($D39,Résultats!$B$2:$AX$476,W$5,FALSE)</f>
        <v>0.2356807319</v>
      </c>
      <c r="X39" s="45">
        <f>W39-'[1]Cibles THREEME'!$AJ10</f>
        <v>-0.86030597082770122</v>
      </c>
      <c r="Z39" s="189" t="s">
        <v>92</v>
      </c>
      <c r="AA39" s="205">
        <f>SUM(AA33:AA38)</f>
        <v>1.0000000000000002</v>
      </c>
      <c r="AB39" s="205">
        <f t="shared" ref="AB39:AC39" si="10">SUM(AB33:AB38)</f>
        <v>0.99999999999999989</v>
      </c>
      <c r="AC39" s="205">
        <f t="shared" si="10"/>
        <v>1.0000000000000002</v>
      </c>
      <c r="AJ39" s="189"/>
      <c r="AK39" s="205"/>
      <c r="AL39" s="205"/>
      <c r="AM39" s="205"/>
    </row>
    <row r="40" spans="1:39" x14ac:dyDescent="0.25">
      <c r="A40" s="3"/>
      <c r="B40" s="319"/>
      <c r="C40" s="3" t="s">
        <v>8</v>
      </c>
      <c r="D40" s="3" t="s">
        <v>380</v>
      </c>
      <c r="E40" s="16">
        <f>VLOOKUP($D40,Résultats!$B$2:$AX$476,E$5,FALSE)</f>
        <v>1.5199084089999999</v>
      </c>
      <c r="F40" s="16">
        <f>VLOOKUP($D40,Résultats!$B$2:$AX$476,F$5,FALSE)</f>
        <v>0.75329847289999996</v>
      </c>
      <c r="G40" s="22">
        <f>VLOOKUP($D40,Résultats!$B$2:$AX$476,G$5,FALSE)</f>
        <v>0.4464092912</v>
      </c>
      <c r="H40" s="16">
        <f>VLOOKUP($D40,Résultats!$B$2:$AX$476,H$5,FALSE)</f>
        <v>0.3351703593</v>
      </c>
      <c r="I40" s="86">
        <f>VLOOKUP($D40,Résultats!$B$2:$AX$476,I$5,FALSE)</f>
        <v>0.2221180096</v>
      </c>
      <c r="J40" s="22">
        <f>VLOOKUP($D40,Résultats!$B$2:$AX$476,J$5,FALSE)</f>
        <v>0.2134018641</v>
      </c>
      <c r="K40" s="16">
        <f>VLOOKUP($D40,Résultats!$B$2:$AX$476,K$5,FALSE)</f>
        <v>0.20526583139999999</v>
      </c>
      <c r="L40" s="16">
        <f>VLOOKUP($D40,Résultats!$B$2:$AX$476,L$5,FALSE)</f>
        <v>0.1951502275</v>
      </c>
      <c r="M40" s="16">
        <f>VLOOKUP($D40,Résultats!$B$2:$AX$476,M$5,FALSE)</f>
        <v>0.1246102816</v>
      </c>
      <c r="N40" s="86">
        <f>VLOOKUP($D40,Résultats!$B$2:$AX$476,N$5,FALSE)</f>
        <v>5.6040050000000001E-2</v>
      </c>
      <c r="O40" s="22">
        <f>VLOOKUP($D40,Résultats!$B$2:$AX$476,O$5,FALSE)</f>
        <v>4.3190462999999998E-2</v>
      </c>
      <c r="P40" s="16">
        <f>VLOOKUP($D40,Résultats!$B$2:$AX$476,P$5,FALSE)</f>
        <v>3.04999148E-2</v>
      </c>
      <c r="Q40" s="16">
        <f>VLOOKUP($D40,Résultats!$B$2:$AX$476,Q$5,FALSE)</f>
        <v>1.80771427E-2</v>
      </c>
      <c r="R40" s="16">
        <f>VLOOKUP($D40,Résultats!$B$2:$AX$476,R$5,FALSE)</f>
        <v>1.7946166E-2</v>
      </c>
      <c r="S40" s="86">
        <f>VLOOKUP($D40,Résultats!$B$2:$AX$476,S$5,FALSE)</f>
        <v>1.7836717299999999E-2</v>
      </c>
      <c r="T40" s="95">
        <f>VLOOKUP($D40,Résultats!$B$2:$AX$476,T$5,FALSE)</f>
        <v>8.3964010500000002E-3</v>
      </c>
      <c r="U40" s="95">
        <f>VLOOKUP($D40,Résultats!$B$2:$AX$476,U$5,FALSE)</f>
        <v>8.02564232E-3</v>
      </c>
      <c r="V40" s="95">
        <f>VLOOKUP($D40,Résultats!$B$2:$AX$476,V$5,FALSE)</f>
        <v>7.7020990800000001E-3</v>
      </c>
      <c r="W40" s="95">
        <f>VLOOKUP($D40,Résultats!$B$2:$AX$476,W$5,FALSE)</f>
        <v>7.4177516600000002E-3</v>
      </c>
      <c r="X40" s="45">
        <f>W40-'[1]Cibles THREEME'!$AJ11</f>
        <v>-2.58224834E-3</v>
      </c>
    </row>
    <row r="41" spans="1:39" x14ac:dyDescent="0.25">
      <c r="A41" s="3"/>
      <c r="B41" s="319"/>
      <c r="C41" s="3" t="s">
        <v>9</v>
      </c>
      <c r="D41" s="3" t="s">
        <v>381</v>
      </c>
      <c r="E41" s="16">
        <f>VLOOKUP($D41,Résultats!$B$2:$AX$476,E$5,FALSE)</f>
        <v>0.30706948779999999</v>
      </c>
      <c r="F41" s="16">
        <f>VLOOKUP($D41,Résultats!$B$2:$AX$476,F$5,FALSE)</f>
        <v>2.1314551910000001</v>
      </c>
      <c r="G41" s="22">
        <f>VLOOKUP($D41,Résultats!$B$2:$AX$476,G$5,FALSE)</f>
        <v>2.8114067999999999</v>
      </c>
      <c r="H41" s="16">
        <f>VLOOKUP($D41,Résultats!$B$2:$AX$476,H$5,FALSE)</f>
        <v>3.029889464</v>
      </c>
      <c r="I41" s="86">
        <f>VLOOKUP($D41,Résultats!$B$2:$AX$476,I$5,FALSE)</f>
        <v>3.2527420679999999</v>
      </c>
      <c r="J41" s="22">
        <f>VLOOKUP($D41,Résultats!$B$2:$AX$476,J$5,FALSE)</f>
        <v>3.4385807289999999</v>
      </c>
      <c r="K41" s="16">
        <f>VLOOKUP($D41,Résultats!$B$2:$AX$476,K$5,FALSE)</f>
        <v>3.6418405749999998</v>
      </c>
      <c r="L41" s="16">
        <f>VLOOKUP($D41,Résultats!$B$2:$AX$476,L$5,FALSE)</f>
        <v>3.8168504529999998</v>
      </c>
      <c r="M41" s="16">
        <f>VLOOKUP($D41,Résultats!$B$2:$AX$476,M$5,FALSE)</f>
        <v>4.0438347950000004</v>
      </c>
      <c r="N41" s="86">
        <f>VLOOKUP($D41,Résultats!$B$2:$AX$476,N$5,FALSE)</f>
        <v>4.2007098709999999</v>
      </c>
      <c r="O41" s="22">
        <f>VLOOKUP($D41,Résultats!$B$2:$AX$476,O$5,FALSE)</f>
        <v>4.4537391</v>
      </c>
      <c r="P41" s="16">
        <f>VLOOKUP($D41,Résultats!$B$2:$AX$476,P$5,FALSE)</f>
        <v>4.6910606149999996</v>
      </c>
      <c r="Q41" s="16">
        <f>VLOOKUP($D41,Résultats!$B$2:$AX$476,Q$5,FALSE)</f>
        <v>4.9183501520000004</v>
      </c>
      <c r="R41" s="16">
        <f>VLOOKUP($D41,Résultats!$B$2:$AX$476,R$5,FALSE)</f>
        <v>5.1541236980000003</v>
      </c>
      <c r="S41" s="86">
        <f>VLOOKUP($D41,Résultats!$B$2:$AX$476,S$5,FALSE)</f>
        <v>5.3924439880000001</v>
      </c>
      <c r="T41" s="95">
        <f>VLOOKUP($D41,Résultats!$B$2:$AX$476,T$5,FALSE)</f>
        <v>8.1877981670000004</v>
      </c>
      <c r="U41" s="95">
        <f>VLOOKUP($D41,Résultats!$B$2:$AX$476,U$5,FALSE)</f>
        <v>10.703972240000001</v>
      </c>
      <c r="V41" s="95">
        <f>VLOOKUP($D41,Résultats!$B$2:$AX$476,V$5,FALSE)</f>
        <v>13.41283127</v>
      </c>
      <c r="W41" s="95">
        <f>VLOOKUP($D41,Résultats!$B$2:$AX$476,W$5,FALSE)</f>
        <v>15.90286936</v>
      </c>
      <c r="X41" s="45">
        <f>W41-'[1]Cibles THREEME'!$AJ12</f>
        <v>3.3172887236768993</v>
      </c>
    </row>
    <row r="42" spans="1:39" x14ac:dyDescent="0.25">
      <c r="A42" s="3"/>
      <c r="B42" s="319"/>
      <c r="C42" s="3" t="s">
        <v>10</v>
      </c>
      <c r="D42" s="3" t="s">
        <v>382</v>
      </c>
      <c r="E42" s="16">
        <f>VLOOKUP($D42,Résultats!$B$2:$AX$476,E$5,FALSE)</f>
        <v>6.9090634799999995E-2</v>
      </c>
      <c r="F42" s="16">
        <f>VLOOKUP($D42,Résultats!$B$2:$AX$476,F$5,FALSE)</f>
        <v>0.93934323310000001</v>
      </c>
      <c r="G42" s="22">
        <f>VLOOKUP($D42,Résultats!$B$2:$AX$476,G$5,FALSE)</f>
        <v>1.239001394</v>
      </c>
      <c r="H42" s="16">
        <f>VLOOKUP($D42,Résultats!$B$2:$AX$476,H$5,FALSE)</f>
        <v>1.335287825</v>
      </c>
      <c r="I42" s="86">
        <f>VLOOKUP($D42,Résultats!$B$2:$AX$476,I$5,FALSE)</f>
        <v>1.43350011</v>
      </c>
      <c r="J42" s="22">
        <f>VLOOKUP($D42,Résultats!$B$2:$AX$476,J$5,FALSE)</f>
        <v>1.4945726459999999</v>
      </c>
      <c r="K42" s="16">
        <f>VLOOKUP($D42,Résultats!$B$2:$AX$476,K$5,FALSE)</f>
        <v>1.562729754</v>
      </c>
      <c r="L42" s="16">
        <f>VLOOKUP($D42,Résultats!$B$2:$AX$476,L$5,FALSE)</f>
        <v>1.6183878380000001</v>
      </c>
      <c r="M42" s="16">
        <f>VLOOKUP($D42,Résultats!$B$2:$AX$476,M$5,FALSE)</f>
        <v>1.851429746</v>
      </c>
      <c r="N42" s="86">
        <f>VLOOKUP($D42,Résultats!$B$2:$AX$476,N$5,FALSE)</f>
        <v>2.0454948609999999</v>
      </c>
      <c r="O42" s="22">
        <f>VLOOKUP($D42,Résultats!$B$2:$AX$476,O$5,FALSE)</f>
        <v>2.400417295</v>
      </c>
      <c r="P42" s="16">
        <f>VLOOKUP($D42,Résultats!$B$2:$AX$476,P$5,FALSE)</f>
        <v>2.7424271650000001</v>
      </c>
      <c r="Q42" s="16">
        <f>VLOOKUP($D42,Résultats!$B$2:$AX$476,Q$5,FALSE)</f>
        <v>3.0738166630000001</v>
      </c>
      <c r="R42" s="16">
        <f>VLOOKUP($D42,Résultats!$B$2:$AX$476,R$5,FALSE)</f>
        <v>3.4022079490000001</v>
      </c>
      <c r="S42" s="86">
        <f>VLOOKUP($D42,Résultats!$B$2:$AX$476,S$5,FALSE)</f>
        <v>3.7299826440000001</v>
      </c>
      <c r="T42" s="95">
        <f>VLOOKUP($D42,Résultats!$B$2:$AX$476,T$5,FALSE)</f>
        <v>5.2828913230000003</v>
      </c>
      <c r="U42" s="95">
        <f>VLOOKUP($D42,Résultats!$B$2:$AX$476,U$5,FALSE)</f>
        <v>6.2947418050000001</v>
      </c>
      <c r="V42" s="95">
        <f>VLOOKUP($D42,Résultats!$B$2:$AX$476,V$5,FALSE)</f>
        <v>7.4876278909999998</v>
      </c>
      <c r="W42" s="95">
        <f>VLOOKUP($D42,Résultats!$B$2:$AX$476,W$5,FALSE)</f>
        <v>8.269618049</v>
      </c>
      <c r="X42" s="45">
        <f>W42-'[1]Cibles THREEME'!$AJ13</f>
        <v>0.84126373051224679</v>
      </c>
      <c r="Z42" s="60" t="s">
        <v>457</v>
      </c>
    </row>
    <row r="43" spans="1:39" x14ac:dyDescent="0.25">
      <c r="A43" s="3"/>
      <c r="B43" s="319"/>
      <c r="C43" s="3" t="s">
        <v>11</v>
      </c>
      <c r="D43" s="3" t="s">
        <v>383</v>
      </c>
      <c r="E43" s="16">
        <f>VLOOKUP($D43,Résultats!$B$2:$AX$476,E$5,FALSE)</f>
        <v>3.4538971119999999</v>
      </c>
      <c r="F43" s="16">
        <f>VLOOKUP($D43,Résultats!$B$2:$AX$476,F$5,FALSE)</f>
        <v>2.6045426009999999</v>
      </c>
      <c r="G43" s="22">
        <f>VLOOKUP($D43,Résultats!$B$2:$AX$476,G$5,FALSE)</f>
        <v>3.435412957</v>
      </c>
      <c r="H43" s="16">
        <f>VLOOKUP($D43,Résultats!$B$2:$AX$476,H$5,FALSE)</f>
        <v>3.7023889680000002</v>
      </c>
      <c r="I43" s="86">
        <f>VLOOKUP($D43,Résultats!$B$2:$AX$476,I$5,FALSE)</f>
        <v>3.9747048509999998</v>
      </c>
      <c r="J43" s="22">
        <f>VLOOKUP($D43,Résultats!$B$2:$AX$476,J$5,FALSE)</f>
        <v>4.1820071009999999</v>
      </c>
      <c r="K43" s="16">
        <f>VLOOKUP($D43,Résultats!$B$2:$AX$476,K$5,FALSE)</f>
        <v>4.4100339279999998</v>
      </c>
      <c r="L43" s="16">
        <f>VLOOKUP($D43,Résultats!$B$2:$AX$476,L$5,FALSE)</f>
        <v>4.6034939049999997</v>
      </c>
      <c r="M43" s="16">
        <f>VLOOKUP($D43,Résultats!$B$2:$AX$476,M$5,FALSE)</f>
        <v>4.5736078579999999</v>
      </c>
      <c r="N43" s="86">
        <f>VLOOKUP($D43,Résultats!$B$2:$AX$476,N$5,FALSE)</f>
        <v>4.4796947520000003</v>
      </c>
      <c r="O43" s="22">
        <f>VLOOKUP($D43,Résultats!$B$2:$AX$476,O$5,FALSE)</f>
        <v>4.4452087210000002</v>
      </c>
      <c r="P43" s="16">
        <f>VLOOKUP($D43,Résultats!$B$2:$AX$476,P$5,FALSE)</f>
        <v>4.4008850500000003</v>
      </c>
      <c r="Q43" s="16">
        <f>VLOOKUP($D43,Résultats!$B$2:$AX$476,Q$5,FALSE)</f>
        <v>4.3533957389999998</v>
      </c>
      <c r="R43" s="16">
        <f>VLOOKUP($D43,Résultats!$B$2:$AX$476,R$5,FALSE)</f>
        <v>4.3243173270000002</v>
      </c>
      <c r="S43" s="86">
        <f>VLOOKUP($D43,Résultats!$B$2:$AX$476,S$5,FALSE)</f>
        <v>4.3003933029999999</v>
      </c>
      <c r="T43" s="95">
        <f>VLOOKUP($D43,Résultats!$B$2:$AX$476,T$5,FALSE)</f>
        <v>4.22816481</v>
      </c>
      <c r="U43" s="95">
        <f>VLOOKUP($D43,Résultats!$B$2:$AX$476,U$5,FALSE)</f>
        <v>3.902643045</v>
      </c>
      <c r="V43" s="95">
        <f>VLOOKUP($D43,Résultats!$B$2:$AX$476,V$5,FALSE)</f>
        <v>3.8470847450000001</v>
      </c>
      <c r="W43" s="95">
        <f>VLOOKUP($D43,Résultats!$B$2:$AX$476,W$5,FALSE)</f>
        <v>3.661329753</v>
      </c>
      <c r="X43" s="45">
        <f>W43-'[1]Cibles THREEME'!$AJ14</f>
        <v>-0.20506778162272354</v>
      </c>
      <c r="Z43" s="194"/>
      <c r="AA43" s="195">
        <v>2020</v>
      </c>
      <c r="AB43" s="195">
        <v>2030</v>
      </c>
      <c r="AC43" s="196">
        <v>2050</v>
      </c>
    </row>
    <row r="44" spans="1:39" x14ac:dyDescent="0.25">
      <c r="A44" s="3"/>
      <c r="B44" s="320"/>
      <c r="C44" s="7" t="s">
        <v>12</v>
      </c>
      <c r="D44" s="3" t="s">
        <v>384</v>
      </c>
      <c r="E44" s="17">
        <f>VLOOKUP($D44,Résultats!$B$2:$AX$476,E$5,FALSE)</f>
        <v>0.22374130649999999</v>
      </c>
      <c r="F44" s="17">
        <f>VLOOKUP($D44,Résultats!$B$2:$AX$476,F$5,FALSE)</f>
        <v>0.65092138330000004</v>
      </c>
      <c r="G44" s="88">
        <f>VLOOKUP($D44,Résultats!$B$2:$AX$476,G$5,FALSE)</f>
        <v>0.55125163150000001</v>
      </c>
      <c r="H44" s="17">
        <f>VLOOKUP($D44,Résultats!$B$2:$AX$476,H$5,FALSE)</f>
        <v>0.51213290089999997</v>
      </c>
      <c r="I44" s="89">
        <f>VLOOKUP($D44,Résultats!$B$2:$AX$476,I$5,FALSE)</f>
        <v>0.47246285630000001</v>
      </c>
      <c r="J44" s="88">
        <f>VLOOKUP($D44,Résultats!$B$2:$AX$476,J$5,FALSE)</f>
        <v>0.4998806006</v>
      </c>
      <c r="K44" s="17">
        <f>VLOOKUP($D44,Résultats!$B$2:$AX$476,K$5,FALSE)</f>
        <v>0.52984087170000005</v>
      </c>
      <c r="L44" s="17">
        <f>VLOOKUP($D44,Résultats!$B$2:$AX$476,L$5,FALSE)</f>
        <v>0.55569881840000002</v>
      </c>
      <c r="M44" s="17">
        <f>VLOOKUP($D44,Résultats!$B$2:$AX$476,M$5,FALSE)</f>
        <v>0.65144648640000002</v>
      </c>
      <c r="N44" s="89">
        <f>VLOOKUP($D44,Résultats!$B$2:$AX$476,N$5,FALSE)</f>
        <v>0.73274733110000001</v>
      </c>
      <c r="O44" s="88">
        <f>VLOOKUP($D44,Résultats!$B$2:$AX$476,O$5,FALSE)</f>
        <v>0.71077684200000002</v>
      </c>
      <c r="P44" s="17">
        <f>VLOOKUP($D44,Résultats!$B$2:$AX$476,P$5,FALSE)</f>
        <v>0.68756816369999996</v>
      </c>
      <c r="Q44" s="17">
        <f>VLOOKUP($D44,Résultats!$B$2:$AX$476,Q$5,FALSE)</f>
        <v>0.66424587290000003</v>
      </c>
      <c r="R44" s="17">
        <f>VLOOKUP($D44,Résultats!$B$2:$AX$476,R$5,FALSE)</f>
        <v>0.64396798740000005</v>
      </c>
      <c r="S44" s="89">
        <f>VLOOKUP($D44,Résultats!$B$2:$AX$476,S$5,FALSE)</f>
        <v>0.62466978470000001</v>
      </c>
      <c r="T44" s="97">
        <f>VLOOKUP($D44,Résultats!$B$2:$AX$476,T$5,FALSE)</f>
        <v>0.71830801200000005</v>
      </c>
      <c r="U44" s="97">
        <f>VLOOKUP($D44,Résultats!$B$2:$AX$476,U$5,FALSE)</f>
        <v>0.86861078899999999</v>
      </c>
      <c r="V44" s="97">
        <f>VLOOKUP($D44,Résultats!$B$2:$AX$476,V$5,FALSE)</f>
        <v>0.87250604990000002</v>
      </c>
      <c r="W44" s="97">
        <f>VLOOKUP($D44,Résultats!$B$2:$AX$476,W$5,FALSE)</f>
        <v>0.87805159749999995</v>
      </c>
      <c r="X44" s="45">
        <f>W44-'[1]Cibles THREEME'!$AJ15</f>
        <v>0.56752203172715121</v>
      </c>
      <c r="Z44" s="197" t="s">
        <v>458</v>
      </c>
      <c r="AA44" s="16">
        <f>I36</f>
        <v>38.745095224599993</v>
      </c>
      <c r="AB44" s="16">
        <f>S36</f>
        <v>42.601437351100003</v>
      </c>
      <c r="AC44" s="86">
        <f>W36</f>
        <v>42.607565514719994</v>
      </c>
    </row>
    <row r="45" spans="1:39" x14ac:dyDescent="0.25">
      <c r="A45" s="3"/>
      <c r="B45" s="318" t="s">
        <v>53</v>
      </c>
      <c r="C45" s="5" t="s">
        <v>1</v>
      </c>
      <c r="D45" s="2" t="s">
        <v>385</v>
      </c>
      <c r="E45" s="6">
        <f>SUM(E46:E51)</f>
        <v>37.372061911599992</v>
      </c>
      <c r="F45" s="6">
        <f>SUM(F46:F51)</f>
        <v>38.392087566299999</v>
      </c>
      <c r="G45" s="84">
        <f t="shared" ref="G45:R45" si="11">SUM(G46:G51)</f>
        <v>36.823643629099998</v>
      </c>
      <c r="H45" s="6">
        <f t="shared" si="11"/>
        <v>35.518229157600004</v>
      </c>
      <c r="I45" s="85">
        <f t="shared" si="11"/>
        <v>35.017304226200004</v>
      </c>
      <c r="J45" s="84">
        <f t="shared" si="11"/>
        <v>34.681755307000003</v>
      </c>
      <c r="K45" s="6">
        <f t="shared" si="11"/>
        <v>34.430775995600001</v>
      </c>
      <c r="L45" s="6">
        <f t="shared" si="11"/>
        <v>34.546584658199997</v>
      </c>
      <c r="M45" s="6">
        <f t="shared" si="11"/>
        <v>33.671573821800003</v>
      </c>
      <c r="N45" s="85">
        <f t="shared" si="11"/>
        <v>32.950509831300003</v>
      </c>
      <c r="O45" s="84">
        <f t="shared" si="11"/>
        <v>32.3238280104</v>
      </c>
      <c r="P45" s="6">
        <f t="shared" si="11"/>
        <v>31.803611913499999</v>
      </c>
      <c r="Q45" s="6">
        <f t="shared" si="11"/>
        <v>31.259786081600001</v>
      </c>
      <c r="R45" s="6">
        <f t="shared" si="11"/>
        <v>30.359723797800005</v>
      </c>
      <c r="S45" s="85">
        <f>SUM(S46:S51)</f>
        <v>29.452904483299996</v>
      </c>
      <c r="T45" s="94">
        <f>SUM(T46:T51)</f>
        <v>27.269923657400003</v>
      </c>
      <c r="U45" s="94">
        <f>SUM(U46:U51)</f>
        <v>25.8983938067</v>
      </c>
      <c r="V45" s="94">
        <f>SUM(V46:V51)</f>
        <v>25.251940087000001</v>
      </c>
      <c r="W45" s="94">
        <f>SUM(W46:W51)</f>
        <v>24.101311134699998</v>
      </c>
      <c r="X45" s="3"/>
      <c r="Z45" s="197" t="s">
        <v>459</v>
      </c>
      <c r="AA45" s="16">
        <f>SUM(I47,I49:I51)</f>
        <v>10.670783349400001</v>
      </c>
      <c r="AB45" s="16">
        <f>S47+SUM(S49:S51)</f>
        <v>13.484276728299999</v>
      </c>
      <c r="AC45" s="86">
        <f>W47+SUM(W49:W51)</f>
        <v>13.4024245377</v>
      </c>
    </row>
    <row r="46" spans="1:39" x14ac:dyDescent="0.25">
      <c r="A46" s="3"/>
      <c r="B46" s="319"/>
      <c r="C46" s="3" t="s">
        <v>13</v>
      </c>
      <c r="D46" s="3" t="s">
        <v>386</v>
      </c>
      <c r="E46" s="16">
        <f>VLOOKUP($D46,Résultats!$B$2:$AX$476,E$5,FALSE)</f>
        <v>34.363958789999998</v>
      </c>
      <c r="F46" s="16">
        <f>VLOOKUP($D46,Résultats!$B$2:$AX$476,F$5,FALSE)</f>
        <v>26.844514369999999</v>
      </c>
      <c r="G46" s="22">
        <f>VLOOKUP($D46,Résultats!$B$2:$AX$476,G$5,FALSE)</f>
        <v>25.420299889999999</v>
      </c>
      <c r="H46" s="16">
        <f>VLOOKUP($D46,Résultats!$B$2:$AX$476,H$5,FALSE)</f>
        <v>24.414212970000001</v>
      </c>
      <c r="I46" s="86">
        <f>VLOOKUP($D46,Résultats!$B$2:$AX$476,I$5,FALSE)</f>
        <v>23.966631459999999</v>
      </c>
      <c r="J46" s="22">
        <f>VLOOKUP($D46,Résultats!$B$2:$AX$476,J$5,FALSE)</f>
        <v>22.777154240000002</v>
      </c>
      <c r="K46" s="16">
        <f>VLOOKUP($D46,Résultats!$B$2:$AX$476,K$5,FALSE)</f>
        <v>21.636651560000001</v>
      </c>
      <c r="L46" s="16">
        <f>VLOOKUP($D46,Résultats!$B$2:$AX$476,L$5,FALSE)</f>
        <v>20.462206470000002</v>
      </c>
      <c r="M46" s="16">
        <f>VLOOKUP($D46,Résultats!$B$2:$AX$476,M$5,FALSE)</f>
        <v>19.816442989999999</v>
      </c>
      <c r="N46" s="86">
        <f>VLOOKUP($D46,Résultats!$B$2:$AX$476,N$5,FALSE)</f>
        <v>19.006461980000001</v>
      </c>
      <c r="O46" s="22">
        <f>VLOOKUP($D46,Résultats!$B$2:$AX$476,O$5,FALSE)</f>
        <v>17.849161169999999</v>
      </c>
      <c r="P46" s="16">
        <f>VLOOKUP($D46,Résultats!$B$2:$AX$476,P$5,FALSE)</f>
        <v>16.789368719999999</v>
      </c>
      <c r="Q46" s="16">
        <f>VLOOKUP($D46,Résultats!$B$2:$AX$476,Q$5,FALSE)</f>
        <v>15.75092778</v>
      </c>
      <c r="R46" s="16">
        <f>VLOOKUP($D46,Résultats!$B$2:$AX$476,R$5,FALSE)</f>
        <v>14.60159292</v>
      </c>
      <c r="S46" s="86">
        <f>VLOOKUP($D46,Résultats!$B$2:$AX$476,S$5,FALSE)</f>
        <v>13.494415699999999</v>
      </c>
      <c r="T46" s="95">
        <f>VLOOKUP($D46,Résultats!$B$2:$AX$476,T$5,FALSE)</f>
        <v>7.4216389080000003</v>
      </c>
      <c r="U46" s="95">
        <f>VLOOKUP($D46,Résultats!$B$2:$AX$476,U$5,FALSE)</f>
        <v>6.983357786</v>
      </c>
      <c r="V46" s="95">
        <f>VLOOKUP($D46,Résultats!$B$2:$AX$476,V$5,FALSE)</f>
        <v>2.1780965640000001</v>
      </c>
      <c r="W46" s="95">
        <f>VLOOKUP($D46,Résultats!$B$2:$AX$476,W$5,FALSE)</f>
        <v>3.768897656</v>
      </c>
      <c r="X46" s="45">
        <f>W46-'[1]Cibles THREEME'!$AJ17</f>
        <v>2.3718378453782245</v>
      </c>
      <c r="Z46" s="197" t="s">
        <v>460</v>
      </c>
      <c r="AA46" s="16">
        <f>I46+I48</f>
        <v>24.3465208768</v>
      </c>
      <c r="AB46" s="16">
        <f>S46+S48</f>
        <v>15.968627755</v>
      </c>
      <c r="AC46" s="86">
        <f>W46+W48</f>
        <v>10.698886597000001</v>
      </c>
    </row>
    <row r="47" spans="1:39" x14ac:dyDescent="0.25">
      <c r="A47" s="3"/>
      <c r="B47" s="319"/>
      <c r="C47" s="3" t="s">
        <v>14</v>
      </c>
      <c r="D47" s="3" t="s">
        <v>387</v>
      </c>
      <c r="E47" s="16">
        <f>VLOOKUP($D47,Résultats!$B$2:$AX$476,E$5,FALSE)</f>
        <v>1.608611295</v>
      </c>
      <c r="F47" s="16">
        <f>VLOOKUP($D47,Résultats!$B$2:$AX$476,F$5,FALSE)</f>
        <v>7.0411191799999999</v>
      </c>
      <c r="G47" s="22">
        <f>VLOOKUP($D47,Résultats!$B$2:$AX$476,G$5,FALSE)</f>
        <v>6.9876733169999996</v>
      </c>
      <c r="H47" s="16">
        <f>VLOOKUP($D47,Résultats!$B$2:$AX$476,H$5,FALSE)</f>
        <v>6.8149874099999996</v>
      </c>
      <c r="I47" s="86">
        <f>VLOOKUP($D47,Résultats!$B$2:$AX$476,I$5,FALSE)</f>
        <v>6.792712377</v>
      </c>
      <c r="J47" s="22">
        <f>VLOOKUP($D47,Résultats!$B$2:$AX$476,J$5,FALSE)</f>
        <v>6.906570576</v>
      </c>
      <c r="K47" s="16">
        <f>VLOOKUP($D47,Résultats!$B$2:$AX$476,K$5,FALSE)</f>
        <v>7.0384943040000003</v>
      </c>
      <c r="L47" s="16">
        <f>VLOOKUP($D47,Résultats!$B$2:$AX$476,L$5,FALSE)</f>
        <v>7.4566850599999999</v>
      </c>
      <c r="M47" s="16">
        <f>VLOOKUP($D47,Résultats!$B$2:$AX$476,M$5,FALSE)</f>
        <v>7.0458848080000003</v>
      </c>
      <c r="N47" s="86">
        <f>VLOOKUP($D47,Résultats!$B$2:$AX$476,N$5,FALSE)</f>
        <v>6.8996367249999997</v>
      </c>
      <c r="O47" s="22">
        <f>VLOOKUP($D47,Résultats!$B$2:$AX$476,O$5,FALSE)</f>
        <v>6.8435115350000002</v>
      </c>
      <c r="P47" s="16">
        <f>VLOOKUP($D47,Résultats!$B$2:$AX$476,P$5,FALSE)</f>
        <v>6.8085694139999999</v>
      </c>
      <c r="Q47" s="16">
        <f>VLOOKUP($D47,Résultats!$B$2:$AX$476,Q$5,FALSE)</f>
        <v>6.7696948270000004</v>
      </c>
      <c r="R47" s="16">
        <f>VLOOKUP($D47,Résultats!$B$2:$AX$476,R$5,FALSE)</f>
        <v>6.673669683</v>
      </c>
      <c r="S47" s="86">
        <f>VLOOKUP($D47,Résultats!$B$2:$AX$476,S$5,FALSE)</f>
        <v>6.578109338</v>
      </c>
      <c r="T47" s="95">
        <f>VLOOKUP($D47,Résultats!$B$2:$AX$476,T$5,FALSE)</f>
        <v>7.6882889390000004</v>
      </c>
      <c r="U47" s="95">
        <f>VLOOKUP($D47,Résultats!$B$2:$AX$476,U$5,FALSE)</f>
        <v>6.038702797</v>
      </c>
      <c r="V47" s="95">
        <f>VLOOKUP($D47,Résultats!$B$2:$AX$476,V$5,FALSE)</f>
        <v>8.2001118000000002</v>
      </c>
      <c r="W47" s="95">
        <f>VLOOKUP($D47,Résultats!$B$2:$AX$476,W$5,FALSE)</f>
        <v>6.0151230360000003</v>
      </c>
      <c r="X47" s="45">
        <f>W47-'[1]Cibles THREEME'!$AJ18</f>
        <v>-4.4175297655308778</v>
      </c>
      <c r="Z47" s="197" t="s">
        <v>461</v>
      </c>
      <c r="AA47" s="16">
        <f>I33</f>
        <v>63.373762966000001</v>
      </c>
      <c r="AB47" s="16">
        <f>S33</f>
        <v>46.357903009000005</v>
      </c>
      <c r="AC47" s="86">
        <f>W33</f>
        <v>18.386356239000001</v>
      </c>
    </row>
    <row r="48" spans="1:39" x14ac:dyDescent="0.25">
      <c r="A48" s="3"/>
      <c r="B48" s="319"/>
      <c r="C48" s="3" t="s">
        <v>15</v>
      </c>
      <c r="D48" s="3" t="s">
        <v>388</v>
      </c>
      <c r="E48" s="16">
        <f>VLOOKUP($D48,Résultats!$B$2:$AX$476,E$5,FALSE)</f>
        <v>0.2010764119</v>
      </c>
      <c r="F48" s="16">
        <f>VLOOKUP($D48,Résultats!$B$2:$AX$476,F$5,FALSE)</f>
        <v>0.1190013798</v>
      </c>
      <c r="G48" s="22">
        <f>VLOOKUP($D48,Résultats!$B$2:$AX$476,G$5,FALSE)</f>
        <v>0.2856559971</v>
      </c>
      <c r="H48" s="16">
        <f>VLOOKUP($D48,Résultats!$B$2:$AX$476,H$5,FALSE)</f>
        <v>0.33047600440000002</v>
      </c>
      <c r="I48" s="86">
        <f>VLOOKUP($D48,Résultats!$B$2:$AX$476,I$5,FALSE)</f>
        <v>0.37988941679999999</v>
      </c>
      <c r="J48" s="22">
        <f>VLOOKUP($D48,Résultats!$B$2:$AX$476,J$5,FALSE)</f>
        <v>0.58598982619999995</v>
      </c>
      <c r="K48" s="16">
        <f>VLOOKUP($D48,Résultats!$B$2:$AX$476,K$5,FALSE)</f>
        <v>0.79495402140000004</v>
      </c>
      <c r="L48" s="16">
        <f>VLOOKUP($D48,Résultats!$B$2:$AX$476,L$5,FALSE)</f>
        <v>1.0285220369999999</v>
      </c>
      <c r="M48" s="16">
        <f>VLOOKUP($D48,Résultats!$B$2:$AX$476,M$5,FALSE)</f>
        <v>1.088065654</v>
      </c>
      <c r="N48" s="86">
        <f>VLOOKUP($D48,Résultats!$B$2:$AX$476,N$5,FALSE)</f>
        <v>1.155367689</v>
      </c>
      <c r="O48" s="22">
        <f>VLOOKUP($D48,Résultats!$B$2:$AX$476,O$5,FALSE)</f>
        <v>1.480817719</v>
      </c>
      <c r="P48" s="16">
        <f>VLOOKUP($D48,Résultats!$B$2:$AX$476,P$5,FALSE)</f>
        <v>1.793088351</v>
      </c>
      <c r="Q48" s="16">
        <f>VLOOKUP($D48,Résultats!$B$2:$AX$476,Q$5,FALSE)</f>
        <v>2.0870978930000001</v>
      </c>
      <c r="R48" s="16">
        <f>VLOOKUP($D48,Résultats!$B$2:$AX$476,R$5,FALSE)</f>
        <v>2.2914919980000001</v>
      </c>
      <c r="S48" s="86">
        <f>VLOOKUP($D48,Résultats!$B$2:$AX$476,S$5,FALSE)</f>
        <v>2.4742120550000002</v>
      </c>
      <c r="T48" s="95">
        <f>VLOOKUP($D48,Résultats!$B$2:$AX$476,T$5,FALSE)</f>
        <v>4.1406477639999997</v>
      </c>
      <c r="U48" s="95">
        <f>VLOOKUP($D48,Résultats!$B$2:$AX$476,U$5,FALSE)</f>
        <v>5.2685447380000001</v>
      </c>
      <c r="V48" s="95">
        <f>VLOOKUP($D48,Résultats!$B$2:$AX$476,V$5,FALSE)</f>
        <v>6.3471014019999998</v>
      </c>
      <c r="W48" s="95">
        <f>VLOOKUP($D48,Résultats!$B$2:$AX$476,W$5,FALSE)</f>
        <v>6.9299889410000004</v>
      </c>
      <c r="X48" s="45">
        <f>W48-'[1]Cibles THREEME'!$AJ19</f>
        <v>-5.3710960985072189</v>
      </c>
      <c r="Z48" s="198" t="s">
        <v>42</v>
      </c>
      <c r="AA48" s="17">
        <f>I52</f>
        <v>2.052617036</v>
      </c>
      <c r="AB48" s="17">
        <f>S52</f>
        <v>0.28998512830000001</v>
      </c>
      <c r="AC48" s="89">
        <f>W52</f>
        <v>0.1066565629</v>
      </c>
    </row>
    <row r="49" spans="1:29" x14ac:dyDescent="0.25">
      <c r="A49" s="3"/>
      <c r="B49" s="319"/>
      <c r="C49" s="3" t="s">
        <v>16</v>
      </c>
      <c r="D49" s="3" t="s">
        <v>389</v>
      </c>
      <c r="E49" s="16">
        <f>VLOOKUP($D49,Résultats!$B$2:$AX$476,E$5,FALSE)</f>
        <v>0.59518617910000005</v>
      </c>
      <c r="F49" s="16">
        <f>VLOOKUP($D49,Résultats!$B$2:$AX$476,F$5,FALSE)</f>
        <v>0.42237580629999999</v>
      </c>
      <c r="G49" s="22">
        <f>VLOOKUP($D49,Résultats!$B$2:$AX$476,G$5,FALSE)</f>
        <v>0.97020249349999999</v>
      </c>
      <c r="H49" s="16">
        <f>VLOOKUP($D49,Résultats!$B$2:$AX$476,H$5,FALSE)</f>
        <v>1.116837122</v>
      </c>
      <c r="I49" s="86">
        <f>VLOOKUP($D49,Résultats!$B$2:$AX$476,I$5,FALSE)</f>
        <v>1.2792404550000001</v>
      </c>
      <c r="J49" s="22">
        <f>VLOOKUP($D49,Résultats!$B$2:$AX$476,J$5,FALSE)</f>
        <v>1.3200622980000001</v>
      </c>
      <c r="K49" s="16">
        <f>VLOOKUP($D49,Résultats!$B$2:$AX$476,K$5,FALSE)</f>
        <v>1.3644661730000001</v>
      </c>
      <c r="L49" s="16">
        <f>VLOOKUP($D49,Résultats!$B$2:$AX$476,L$5,FALSE)</f>
        <v>1.430344233</v>
      </c>
      <c r="M49" s="16">
        <f>VLOOKUP($D49,Résultats!$B$2:$AX$476,M$5,FALSE)</f>
        <v>1.1914399149999999</v>
      </c>
      <c r="N49" s="86">
        <f>VLOOKUP($D49,Résultats!$B$2:$AX$476,N$5,FALSE)</f>
        <v>1.0144281420000001</v>
      </c>
      <c r="O49" s="22">
        <f>VLOOKUP($D49,Résultats!$B$2:$AX$476,O$5,FALSE)</f>
        <v>1.0271437859999999</v>
      </c>
      <c r="P49" s="16">
        <f>VLOOKUP($D49,Résultats!$B$2:$AX$476,P$5,FALSE)</f>
        <v>1.0416931330000001</v>
      </c>
      <c r="Q49" s="16">
        <f>VLOOKUP($D49,Résultats!$B$2:$AX$476,Q$5,FALSE)</f>
        <v>1.05412386</v>
      </c>
      <c r="R49" s="16">
        <f>VLOOKUP($D49,Résultats!$B$2:$AX$476,R$5,FALSE)</f>
        <v>1.0449434799999999</v>
      </c>
      <c r="S49" s="86">
        <f>VLOOKUP($D49,Résultats!$B$2:$AX$476,S$5,FALSE)</f>
        <v>1.0342757579999999</v>
      </c>
      <c r="T49" s="95">
        <f>VLOOKUP($D49,Résultats!$B$2:$AX$476,T$5,FALSE)</f>
        <v>1.069833136</v>
      </c>
      <c r="U49" s="95">
        <f>VLOOKUP($D49,Résultats!$B$2:$AX$476,U$5,FALSE)</f>
        <v>0.87209619189999998</v>
      </c>
      <c r="V49" s="95">
        <f>VLOOKUP($D49,Résultats!$B$2:$AX$476,V$5,FALSE)</f>
        <v>1.0479522779999999</v>
      </c>
      <c r="W49" s="95">
        <f>VLOOKUP($D49,Résultats!$B$2:$AX$476,W$5,FALSE)</f>
        <v>0.78825135059999996</v>
      </c>
      <c r="X49" s="45">
        <f>W49-'[1]Cibles THREEME'!$AJ20</f>
        <v>8.9121615485885708E-2</v>
      </c>
      <c r="Z49" s="189" t="s">
        <v>485</v>
      </c>
      <c r="AA49" s="189">
        <f>SUM(AA44:AA48)</f>
        <v>139.18877945279999</v>
      </c>
      <c r="AB49" s="189">
        <f t="shared" ref="AB49:AC49" si="12">SUM(AB44:AB48)</f>
        <v>118.70222997170001</v>
      </c>
      <c r="AC49" s="189">
        <f t="shared" si="12"/>
        <v>85.201889451319985</v>
      </c>
    </row>
    <row r="50" spans="1:29" x14ac:dyDescent="0.25">
      <c r="A50" s="3"/>
      <c r="B50" s="319"/>
      <c r="C50" s="3" t="s">
        <v>17</v>
      </c>
      <c r="D50" s="3" t="s">
        <v>390</v>
      </c>
      <c r="E50" s="16">
        <f>VLOOKUP($D50,Résultats!$B$2:$AX$476,E$5,FALSE)</f>
        <v>0.2010764119</v>
      </c>
      <c r="F50" s="16">
        <f>VLOOKUP($D50,Résultats!$B$2:$AX$476,F$5,FALSE)</f>
        <v>0.20230992719999999</v>
      </c>
      <c r="G50" s="22">
        <f>VLOOKUP($D50,Résultats!$B$2:$AX$476,G$5,FALSE)</f>
        <v>0.2874068005</v>
      </c>
      <c r="H50" s="16">
        <f>VLOOKUP($D50,Résultats!$B$2:$AX$476,H$5,FALSE)</f>
        <v>0.30712736019999998</v>
      </c>
      <c r="I50" s="86">
        <f>VLOOKUP($D50,Résultats!$B$2:$AX$476,I$5,FALSE)</f>
        <v>0.33223021740000003</v>
      </c>
      <c r="J50" s="22">
        <f>VLOOKUP($D50,Résultats!$B$2:$AX$476,J$5,FALSE)</f>
        <v>0.39156071780000001</v>
      </c>
      <c r="K50" s="16">
        <f>VLOOKUP($D50,Résultats!$B$2:$AX$476,K$5,FALSE)</f>
        <v>0.45227369020000002</v>
      </c>
      <c r="L50" s="16">
        <f>VLOOKUP($D50,Résultats!$B$2:$AX$476,L$5,FALSE)</f>
        <v>0.54026796720000003</v>
      </c>
      <c r="M50" s="16">
        <f>VLOOKUP($D50,Résultats!$B$2:$AX$476,M$5,FALSE)</f>
        <v>0.5062335348</v>
      </c>
      <c r="N50" s="86">
        <f>VLOOKUP($D50,Résultats!$B$2:$AX$476,N$5,FALSE)</f>
        <v>0.50171536930000005</v>
      </c>
      <c r="O50" s="22">
        <f>VLOOKUP($D50,Résultats!$B$2:$AX$476,O$5,FALSE)</f>
        <v>0.53352756639999999</v>
      </c>
      <c r="P50" s="16">
        <f>VLOOKUP($D50,Résultats!$B$2:$AX$476,P$5,FALSE)</f>
        <v>0.56519469150000001</v>
      </c>
      <c r="Q50" s="16">
        <f>VLOOKUP($D50,Résultats!$B$2:$AX$476,Q$5,FALSE)</f>
        <v>0.59489092259999998</v>
      </c>
      <c r="R50" s="16">
        <f>VLOOKUP($D50,Résultats!$B$2:$AX$476,R$5,FALSE)</f>
        <v>0.61910164180000005</v>
      </c>
      <c r="S50" s="86">
        <f>VLOOKUP($D50,Résultats!$B$2:$AX$476,S$5,FALSE)</f>
        <v>0.64082717229999997</v>
      </c>
      <c r="T50" s="95">
        <f>VLOOKUP($D50,Résultats!$B$2:$AX$476,T$5,FALSE)</f>
        <v>0.99946951640000004</v>
      </c>
      <c r="U50" s="95">
        <f>VLOOKUP($D50,Résultats!$B$2:$AX$476,U$5,FALSE)</f>
        <v>0.83859796480000004</v>
      </c>
      <c r="V50" s="95">
        <f>VLOOKUP($D50,Résultats!$B$2:$AX$476,V$5,FALSE)</f>
        <v>1.1511043910000001</v>
      </c>
      <c r="W50" s="95">
        <f>VLOOKUP($D50,Résultats!$B$2:$AX$476,W$5,FALSE)</f>
        <v>0.89309429809999996</v>
      </c>
      <c r="X50" s="45">
        <f>W50-'[1]Cibles THREEME'!$AJ21</f>
        <v>-4.9869571924050393E-2</v>
      </c>
    </row>
    <row r="51" spans="1:29" x14ac:dyDescent="0.25">
      <c r="A51" s="3"/>
      <c r="B51" s="320"/>
      <c r="C51" s="7" t="s">
        <v>12</v>
      </c>
      <c r="D51" s="3" t="s">
        <v>391</v>
      </c>
      <c r="E51" s="17">
        <f>VLOOKUP($D51,Résultats!$B$2:$AX$476,E$5,FALSE)</f>
        <v>0.4021528237</v>
      </c>
      <c r="F51" s="17">
        <f>VLOOKUP($D51,Résultats!$B$2:$AX$476,F$5,FALSE)</f>
        <v>3.7627669030000002</v>
      </c>
      <c r="G51" s="88">
        <f>VLOOKUP($D51,Résultats!$B$2:$AX$476,G$5,FALSE)</f>
        <v>2.8724051309999998</v>
      </c>
      <c r="H51" s="17">
        <f>VLOOKUP($D51,Résultats!$B$2:$AX$476,H$5,FALSE)</f>
        <v>2.5345882909999999</v>
      </c>
      <c r="I51" s="89">
        <f>VLOOKUP($D51,Résultats!$B$2:$AX$476,I$5,FALSE)</f>
        <v>2.2666002999999999</v>
      </c>
      <c r="J51" s="88">
        <f>VLOOKUP($D51,Résultats!$B$2:$AX$476,J$5,FALSE)</f>
        <v>2.7004176489999998</v>
      </c>
      <c r="K51" s="17">
        <f>VLOOKUP($D51,Résultats!$B$2:$AX$476,K$5,FALSE)</f>
        <v>3.1439362470000001</v>
      </c>
      <c r="L51" s="17">
        <f>VLOOKUP($D51,Résultats!$B$2:$AX$476,L$5,FALSE)</f>
        <v>3.628558891</v>
      </c>
      <c r="M51" s="17">
        <f>VLOOKUP($D51,Résultats!$B$2:$AX$476,M$5,FALSE)</f>
        <v>4.02350692</v>
      </c>
      <c r="N51" s="89">
        <f>VLOOKUP($D51,Résultats!$B$2:$AX$476,N$5,FALSE)</f>
        <v>4.3728999259999997</v>
      </c>
      <c r="O51" s="88">
        <f>VLOOKUP($D51,Résultats!$B$2:$AX$476,O$5,FALSE)</f>
        <v>4.5896662340000001</v>
      </c>
      <c r="P51" s="17">
        <f>VLOOKUP($D51,Résultats!$B$2:$AX$476,P$5,FALSE)</f>
        <v>4.8056976039999997</v>
      </c>
      <c r="Q51" s="17">
        <f>VLOOKUP($D51,Résultats!$B$2:$AX$476,Q$5,FALSE)</f>
        <v>5.0030507990000004</v>
      </c>
      <c r="R51" s="17">
        <f>VLOOKUP($D51,Résultats!$B$2:$AX$476,R$5,FALSE)</f>
        <v>5.1289240749999996</v>
      </c>
      <c r="S51" s="89">
        <f>VLOOKUP($D51,Résultats!$B$2:$AX$476,S$5,FALSE)</f>
        <v>5.2310644599999998</v>
      </c>
      <c r="T51" s="97">
        <f>VLOOKUP($D51,Résultats!$B$2:$AX$476,T$5,FALSE)</f>
        <v>5.950045394</v>
      </c>
      <c r="U51" s="97">
        <f>VLOOKUP($D51,Résultats!$B$2:$AX$476,U$5,FALSE)</f>
        <v>5.8970943289999997</v>
      </c>
      <c r="V51" s="97">
        <f>VLOOKUP($D51,Résultats!$B$2:$AX$476,V$5,FALSE)</f>
        <v>6.3275736519999999</v>
      </c>
      <c r="W51" s="97">
        <f>VLOOKUP($D51,Résultats!$B$2:$AX$476,W$5,FALSE)</f>
        <v>5.7059558529999999</v>
      </c>
      <c r="X51" s="45">
        <f>W51-'[1]Cibles THREEME'!$AJ22</f>
        <v>-1.0553645385324089</v>
      </c>
    </row>
    <row r="52" spans="1:29" x14ac:dyDescent="0.25">
      <c r="A52" s="3"/>
      <c r="B52" s="170" t="s">
        <v>8</v>
      </c>
      <c r="C52" s="2"/>
      <c r="D52" s="14" t="s">
        <v>392</v>
      </c>
      <c r="E52" s="6">
        <f>VLOOKUP($D52,Résultats!$B$2:$AX$476,E$5,FALSE)</f>
        <v>5.7508898210000003</v>
      </c>
      <c r="F52" s="6">
        <f>VLOOKUP($D52,Résultats!$B$2:$AX$476,F$5,FALSE)</f>
        <v>4.1903269859999996</v>
      </c>
      <c r="G52" s="84">
        <f>VLOOKUP($D52,Résultats!$B$2:$AX$476,G$5,FALSE)</f>
        <v>2.4425633360000001</v>
      </c>
      <c r="H52" s="6">
        <f>VLOOKUP($D52,Résultats!$B$2:$AX$476,H$5,FALSE)</f>
        <v>2.229243114</v>
      </c>
      <c r="I52" s="85">
        <f>VLOOKUP($D52,Résultats!$B$2:$AX$476,I$5,FALSE)</f>
        <v>2.052617036</v>
      </c>
      <c r="J52" s="84">
        <f>VLOOKUP($D52,Résultats!$B$2:$AX$476,J$5,FALSE)</f>
        <v>2.0139272940000001</v>
      </c>
      <c r="K52" s="6">
        <f>VLOOKUP($D52,Résultats!$B$2:$AX$476,K$5,FALSE)</f>
        <v>1.9885553650000001</v>
      </c>
      <c r="L52" s="6">
        <f>VLOOKUP($D52,Résultats!$B$2:$AX$476,L$5,FALSE)</f>
        <v>1.685813303</v>
      </c>
      <c r="M52" s="6">
        <f>VLOOKUP($D52,Résultats!$B$2:$AX$476,M$5,FALSE)</f>
        <v>1.291013553</v>
      </c>
      <c r="N52" s="85">
        <f>VLOOKUP($D52,Résultats!$B$2:$AX$476,N$5,FALSE)</f>
        <v>0.92962630560000004</v>
      </c>
      <c r="O52" s="84">
        <f>VLOOKUP($D52,Résultats!$B$2:$AX$476,O$5,FALSE)</f>
        <v>0.69574596529999999</v>
      </c>
      <c r="P52" s="6">
        <f>VLOOKUP($D52,Résultats!$B$2:$AX$476,P$5,FALSE)</f>
        <v>0.53793738059999996</v>
      </c>
      <c r="Q52" s="6">
        <f>VLOOKUP($D52,Résultats!$B$2:$AX$476,Q$5,FALSE)</f>
        <v>0.42738048049999999</v>
      </c>
      <c r="R52" s="6">
        <f>VLOOKUP($D52,Résultats!$B$2:$AX$476,R$5,FALSE)</f>
        <v>0.347907672</v>
      </c>
      <c r="S52" s="85">
        <f>VLOOKUP($D52,Résultats!$B$2:$AX$476,S$5,FALSE)</f>
        <v>0.28998512830000001</v>
      </c>
      <c r="T52" s="94">
        <f>VLOOKUP($D52,Résultats!$B$2:$AX$476,T$5,FALSE)</f>
        <v>0.1893240863</v>
      </c>
      <c r="U52" s="94">
        <f>VLOOKUP($D52,Résultats!$B$2:$AX$476,U$5,FALSE)</f>
        <v>0.14972520449999999</v>
      </c>
      <c r="V52" s="94">
        <f>VLOOKUP($D52,Résultats!$B$2:$AX$476,V$5,FALSE)</f>
        <v>0.12339649799999999</v>
      </c>
      <c r="W52" s="94">
        <f>VLOOKUP($D52,Résultats!$B$2:$AX$476,W$5,FALSE)</f>
        <v>0.1066565629</v>
      </c>
      <c r="X52" s="3"/>
    </row>
    <row r="53" spans="1:29" x14ac:dyDescent="0.25">
      <c r="A53" s="3"/>
      <c r="B53" s="169" t="s">
        <v>1</v>
      </c>
      <c r="C53" s="2"/>
      <c r="D53" s="2" t="s">
        <v>393</v>
      </c>
      <c r="E53" s="9">
        <f>E52+E45+E36+E33</f>
        <v>160.9935229955</v>
      </c>
      <c r="F53" s="9">
        <f>F52+F45+F36+F33</f>
        <v>153.9589819999</v>
      </c>
      <c r="G53" s="23">
        <f t="shared" ref="G53:R53" si="13">G52+G45+G36+G33</f>
        <v>145.01247105619998</v>
      </c>
      <c r="H53" s="9">
        <f t="shared" si="13"/>
        <v>141.85548869680002</v>
      </c>
      <c r="I53" s="90">
        <f t="shared" si="13"/>
        <v>139.18877945280002</v>
      </c>
      <c r="J53" s="23">
        <f t="shared" si="13"/>
        <v>138.40932576820001</v>
      </c>
      <c r="K53" s="9">
        <f t="shared" si="13"/>
        <v>137.81774878070001</v>
      </c>
      <c r="L53" s="9">
        <f t="shared" si="13"/>
        <v>136.6773188926</v>
      </c>
      <c r="M53" s="9">
        <f t="shared" si="13"/>
        <v>134.75165814810001</v>
      </c>
      <c r="N53" s="90">
        <f t="shared" si="13"/>
        <v>132.13532406160002</v>
      </c>
      <c r="O53" s="23">
        <f t="shared" si="13"/>
        <v>129.36743939740001</v>
      </c>
      <c r="P53" s="9">
        <f t="shared" si="13"/>
        <v>126.7727883223</v>
      </c>
      <c r="Q53" s="9">
        <f t="shared" si="13"/>
        <v>124.2070165904</v>
      </c>
      <c r="R53" s="9">
        <f t="shared" si="13"/>
        <v>121.42214364990002</v>
      </c>
      <c r="S53" s="90">
        <f>S52+S45+S36+S33</f>
        <v>118.70222997170001</v>
      </c>
      <c r="T53" s="98">
        <f>T52+T45+T36+T33</f>
        <v>106.91220070705</v>
      </c>
      <c r="U53" s="98">
        <f>U52+U45+U36+U33</f>
        <v>97.767056030420008</v>
      </c>
      <c r="V53" s="98">
        <f>V52+V45+V36+V33</f>
        <v>90.917643604959991</v>
      </c>
      <c r="W53" s="98">
        <f>W52+W45+W36+W33</f>
        <v>85.20188945132</v>
      </c>
      <c r="X53" s="3"/>
    </row>
    <row r="54" spans="1:29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9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9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9" s="3" customFormat="1" x14ac:dyDescent="0.25"/>
    <row r="58" spans="1:29" s="3" customFormat="1" x14ac:dyDescent="0.25"/>
    <row r="59" spans="1:29" s="3" customFormat="1" x14ac:dyDescent="0.25"/>
    <row r="60" spans="1:29" s="3" customFormat="1" x14ac:dyDescent="0.25"/>
    <row r="61" spans="1:29" s="3" customFormat="1" x14ac:dyDescent="0.25"/>
    <row r="62" spans="1:29" s="3" customFormat="1" x14ac:dyDescent="0.25"/>
    <row r="63" spans="1:29" s="3" customFormat="1" x14ac:dyDescent="0.25"/>
    <row r="64" spans="1:29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</sheetData>
  <mergeCells count="6">
    <mergeCell ref="B45:B51"/>
    <mergeCell ref="B7:B9"/>
    <mergeCell ref="B10:B18"/>
    <mergeCell ref="B19:B25"/>
    <mergeCell ref="B33:B35"/>
    <mergeCell ref="B36:B44"/>
  </mergeCells>
  <pageMargins left="0.7" right="0.7" top="0.75" bottom="0.75" header="0.3" footer="0.3"/>
  <ignoredErrors>
    <ignoredError sqref="F10:W10 E19:W19 E10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>
    <tabColor rgb="FF0070C0"/>
  </sheetPr>
  <dimension ref="A1:AE860"/>
  <sheetViews>
    <sheetView tabSelected="1" topLeftCell="A82" zoomScale="70" zoomScaleNormal="70" workbookViewId="0">
      <selection activeCell="U66" sqref="U1:AD1048576"/>
    </sheetView>
  </sheetViews>
  <sheetFormatPr baseColWidth="10" defaultRowHeight="15" x14ac:dyDescent="0.25"/>
  <cols>
    <col min="1" max="2" width="11.42578125" style="3"/>
    <col min="3" max="3" width="37.28515625" customWidth="1"/>
    <col min="4" max="4" width="25.28515625" hidden="1" customWidth="1"/>
    <col min="5" max="5" width="24" hidden="1" customWidth="1"/>
    <col min="6" max="6" width="25.42578125" hidden="1" customWidth="1"/>
    <col min="7" max="7" width="24.5703125" hidden="1" customWidth="1"/>
    <col min="8" max="8" width="15.7109375" customWidth="1"/>
    <col min="9" max="9" width="14" customWidth="1"/>
    <col min="11" max="12" width="11.42578125" customWidth="1"/>
    <col min="14" max="14" width="24.85546875" style="3" customWidth="1"/>
    <col min="20" max="20" width="11.42578125" style="3"/>
    <col min="21" max="21" width="37.28515625" customWidth="1"/>
    <col min="22" max="22" width="25.28515625" hidden="1" customWidth="1"/>
    <col min="23" max="23" width="24" hidden="1" customWidth="1"/>
    <col min="24" max="24" width="25.42578125" hidden="1" customWidth="1"/>
    <col min="25" max="25" width="24.5703125" hidden="1" customWidth="1"/>
    <col min="26" max="26" width="15.7109375" customWidth="1"/>
    <col min="27" max="27" width="14" customWidth="1"/>
    <col min="31" max="31" width="11.42578125" style="3"/>
  </cols>
  <sheetData>
    <row r="1" spans="1:30" ht="28.5" x14ac:dyDescent="0.45">
      <c r="A1" s="171" t="s">
        <v>98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O1" s="3"/>
      <c r="P1" s="3"/>
      <c r="Q1" s="3"/>
      <c r="R1" s="3"/>
      <c r="S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5">
      <c r="B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O2" s="3"/>
      <c r="P2" s="3"/>
      <c r="Q2" s="3"/>
      <c r="R2" s="3"/>
      <c r="S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3.25" x14ac:dyDescent="0.35">
      <c r="A3" s="1" t="s">
        <v>82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/>
      <c r="P3" s="3"/>
      <c r="Q3" s="3"/>
      <c r="R3" s="41"/>
      <c r="S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3.25" x14ac:dyDescent="0.35">
      <c r="A4" s="161" t="str">
        <f>Résultats!B1</f>
        <v>SNBC3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R4" s="41"/>
      <c r="S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3.25" x14ac:dyDescent="0.35">
      <c r="A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R5" s="41"/>
      <c r="S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8.75" x14ac:dyDescent="0.3">
      <c r="B6" s="42"/>
      <c r="C6" s="42"/>
      <c r="D6" s="42"/>
      <c r="E6" s="42"/>
      <c r="F6" s="42"/>
      <c r="G6" s="42"/>
      <c r="H6" s="42"/>
      <c r="I6" s="42"/>
      <c r="J6" s="3"/>
      <c r="K6" s="3"/>
      <c r="M6" s="3"/>
      <c r="O6" s="3"/>
      <c r="P6" s="3"/>
      <c r="Q6" s="3"/>
      <c r="R6" s="41"/>
      <c r="S6" s="41"/>
      <c r="T6" s="42"/>
      <c r="U6" s="42"/>
      <c r="V6" s="42"/>
      <c r="W6" s="42"/>
      <c r="X6" s="42"/>
      <c r="Y6" s="42"/>
      <c r="Z6" s="42"/>
      <c r="AA6" s="42"/>
      <c r="AB6" s="3"/>
      <c r="AC6" s="3"/>
    </row>
    <row r="7" spans="1:30" ht="18.75" x14ac:dyDescent="0.3">
      <c r="C7" s="41" t="s">
        <v>83</v>
      </c>
      <c r="I7" s="3"/>
      <c r="J7" s="3"/>
      <c r="K7" s="3"/>
      <c r="L7" s="3"/>
      <c r="M7" s="3"/>
      <c r="N7" s="41" t="s">
        <v>84</v>
      </c>
      <c r="O7" s="3"/>
      <c r="P7" s="3"/>
      <c r="Q7" s="3"/>
      <c r="R7" s="3"/>
      <c r="S7" s="3"/>
      <c r="U7" s="41" t="s">
        <v>83</v>
      </c>
      <c r="AA7" s="3"/>
      <c r="AB7" s="3"/>
      <c r="AC7" s="3"/>
      <c r="AD7" s="3"/>
    </row>
    <row r="8" spans="1:30" ht="23.25" x14ac:dyDescent="0.35">
      <c r="B8" s="46"/>
      <c r="C8" s="42" t="s">
        <v>50</v>
      </c>
      <c r="D8" s="3"/>
      <c r="E8" s="42"/>
      <c r="F8" s="42"/>
      <c r="G8" s="42"/>
      <c r="H8" s="42"/>
      <c r="I8" s="42"/>
      <c r="J8" s="42"/>
      <c r="K8" s="42"/>
      <c r="L8" s="3"/>
      <c r="M8" s="3"/>
      <c r="N8" t="s">
        <v>85</v>
      </c>
      <c r="U8" s="42" t="s">
        <v>50</v>
      </c>
      <c r="V8" s="3"/>
      <c r="W8" s="42"/>
      <c r="X8" s="42"/>
      <c r="Y8" s="42"/>
      <c r="Z8" s="42"/>
      <c r="AA8" s="42"/>
      <c r="AB8" s="42"/>
      <c r="AC8" s="42"/>
      <c r="AD8" s="3"/>
    </row>
    <row r="9" spans="1:30" x14ac:dyDescent="0.25">
      <c r="B9" s="42"/>
      <c r="C9" s="3"/>
      <c r="D9" s="3"/>
      <c r="E9" s="3"/>
      <c r="F9" s="3"/>
      <c r="G9" s="3"/>
      <c r="H9" s="42"/>
      <c r="I9" s="42"/>
      <c r="J9" s="42"/>
      <c r="K9" s="42"/>
      <c r="L9" s="3"/>
      <c r="M9" s="3"/>
      <c r="O9" s="3"/>
      <c r="P9" s="3"/>
      <c r="Q9" s="3"/>
      <c r="R9" s="3"/>
      <c r="S9" s="3"/>
      <c r="U9" s="3"/>
      <c r="V9" s="3"/>
      <c r="W9" s="3"/>
      <c r="X9" s="3"/>
      <c r="Y9" s="3"/>
      <c r="Z9" s="42"/>
      <c r="AA9" s="42"/>
      <c r="AB9" s="42"/>
      <c r="AC9" s="42"/>
      <c r="AD9" s="3"/>
    </row>
    <row r="10" spans="1:30" ht="31.5" x14ac:dyDescent="0.35">
      <c r="B10" s="42"/>
      <c r="C10" s="145">
        <v>2015</v>
      </c>
      <c r="D10" s="146"/>
      <c r="E10" s="146"/>
      <c r="F10" s="146"/>
      <c r="G10" s="146"/>
      <c r="H10" s="76" t="s">
        <v>36</v>
      </c>
      <c r="I10" s="76" t="s">
        <v>49</v>
      </c>
      <c r="J10" s="76" t="s">
        <v>38</v>
      </c>
      <c r="K10" s="76" t="s">
        <v>48</v>
      </c>
      <c r="L10" s="93" t="s">
        <v>1</v>
      </c>
      <c r="M10" s="19"/>
      <c r="N10" s="145">
        <v>2015</v>
      </c>
      <c r="O10" s="141" t="s">
        <v>36</v>
      </c>
      <c r="P10" s="76" t="s">
        <v>49</v>
      </c>
      <c r="Q10" s="76" t="s">
        <v>38</v>
      </c>
      <c r="R10" s="76" t="s">
        <v>48</v>
      </c>
      <c r="S10" s="93" t="s">
        <v>1</v>
      </c>
      <c r="U10" s="145">
        <v>2015</v>
      </c>
      <c r="V10" s="146"/>
      <c r="W10" s="146"/>
      <c r="X10" s="146"/>
      <c r="Y10" s="146"/>
      <c r="Z10" s="76" t="s">
        <v>36</v>
      </c>
      <c r="AA10" s="76" t="s">
        <v>49</v>
      </c>
      <c r="AB10" s="76" t="s">
        <v>38</v>
      </c>
      <c r="AC10" s="76" t="s">
        <v>48</v>
      </c>
      <c r="AD10" s="93" t="s">
        <v>1</v>
      </c>
    </row>
    <row r="11" spans="1:30" x14ac:dyDescent="0.25">
      <c r="C11" s="147" t="s">
        <v>18</v>
      </c>
      <c r="H11" s="8">
        <f>SUM(H12:H13)</f>
        <v>0</v>
      </c>
      <c r="I11" s="8">
        <f>SUM(I12:I13)</f>
        <v>43.235242030000002</v>
      </c>
      <c r="J11" s="8">
        <f>SUM(J12:J13)</f>
        <v>1.215759018</v>
      </c>
      <c r="K11" s="8">
        <f>SUM(K12:K13)</f>
        <v>0.22964514108840001</v>
      </c>
      <c r="L11" s="96">
        <f>SUM(H11:K11)</f>
        <v>44.680646189088399</v>
      </c>
      <c r="M11" s="75"/>
      <c r="N11" s="150" t="s">
        <v>18</v>
      </c>
      <c r="O11" s="29">
        <f>'[2]Bilan 2015'!$X$46</f>
        <v>0</v>
      </c>
      <c r="P11" s="28">
        <f>SUM('[2]Bilan 2015'!$X$41:$X$43)</f>
        <v>42.748696780825377</v>
      </c>
      <c r="Q11" s="28">
        <f>'[2]Bilan 2015'!$X$13</f>
        <v>0.94471195184866696</v>
      </c>
      <c r="R11" s="28">
        <f>('[2]Bilan 2015'!$X$22+'[2]Bilan 2015'!$X$30+SUM('[2]Bilan 2015'!$X$36:$X$40)+SUM('[2]Bilan 2015'!$X$44:$X$45)+'[2]Bilan 2015'!$X$47)</f>
        <v>7.267406707154804E-2</v>
      </c>
      <c r="S11" s="142">
        <f>SUM(O11:R11)</f>
        <v>43.76608279974559</v>
      </c>
      <c r="U11" s="147" t="s">
        <v>18</v>
      </c>
      <c r="Z11" s="8">
        <v>0</v>
      </c>
      <c r="AA11" s="8">
        <v>43.655444759999995</v>
      </c>
      <c r="AB11" s="8">
        <v>1.3708612775</v>
      </c>
      <c r="AC11" s="8">
        <v>0.26944764454513997</v>
      </c>
      <c r="AD11" s="96">
        <v>45.295753682045131</v>
      </c>
    </row>
    <row r="12" spans="1:30" x14ac:dyDescent="0.25">
      <c r="C12" s="148" t="s">
        <v>19</v>
      </c>
      <c r="D12" t="s">
        <v>394</v>
      </c>
      <c r="E12" t="s">
        <v>395</v>
      </c>
      <c r="F12" t="s">
        <v>396</v>
      </c>
      <c r="G12" t="s">
        <v>397</v>
      </c>
      <c r="H12" s="16">
        <f>VLOOKUP(D12,Résultats!$B$2:$AX$476,'T energie vecteurs'!F5,FALSE)</f>
        <v>0</v>
      </c>
      <c r="I12" s="16">
        <f>VLOOKUP(E12,Résultats!$B$2:$AX$476,'T energie vecteurs'!F5,FALSE)</f>
        <v>24.202573730000001</v>
      </c>
      <c r="J12" s="16">
        <f>VLOOKUP(F12,Résultats!$B$2:$AX$476,'T energie vecteurs'!F5,FALSE)</f>
        <v>2.8859426000000001E-2</v>
      </c>
      <c r="K12" s="16">
        <f>VLOOKUP(G12,Résultats!$B$2:$AX$476,'T energie vecteurs'!F5,FALSE)</f>
        <v>1.04523884E-5</v>
      </c>
      <c r="L12" s="95">
        <f t="shared" ref="L12:L19" si="0">SUM(H12:K12)</f>
        <v>24.2314436083884</v>
      </c>
      <c r="M12" s="16"/>
      <c r="N12" s="148" t="s">
        <v>19</v>
      </c>
      <c r="O12" s="143"/>
      <c r="P12" s="16"/>
      <c r="Q12" s="34"/>
      <c r="R12" s="16"/>
      <c r="S12" s="95"/>
      <c r="U12" s="148" t="s">
        <v>19</v>
      </c>
      <c r="V12" t="s">
        <v>394</v>
      </c>
      <c r="W12" t="s">
        <v>395</v>
      </c>
      <c r="X12" t="s">
        <v>396</v>
      </c>
      <c r="Y12" t="s">
        <v>397</v>
      </c>
      <c r="Z12" s="16">
        <v>0</v>
      </c>
      <c r="AA12" s="16">
        <v>24.375674969999999</v>
      </c>
      <c r="AB12" s="16">
        <v>2.8638346499999998E-2</v>
      </c>
      <c r="AC12" s="16">
        <v>6.2334451400000002E-6</v>
      </c>
      <c r="AD12" s="95">
        <v>24.404319549945139</v>
      </c>
    </row>
    <row r="13" spans="1:30" x14ac:dyDescent="0.25">
      <c r="C13" s="149" t="s">
        <v>20</v>
      </c>
      <c r="D13" t="s">
        <v>398</v>
      </c>
      <c r="E13" t="s">
        <v>399</v>
      </c>
      <c r="F13" t="s">
        <v>400</v>
      </c>
      <c r="G13" t="s">
        <v>401</v>
      </c>
      <c r="H13" s="16">
        <f>VLOOKUP(D13,Résultats!$B$2:$AX$476,'T energie vecteurs'!F5,FALSE)</f>
        <v>0</v>
      </c>
      <c r="I13" s="16">
        <f>VLOOKUP(E13,Résultats!$B$2:$AX$476,'T energie vecteurs'!F5,FALSE)</f>
        <v>19.032668300000001</v>
      </c>
      <c r="J13" s="16">
        <f>VLOOKUP(F13,Résultats!$B$2:$AX$476,'T energie vecteurs'!F5,FALSE)</f>
        <v>1.1868995920000001</v>
      </c>
      <c r="K13" s="16">
        <f>VLOOKUP(G13,Résultats!$B$2:$AX$476,'T energie vecteurs'!F5,FALSE)</f>
        <v>0.22963468870000001</v>
      </c>
      <c r="L13" s="95">
        <f t="shared" si="0"/>
        <v>20.4492025807</v>
      </c>
      <c r="M13" s="16"/>
      <c r="N13" s="149" t="s">
        <v>20</v>
      </c>
      <c r="O13" s="143"/>
      <c r="P13" s="16"/>
      <c r="Q13" s="34"/>
      <c r="R13" s="16"/>
      <c r="S13" s="95"/>
      <c r="U13" s="149" t="s">
        <v>20</v>
      </c>
      <c r="V13" t="s">
        <v>398</v>
      </c>
      <c r="W13" t="s">
        <v>399</v>
      </c>
      <c r="X13" t="s">
        <v>400</v>
      </c>
      <c r="Y13" t="s">
        <v>401</v>
      </c>
      <c r="Z13" s="16">
        <v>0</v>
      </c>
      <c r="AA13" s="16">
        <v>19.27976979</v>
      </c>
      <c r="AB13" s="16">
        <v>1.342222931</v>
      </c>
      <c r="AC13" s="16">
        <v>0.26944141109999997</v>
      </c>
      <c r="AD13" s="95">
        <v>20.891434132099999</v>
      </c>
    </row>
    <row r="14" spans="1:30" x14ac:dyDescent="0.25">
      <c r="C14" s="147" t="s">
        <v>21</v>
      </c>
      <c r="D14" t="s">
        <v>402</v>
      </c>
      <c r="E14" t="s">
        <v>403</v>
      </c>
      <c r="F14" t="s">
        <v>404</v>
      </c>
      <c r="G14" t="s">
        <v>405</v>
      </c>
      <c r="H14" s="8">
        <f>VLOOKUP(D14,Résultats!$B$2:$AX$476,'T energie vecteurs'!F5,FALSE)</f>
        <v>0.29368456009999999</v>
      </c>
      <c r="I14" s="8">
        <f>VLOOKUP(E14,Résultats!$B$2:$AX$476,'T energie vecteurs'!F5,FALSE)</f>
        <v>7.174767203</v>
      </c>
      <c r="J14" s="8">
        <f>VLOOKUP(F14,Résultats!$B$2:$AX$476,'T energie vecteurs'!F5,FALSE)</f>
        <v>14.024228150000001</v>
      </c>
      <c r="K14" s="8">
        <f>VLOOKUP(G14,Résultats!$B$2:$AX$476,'T energie vecteurs'!F5,FALSE)+5</f>
        <v>21.106097219999999</v>
      </c>
      <c r="L14" s="96">
        <f>SUM(H14:K14)</f>
        <v>42.5987771331</v>
      </c>
      <c r="M14" s="75"/>
      <c r="N14" s="150" t="s">
        <v>21</v>
      </c>
      <c r="O14" s="29">
        <f>'[2]Bilan 2015'!$V$46</f>
        <v>3.6764196608413298E-2</v>
      </c>
      <c r="P14" s="28">
        <f>SUM('[2]Bilan 2015'!$V$41:$V$43)</f>
        <v>6.6752954110546101</v>
      </c>
      <c r="Q14" s="28">
        <f>'[2]Bilan 2015'!$V$13</f>
        <v>13.6203670581426</v>
      </c>
      <c r="R14" s="28">
        <f>('[2]Bilan 2015'!$V$22+'[2]Bilan 2015'!$V$30+SUM('[2]Bilan 2015'!$V$36:$V$40)+SUM('[2]Bilan 2015'!$V$44:$V$45)+'[2]Bilan 2015'!$V$47)</f>
        <v>21.832863706323721</v>
      </c>
      <c r="S14" s="142">
        <f t="shared" ref="S14:S19" si="1">SUM(O14:R14)</f>
        <v>42.165290372129348</v>
      </c>
      <c r="U14" s="147" t="s">
        <v>21</v>
      </c>
      <c r="V14" t="s">
        <v>402</v>
      </c>
      <c r="W14" t="s">
        <v>403</v>
      </c>
      <c r="X14" t="s">
        <v>404</v>
      </c>
      <c r="Y14" t="s">
        <v>405</v>
      </c>
      <c r="Z14" s="8">
        <v>0.29143290669999999</v>
      </c>
      <c r="AA14" s="8">
        <v>6.7506659720000002</v>
      </c>
      <c r="AB14" s="8">
        <v>14.41119116</v>
      </c>
      <c r="AC14" s="8">
        <v>20.636263469999999</v>
      </c>
      <c r="AD14" s="96">
        <v>42.0895535087</v>
      </c>
    </row>
    <row r="15" spans="1:30" x14ac:dyDescent="0.25">
      <c r="C15" s="147" t="s">
        <v>22</v>
      </c>
      <c r="D15" t="s">
        <v>406</v>
      </c>
      <c r="E15" t="s">
        <v>407</v>
      </c>
      <c r="F15" t="s">
        <v>408</v>
      </c>
      <c r="G15" t="s">
        <v>409</v>
      </c>
      <c r="H15" s="8">
        <f>VLOOKUP(D15,Résultats!$B$2:$AX$476,'T energie vecteurs'!F5,FALSE)</f>
        <v>0</v>
      </c>
      <c r="I15" s="8">
        <f>VLOOKUP(E15,Résultats!$B$2:$AX$476,'T energie vecteurs'!F5,FALSE)</f>
        <v>4.2755145710000004</v>
      </c>
      <c r="J15" s="8">
        <f>VLOOKUP(F15,Résultats!$B$2:$AX$476,'T energie vecteurs'!F5,FALSE)</f>
        <v>13.311592879999999</v>
      </c>
      <c r="K15" s="8">
        <f>VLOOKUP(G15,Résultats!$B$2:$AX$476,'T energie vecteurs'!F5,FALSE)</f>
        <v>9.7260670430000005</v>
      </c>
      <c r="L15" s="96">
        <f t="shared" si="0"/>
        <v>27.313174494000002</v>
      </c>
      <c r="M15" s="75"/>
      <c r="N15" s="150" t="s">
        <v>22</v>
      </c>
      <c r="O15" s="29">
        <f>'[2]Bilan 2015'!$W$46</f>
        <v>4.3073392295861899E-2</v>
      </c>
      <c r="P15" s="28">
        <f>SUM('[2]Bilan 2015'!$W$41:$W$43)</f>
        <v>3.01546564464017</v>
      </c>
      <c r="Q15" s="28">
        <f>'[2]Bilan 2015'!$W$13</f>
        <v>12.701365476499801</v>
      </c>
      <c r="R15" s="28">
        <f>('[2]Bilan 2015'!$W$22+'[2]Bilan 2015'!$W$30+SUM('[2]Bilan 2015'!$W$36:$W$40)+SUM('[2]Bilan 2015'!$W$44:$W$45)+'[2]Bilan 2015'!$W$47)</f>
        <v>8.7461122445901367</v>
      </c>
      <c r="S15" s="142">
        <f t="shared" si="1"/>
        <v>24.506016758025968</v>
      </c>
      <c r="U15" s="147" t="s">
        <v>22</v>
      </c>
      <c r="V15" t="s">
        <v>406</v>
      </c>
      <c r="W15" t="s">
        <v>407</v>
      </c>
      <c r="X15" t="s">
        <v>408</v>
      </c>
      <c r="Y15" t="s">
        <v>409</v>
      </c>
      <c r="Z15" s="8">
        <v>0</v>
      </c>
      <c r="AA15" s="317">
        <v>3.568616939</v>
      </c>
      <c r="AB15" s="294">
        <v>12.769876119999999</v>
      </c>
      <c r="AC15" s="294">
        <v>9.0390917910000006</v>
      </c>
      <c r="AD15" s="96">
        <v>25.377584850000002</v>
      </c>
    </row>
    <row r="16" spans="1:30" x14ac:dyDescent="0.25">
      <c r="C16" s="147" t="s">
        <v>23</v>
      </c>
      <c r="H16" s="8">
        <f>SUM(H17:H18)</f>
        <v>4.8875364190999999</v>
      </c>
      <c r="I16" s="8">
        <f t="shared" ref="I16:K16" si="2">SUM(I17:I18)</f>
        <v>16.278152166999998</v>
      </c>
      <c r="J16" s="8">
        <f t="shared" si="2"/>
        <v>11.010772510000001</v>
      </c>
      <c r="K16" s="8">
        <f t="shared" si="2"/>
        <v>13.712765660999999</v>
      </c>
      <c r="L16" s="96">
        <f>SUM(H16:K16)</f>
        <v>45.889226757099998</v>
      </c>
      <c r="M16" s="75"/>
      <c r="N16" s="150" t="s">
        <v>490</v>
      </c>
      <c r="O16" s="29">
        <f>O17+O18</f>
        <v>4.2636280705371687</v>
      </c>
      <c r="P16" s="28">
        <f t="shared" ref="P16:R16" si="3">P17+P18</f>
        <v>14.865720748941945</v>
      </c>
      <c r="Q16" s="28">
        <f t="shared" si="3"/>
        <v>10.069552160228</v>
      </c>
      <c r="R16" s="28">
        <f t="shared" si="3"/>
        <v>13.756399814544654</v>
      </c>
      <c r="S16" s="142">
        <f t="shared" si="1"/>
        <v>42.95530079425177</v>
      </c>
      <c r="U16" s="147" t="s">
        <v>23</v>
      </c>
      <c r="Z16" s="8">
        <v>4.1729010901999999</v>
      </c>
      <c r="AA16" s="8">
        <v>15.619452759000001</v>
      </c>
      <c r="AB16" s="8">
        <v>10.97816242</v>
      </c>
      <c r="AC16" s="8">
        <v>14.084082726</v>
      </c>
      <c r="AD16" s="96">
        <v>44.8545989952</v>
      </c>
    </row>
    <row r="17" spans="2:30" x14ac:dyDescent="0.25">
      <c r="C17" s="149" t="s">
        <v>24</v>
      </c>
      <c r="D17" t="s">
        <v>410</v>
      </c>
      <c r="E17" t="s">
        <v>411</v>
      </c>
      <c r="F17" t="s">
        <v>412</v>
      </c>
      <c r="G17" t="s">
        <v>413</v>
      </c>
      <c r="H17" s="16">
        <f>VLOOKUP(D17,Résultats!$B$2:$AX$476,'T energie vecteurs'!F5,FALSE)</f>
        <v>3.896642425</v>
      </c>
      <c r="I17" s="16">
        <f>VLOOKUP(E17,Résultats!$B$2:$AX$476,'T energie vecteurs'!F5,FALSE)</f>
        <v>14.380357419999999</v>
      </c>
      <c r="J17" s="16">
        <f>VLOOKUP(F17,Résultats!$B$2:$AX$476,'T energie vecteurs'!F5,FALSE)</f>
        <v>11.010772510000001</v>
      </c>
      <c r="K17" s="16">
        <f>VLOOKUP(G17,Résultats!$B$2:$AX$476,'T energie vecteurs'!F5,FALSE)</f>
        <v>11.96556575</v>
      </c>
      <c r="L17" s="95">
        <f t="shared" si="0"/>
        <v>41.253338104999997</v>
      </c>
      <c r="M17" s="16"/>
      <c r="N17" s="149" t="s">
        <v>491</v>
      </c>
      <c r="O17" s="143">
        <f>'[2]Bilan 2015'!$U$46</f>
        <v>1.0493092649428299</v>
      </c>
      <c r="P17" s="30">
        <f>SUM('[2]Bilan 2015'!$U$41:$U$43)</f>
        <v>2.4127207489419455</v>
      </c>
      <c r="Q17" s="30">
        <f>'[2]Bilan 2015'!$U$13</f>
        <v>10.069552160228</v>
      </c>
      <c r="R17" s="30">
        <f>('[2]Bilan 2015'!$U$22+'[2]Bilan 2015'!$U$30+SUM('[2]Bilan 2015'!$U$36:$U$40)+SUM('[2]Bilan 2015'!$U$44:$U$45)+'[2]Bilan 2015'!$U$47)</f>
        <v>12.654813573219924</v>
      </c>
      <c r="S17" s="95">
        <f t="shared" si="1"/>
        <v>26.186395747332696</v>
      </c>
      <c r="U17" s="149" t="s">
        <v>24</v>
      </c>
      <c r="V17" t="s">
        <v>410</v>
      </c>
      <c r="W17" t="s">
        <v>411</v>
      </c>
      <c r="X17" t="s">
        <v>412</v>
      </c>
      <c r="Y17" t="s">
        <v>413</v>
      </c>
      <c r="Z17" s="16">
        <v>3.252665173</v>
      </c>
      <c r="AA17" s="16">
        <v>13.839453020000001</v>
      </c>
      <c r="AB17" s="16">
        <v>10.97816242</v>
      </c>
      <c r="AC17" s="16">
        <v>12.365702000000001</v>
      </c>
      <c r="AD17" s="95">
        <v>40.435982613</v>
      </c>
    </row>
    <row r="18" spans="2:30" x14ac:dyDescent="0.25">
      <c r="C18" s="149" t="s">
        <v>47</v>
      </c>
      <c r="D18" t="s">
        <v>414</v>
      </c>
      <c r="E18" t="s">
        <v>415</v>
      </c>
      <c r="F18" t="s">
        <v>416</v>
      </c>
      <c r="G18" t="s">
        <v>417</v>
      </c>
      <c r="H18" s="16">
        <f>VLOOKUP(D18,Résultats!$B$2:$AX$476,'T energie vecteurs'!F5,FALSE)</f>
        <v>0.99089399410000001</v>
      </c>
      <c r="I18" s="16">
        <f>VLOOKUP(E18,Résultats!$B$2:$AX$476,'T energie vecteurs'!F5,FALSE)</f>
        <v>1.8977947470000001</v>
      </c>
      <c r="J18" s="16">
        <f>VLOOKUP(F18,Résultats!$B$2:$AX$476,'T energie vecteurs'!F5,FALSE)</f>
        <v>0</v>
      </c>
      <c r="K18" s="16">
        <f>VLOOKUP(G18,Résultats!$B$2:$AX$476,'T energie vecteurs'!F5,FALSE)</f>
        <v>1.747199911</v>
      </c>
      <c r="L18" s="95">
        <f t="shared" si="0"/>
        <v>4.6358886521000002</v>
      </c>
      <c r="M18" s="16"/>
      <c r="N18" s="149" t="s">
        <v>47</v>
      </c>
      <c r="O18" s="22">
        <f>'[2]Bilan 2015'!$E$52</f>
        <v>3.2143188055943388</v>
      </c>
      <c r="P18" s="16">
        <f>('[2]Bilan 2015'!$E$54+'[2]Bilan 2015'!$E$56)</f>
        <v>12.452999999999999</v>
      </c>
      <c r="Q18" s="16">
        <v>0</v>
      </c>
      <c r="R18" s="16">
        <f>('[2]Bilan 2015'!$E$53+'[2]Bilan 2015'!$E$55+'[2]Bilan 2015'!$E$57)</f>
        <v>1.1015862413247299</v>
      </c>
      <c r="S18" s="95">
        <f t="shared" si="1"/>
        <v>16.768905046919066</v>
      </c>
      <c r="U18" s="149" t="s">
        <v>47</v>
      </c>
      <c r="V18" t="s">
        <v>414</v>
      </c>
      <c r="W18" t="s">
        <v>415</v>
      </c>
      <c r="X18" t="s">
        <v>416</v>
      </c>
      <c r="Y18" t="s">
        <v>417</v>
      </c>
      <c r="Z18" s="16">
        <v>0.92023591719999998</v>
      </c>
      <c r="AA18" s="16">
        <v>1.779999739</v>
      </c>
      <c r="AB18" s="16">
        <v>0</v>
      </c>
      <c r="AC18" s="16">
        <v>1.7183807259999999</v>
      </c>
      <c r="AD18" s="95">
        <v>4.4186163821999997</v>
      </c>
    </row>
    <row r="19" spans="2:30" x14ac:dyDescent="0.25">
      <c r="C19" s="313" t="s">
        <v>25</v>
      </c>
      <c r="D19" s="314" t="s">
        <v>418</v>
      </c>
      <c r="E19" s="314" t="s">
        <v>419</v>
      </c>
      <c r="F19" s="314" t="s">
        <v>420</v>
      </c>
      <c r="G19" s="314" t="s">
        <v>421</v>
      </c>
      <c r="H19" s="315">
        <f>VLOOKUP(D19,Résultats!$B$2:$AX$476,'T energie vecteurs'!F5,FALSE)</f>
        <v>0</v>
      </c>
      <c r="I19" s="315">
        <f>VLOOKUP(E19,Résultats!$B$2:$AX$476,'T energie vecteurs'!F5,FALSE)</f>
        <v>2.4325525049999999</v>
      </c>
      <c r="J19" s="315">
        <f>VLOOKUP(F19,Résultats!$B$2:$AX$476,'T energie vecteurs'!F5,FALSE)</f>
        <v>0.31578115810000001</v>
      </c>
      <c r="K19" s="315">
        <f>VLOOKUP(G19,Résultats!$B$2:$AX$476,'T energie vecteurs'!F5,FALSE)</f>
        <v>0.36471241319999997</v>
      </c>
      <c r="L19" s="316">
        <f t="shared" si="0"/>
        <v>3.1130460762999999</v>
      </c>
      <c r="M19" s="16"/>
      <c r="N19" s="150" t="s">
        <v>25</v>
      </c>
      <c r="O19" s="29">
        <f>'[2]Bilan 2015'!$T$46</f>
        <v>2.2137192704974398E-3</v>
      </c>
      <c r="P19" s="28">
        <f>SUM('[2]Bilan 2015'!$T$41:$T$43)</f>
        <v>3.4936667755496749</v>
      </c>
      <c r="Q19" s="28">
        <f>'[2]Bilan 2015'!$T$13</f>
        <v>0.74651762682717104</v>
      </c>
      <c r="R19" s="28">
        <f>('[2]Bilan 2015'!$T$22+'[2]Bilan 2015'!$T$30+SUM('[2]Bilan 2015'!$T$36:$T$40)+SUM('[2]Bilan 2015'!$T$44:$T$45)+'[2]Bilan 2015'!$T$47)</f>
        <v>0.24365267378081518</v>
      </c>
      <c r="S19" s="142">
        <f t="shared" si="1"/>
        <v>4.4860507954281585</v>
      </c>
      <c r="U19" s="313" t="s">
        <v>25</v>
      </c>
      <c r="V19" s="314" t="s">
        <v>418</v>
      </c>
      <c r="W19" s="314" t="s">
        <v>419</v>
      </c>
      <c r="X19" s="314" t="s">
        <v>420</v>
      </c>
      <c r="Y19" s="314" t="s">
        <v>421</v>
      </c>
      <c r="Z19" s="315">
        <v>0</v>
      </c>
      <c r="AA19" s="315">
        <v>2.4208977119999999</v>
      </c>
      <c r="AB19" s="315">
        <v>0.33677653699999999</v>
      </c>
      <c r="AC19" s="315">
        <v>0.36234121899999999</v>
      </c>
      <c r="AD19" s="316">
        <v>3.1200154680000001</v>
      </c>
    </row>
    <row r="20" spans="2:30" x14ac:dyDescent="0.25">
      <c r="C20" s="23" t="s">
        <v>26</v>
      </c>
      <c r="D20" s="10"/>
      <c r="E20" s="10"/>
      <c r="F20" s="10"/>
      <c r="G20" s="10"/>
      <c r="H20" s="9">
        <f>SUM(H11,H14:H16,H19)</f>
        <v>5.1812209791999999</v>
      </c>
      <c r="I20" s="9">
        <f t="shared" ref="I20:K20" si="4">SUM(I11,I14:I16,I19)</f>
        <v>73.396228476000005</v>
      </c>
      <c r="J20" s="9">
        <f t="shared" si="4"/>
        <v>39.878133716100002</v>
      </c>
      <c r="K20" s="9">
        <f t="shared" si="4"/>
        <v>45.139287478288402</v>
      </c>
      <c r="L20" s="98">
        <f>SUM(H20:K20)</f>
        <v>163.59487064958842</v>
      </c>
      <c r="M20" s="79"/>
      <c r="N20" s="151" t="s">
        <v>26</v>
      </c>
      <c r="O20" s="32">
        <f>O11+O14+O15+O16+O19</f>
        <v>4.3456793787119414</v>
      </c>
      <c r="P20" s="31">
        <f>P11+P14+P15+P16+P19</f>
        <v>70.798845361011772</v>
      </c>
      <c r="Q20" s="31">
        <f>Q11+Q14+Q15+Q16+Q19</f>
        <v>38.082514273546238</v>
      </c>
      <c r="R20" s="31">
        <f>R11+R14+R15+R16+R19</f>
        <v>44.651702506310876</v>
      </c>
      <c r="S20" s="144">
        <f>SUM(O20:R20)</f>
        <v>157.87874151958081</v>
      </c>
      <c r="T20" s="45"/>
      <c r="U20" s="23" t="s">
        <v>26</v>
      </c>
      <c r="V20" s="10"/>
      <c r="W20" s="10"/>
      <c r="X20" s="10"/>
      <c r="Y20" s="10"/>
      <c r="Z20" s="9">
        <v>4.4643339968999998</v>
      </c>
      <c r="AA20" s="9">
        <v>72.015078141999993</v>
      </c>
      <c r="AB20" s="9">
        <v>39.866867514499994</v>
      </c>
      <c r="AC20" s="9">
        <v>44.391226850545138</v>
      </c>
      <c r="AD20" s="98">
        <v>160.73750650394513</v>
      </c>
    </row>
    <row r="21" spans="2:30" s="3" customFormat="1" x14ac:dyDescent="0.25">
      <c r="B21" s="60"/>
      <c r="H21" s="45"/>
      <c r="I21" s="45"/>
      <c r="J21" s="45"/>
      <c r="K21" s="45"/>
      <c r="L21" s="45">
        <f>L11+L14+L15+L16+L19</f>
        <v>163.59487064958842</v>
      </c>
      <c r="M21" s="45"/>
      <c r="N21" s="45"/>
      <c r="O21" s="77"/>
      <c r="P21" s="77"/>
      <c r="Q21" s="77"/>
      <c r="R21" s="78"/>
      <c r="S21" s="45"/>
      <c r="Z21" s="45"/>
      <c r="AA21" s="45"/>
      <c r="AB21" s="45"/>
      <c r="AC21" s="45"/>
      <c r="AD21" s="45">
        <v>160.73750650394513</v>
      </c>
    </row>
    <row r="22" spans="2:30" s="3" customFormat="1" x14ac:dyDescent="0.25">
      <c r="I22" s="45"/>
      <c r="J22" s="45"/>
      <c r="K22" s="45"/>
      <c r="AA22" s="45"/>
      <c r="AB22" s="45"/>
      <c r="AC22" s="45"/>
    </row>
    <row r="23" spans="2:30" ht="31.5" x14ac:dyDescent="0.35">
      <c r="C23" s="145">
        <v>2020</v>
      </c>
      <c r="D23" s="146"/>
      <c r="E23" s="146"/>
      <c r="F23" s="146"/>
      <c r="G23" s="146"/>
      <c r="H23" s="76" t="s">
        <v>36</v>
      </c>
      <c r="I23" s="76" t="s">
        <v>49</v>
      </c>
      <c r="J23" s="76" t="s">
        <v>38</v>
      </c>
      <c r="K23" s="76" t="s">
        <v>48</v>
      </c>
      <c r="L23" s="93" t="s">
        <v>1</v>
      </c>
      <c r="M23" s="19"/>
      <c r="N23" s="145">
        <v>2020</v>
      </c>
      <c r="O23" s="141" t="s">
        <v>36</v>
      </c>
      <c r="P23" s="76" t="s">
        <v>49</v>
      </c>
      <c r="Q23" s="76" t="s">
        <v>38</v>
      </c>
      <c r="R23" s="76" t="s">
        <v>48</v>
      </c>
      <c r="S23" s="93" t="s">
        <v>1</v>
      </c>
      <c r="T23" s="19"/>
      <c r="U23" s="145">
        <v>2020</v>
      </c>
      <c r="V23" s="146"/>
      <c r="W23" s="146"/>
      <c r="X23" s="146"/>
      <c r="Y23" s="146"/>
      <c r="Z23" s="76" t="s">
        <v>36</v>
      </c>
      <c r="AA23" s="76" t="s">
        <v>49</v>
      </c>
      <c r="AB23" s="76" t="s">
        <v>38</v>
      </c>
      <c r="AC23" s="76" t="s">
        <v>48</v>
      </c>
      <c r="AD23" s="93" t="s">
        <v>1</v>
      </c>
    </row>
    <row r="24" spans="2:30" x14ac:dyDescent="0.25">
      <c r="C24" s="147" t="s">
        <v>18</v>
      </c>
      <c r="H24" s="8">
        <f>SUM(H25:H26)</f>
        <v>0</v>
      </c>
      <c r="I24" s="8">
        <f>SUM(I25:I26)</f>
        <v>42.25196236</v>
      </c>
      <c r="J24" s="8">
        <f>SUM(J25:J26)</f>
        <v>1.4284520366</v>
      </c>
      <c r="K24" s="8">
        <f>SUM(K25:K26)</f>
        <v>0.25528918369909998</v>
      </c>
      <c r="L24" s="96">
        <f t="shared" ref="L24:L33" si="5">SUM(H24:K24)</f>
        <v>43.935703580299098</v>
      </c>
      <c r="M24" s="75"/>
      <c r="N24" s="150" t="s">
        <v>18</v>
      </c>
      <c r="O24" s="29">
        <f>'[2]Bilan 2020'!$X$46/11.63</f>
        <v>0</v>
      </c>
      <c r="P24" s="28">
        <f>SUM('[2]Bilan 2020'!$X$41:$X$43)/11.63</f>
        <v>35.668036461633939</v>
      </c>
      <c r="Q24" s="28">
        <f>'[2]Bilan 2020'!$X$13/11.63</f>
        <v>0.71687008340498715</v>
      </c>
      <c r="R24" s="28">
        <f>('[2]Bilan 2020'!$X$22+'[2]Bilan 2020'!$X$30+SUM('[2]Bilan 2020'!$X$36:$X$40)+SUM('[2]Bilan 2020'!$X$44:$X$45)+'[2]Bilan 2020'!$X$47)/11.63</f>
        <v>0.19326865864144452</v>
      </c>
      <c r="S24" s="142">
        <f>SUM(O24:R24)</f>
        <v>36.578175203680367</v>
      </c>
      <c r="T24" s="75"/>
      <c r="U24" s="147" t="s">
        <v>18</v>
      </c>
      <c r="Z24" s="8">
        <v>0</v>
      </c>
      <c r="AA24" s="8">
        <v>43.018744479999995</v>
      </c>
      <c r="AB24" s="8">
        <v>1.8220352072999999</v>
      </c>
      <c r="AC24" s="8">
        <v>0.31541142310885001</v>
      </c>
      <c r="AD24" s="96">
        <v>45.156191110408841</v>
      </c>
    </row>
    <row r="25" spans="2:30" x14ac:dyDescent="0.25">
      <c r="C25" s="148" t="s">
        <v>19</v>
      </c>
      <c r="D25" t="s">
        <v>394</v>
      </c>
      <c r="E25" t="s">
        <v>395</v>
      </c>
      <c r="F25" t="s">
        <v>396</v>
      </c>
      <c r="G25" t="s">
        <v>397</v>
      </c>
      <c r="H25" s="16">
        <f>VLOOKUP(D25,Résultats!$B$2:$AX$476,'T energie vecteurs'!I5,FALSE)</f>
        <v>0</v>
      </c>
      <c r="I25" s="16">
        <f>VLOOKUP(E25,Résultats!$B$2:$AX$476,'T energie vecteurs'!I5,FALSE)</f>
        <v>23.698841340000001</v>
      </c>
      <c r="J25" s="16">
        <f>VLOOKUP(F25,Résultats!$B$2:$AX$476,'T energie vecteurs'!I5,FALSE)</f>
        <v>0.1093786896</v>
      </c>
      <c r="K25" s="16">
        <f>VLOOKUP(G77,Résultats!$B$2:$AX$476,'T energie vecteurs'!I5,FALSE)</f>
        <v>1.6040599099999999E-5</v>
      </c>
      <c r="L25" s="95">
        <f t="shared" si="5"/>
        <v>23.808236070199101</v>
      </c>
      <c r="M25" s="16"/>
      <c r="N25" s="148" t="s">
        <v>19</v>
      </c>
      <c r="O25" s="143"/>
      <c r="P25" s="16"/>
      <c r="Q25" s="34"/>
      <c r="R25" s="16"/>
      <c r="S25" s="95"/>
      <c r="T25" s="16"/>
      <c r="U25" s="148" t="s">
        <v>19</v>
      </c>
      <c r="V25" t="s">
        <v>394</v>
      </c>
      <c r="W25" t="s">
        <v>395</v>
      </c>
      <c r="X25" t="s">
        <v>396</v>
      </c>
      <c r="Y25" t="s">
        <v>397</v>
      </c>
      <c r="Z25" s="16">
        <v>0</v>
      </c>
      <c r="AA25" s="16">
        <v>23.922501159999999</v>
      </c>
      <c r="AB25" s="16">
        <v>0.1058478073</v>
      </c>
      <c r="AC25" s="16">
        <v>9.2348088500000006E-6</v>
      </c>
      <c r="AD25" s="95">
        <v>24.028358202108851</v>
      </c>
    </row>
    <row r="26" spans="2:30" x14ac:dyDescent="0.25">
      <c r="C26" s="149" t="s">
        <v>20</v>
      </c>
      <c r="D26" t="s">
        <v>398</v>
      </c>
      <c r="E26" t="s">
        <v>399</v>
      </c>
      <c r="F26" t="s">
        <v>400</v>
      </c>
      <c r="G26" t="s">
        <v>401</v>
      </c>
      <c r="H26" s="16">
        <f>VLOOKUP(D26,Résultats!$B$2:$AX$476,'T energie vecteurs'!I5,FALSE)</f>
        <v>0</v>
      </c>
      <c r="I26" s="16">
        <f>VLOOKUP(E26,Résultats!$B$2:$AX$476,'T energie vecteurs'!I5,FALSE)</f>
        <v>18.553121019999999</v>
      </c>
      <c r="J26" s="16">
        <f>VLOOKUP(F26,Résultats!$B$2:$AX$476,'T energie vecteurs'!I5,FALSE)</f>
        <v>1.319073347</v>
      </c>
      <c r="K26" s="16">
        <f>VLOOKUP(G26,Résultats!$B$2:$AX$476,'T energie vecteurs'!I5,FALSE)</f>
        <v>0.25527314309999999</v>
      </c>
      <c r="L26" s="95">
        <f t="shared" si="5"/>
        <v>20.127467510099997</v>
      </c>
      <c r="M26" s="16"/>
      <c r="N26" s="149" t="s">
        <v>20</v>
      </c>
      <c r="O26" s="143"/>
      <c r="P26" s="16"/>
      <c r="Q26" s="34"/>
      <c r="R26" s="16"/>
      <c r="S26" s="95"/>
      <c r="T26" s="16"/>
      <c r="U26" s="149" t="s">
        <v>20</v>
      </c>
      <c r="V26" t="s">
        <v>398</v>
      </c>
      <c r="W26" t="s">
        <v>399</v>
      </c>
      <c r="X26" t="s">
        <v>400</v>
      </c>
      <c r="Y26" t="s">
        <v>401</v>
      </c>
      <c r="Z26" s="16">
        <v>0</v>
      </c>
      <c r="AA26" s="16">
        <v>19.096243319999999</v>
      </c>
      <c r="AB26" s="16">
        <v>1.7161873999999999</v>
      </c>
      <c r="AC26" s="16">
        <v>0.3154021883</v>
      </c>
      <c r="AD26" s="95">
        <v>21.127832908299997</v>
      </c>
    </row>
    <row r="27" spans="2:30" x14ac:dyDescent="0.25">
      <c r="C27" s="147" t="s">
        <v>21</v>
      </c>
      <c r="D27" t="s">
        <v>402</v>
      </c>
      <c r="E27" t="s">
        <v>403</v>
      </c>
      <c r="F27" t="s">
        <v>404</v>
      </c>
      <c r="G27" t="s">
        <v>405</v>
      </c>
      <c r="H27" s="8">
        <f>VLOOKUP(D27,Résultats!$B$2:$AX$476,'T energie vecteurs'!I5,FALSE)</f>
        <v>0.26291969450000002</v>
      </c>
      <c r="I27" s="8">
        <f>VLOOKUP(E27,Résultats!$B$2:$AX$476,'T energie vecteurs'!I5,FALSE)</f>
        <v>6.2714561150000003</v>
      </c>
      <c r="J27" s="8">
        <f>VLOOKUP(F27,Résultats!$B$2:$AX$476,'T energie vecteurs'!I5,FALSE)</f>
        <v>14.695407400000001</v>
      </c>
      <c r="K27" s="8">
        <f>VLOOKUP(G27,Résultats!$B$2:$AX$476,'T energie vecteurs'!I5,FALSE)+6</f>
        <v>20.49594183</v>
      </c>
      <c r="L27" s="96">
        <f t="shared" si="5"/>
        <v>41.725725039499999</v>
      </c>
      <c r="M27" s="75"/>
      <c r="N27" s="150" t="s">
        <v>21</v>
      </c>
      <c r="O27" s="29">
        <f>'[2]Bilan 2020'!$V$46/11.63</f>
        <v>2.0700734999999998E-2</v>
      </c>
      <c r="P27" s="28">
        <f>SUM('[2]Bilan 2020'!$V$41:$V$43)/11.63</f>
        <v>4.2874727518867157</v>
      </c>
      <c r="Q27" s="28">
        <f>'[2]Bilan 2020'!$V$13/11.63</f>
        <v>13.618731599337918</v>
      </c>
      <c r="R27" s="28">
        <f>('[2]Bilan 2020'!$V$22+'[2]Bilan 2020'!$V$30+SUM('[2]Bilan 2020'!$V$36:$V$40)+SUM('[2]Bilan 2020'!$V$44:$V$45)+'[2]Bilan 2020'!$V$47)/11.63</f>
        <v>20.408410382607048</v>
      </c>
      <c r="S27" s="142">
        <f t="shared" ref="S27:S33" si="6">SUM(O27:R27)</f>
        <v>38.335315468831681</v>
      </c>
      <c r="T27" s="75"/>
      <c r="U27" s="147" t="s">
        <v>21</v>
      </c>
      <c r="V27" t="s">
        <v>402</v>
      </c>
      <c r="W27" t="s">
        <v>403</v>
      </c>
      <c r="X27" t="s">
        <v>404</v>
      </c>
      <c r="Y27" t="s">
        <v>405</v>
      </c>
      <c r="Z27" s="8">
        <v>0.26184970889999998</v>
      </c>
      <c r="AA27" s="8">
        <v>5.7024644279999999</v>
      </c>
      <c r="AB27" s="8">
        <v>15.25918953</v>
      </c>
      <c r="AC27" s="8">
        <v>20.182440509999999</v>
      </c>
      <c r="AD27" s="96">
        <v>41.4059441769</v>
      </c>
    </row>
    <row r="28" spans="2:30" x14ac:dyDescent="0.25">
      <c r="C28" s="147" t="s">
        <v>22</v>
      </c>
      <c r="D28" t="s">
        <v>406</v>
      </c>
      <c r="E28" t="s">
        <v>407</v>
      </c>
      <c r="F28" t="s">
        <v>408</v>
      </c>
      <c r="G28" t="s">
        <v>409</v>
      </c>
      <c r="H28" s="8">
        <f>VLOOKUP(D28,Résultats!$B$2:$AX$476,'T energie vecteurs'!I5,FALSE)</f>
        <v>0</v>
      </c>
      <c r="I28" s="8">
        <f>VLOOKUP(E28,Résultats!$B$2:$AX$476,'T energie vecteurs'!I5,FALSE)</f>
        <v>3.1173306090000001</v>
      </c>
      <c r="J28" s="8">
        <f>VLOOKUP(F28,Résultats!$B$2:$AX$476,'T energie vecteurs'!I5,FALSE)</f>
        <v>12.975211910000001</v>
      </c>
      <c r="K28" s="8">
        <f>VLOOKUP(G28,Résultats!$B$2:$AX$476,'T energie vecteurs'!I5,FALSE)</f>
        <v>7.9356529910000004</v>
      </c>
      <c r="L28" s="96">
        <f t="shared" si="5"/>
        <v>24.028195510000003</v>
      </c>
      <c r="M28" s="75"/>
      <c r="N28" s="150" t="s">
        <v>22</v>
      </c>
      <c r="O28" s="29">
        <f>('[2]Bilan 2020'!$W$46)/11.63</f>
        <v>3.0546421000000001E-2</v>
      </c>
      <c r="P28" s="28">
        <f>SUM('[2]Bilan 2020'!$W$41:$W$43)/11.63</f>
        <v>2.7068355531694666</v>
      </c>
      <c r="Q28" s="28">
        <f>('[2]Bilan 2020'!$W$13)/11.63</f>
        <v>10.724850576412381</v>
      </c>
      <c r="R28" s="28">
        <f>('[2]Bilan 2020'!$W$22+'[2]Bilan 2020'!$W$30+SUM('[2]Bilan 2020'!$W$36:$W$40)+SUM('[2]Bilan 2020'!$W$44:$W$45)+'[2]Bilan 2020'!$W$47)/11.63</f>
        <v>7.1906336380053082</v>
      </c>
      <c r="S28" s="142">
        <f t="shared" si="6"/>
        <v>20.652866188587154</v>
      </c>
      <c r="T28" s="75"/>
      <c r="U28" s="147" t="s">
        <v>22</v>
      </c>
      <c r="V28" t="s">
        <v>406</v>
      </c>
      <c r="W28" t="s">
        <v>407</v>
      </c>
      <c r="X28" t="s">
        <v>408</v>
      </c>
      <c r="Y28" t="s">
        <v>409</v>
      </c>
      <c r="Z28" s="8">
        <v>0</v>
      </c>
      <c r="AA28" s="8">
        <v>2.5782826139999999</v>
      </c>
      <c r="AB28" s="8">
        <v>12.10446735</v>
      </c>
      <c r="AC28" s="8">
        <v>7.683267743</v>
      </c>
      <c r="AD28" s="96">
        <v>22.366017706999997</v>
      </c>
    </row>
    <row r="29" spans="2:30" x14ac:dyDescent="0.25">
      <c r="C29" s="147" t="s">
        <v>23</v>
      </c>
      <c r="H29" s="8">
        <f>SUM(H30:H32)</f>
        <v>2.6579612358000002</v>
      </c>
      <c r="I29" s="8">
        <f>SUM(I30:I32)</f>
        <v>13.620348347</v>
      </c>
      <c r="J29" s="8">
        <f>SUM(J30:J32)</f>
        <v>9.6460238765999904</v>
      </c>
      <c r="K29" s="8">
        <f>SUM(K30:K32)</f>
        <v>14.3654850049</v>
      </c>
      <c r="L29" s="96">
        <f t="shared" si="5"/>
        <v>40.289818464299991</v>
      </c>
      <c r="M29" s="75"/>
      <c r="N29" s="150" t="s">
        <v>490</v>
      </c>
      <c r="O29" s="29">
        <f>O30+O31</f>
        <v>3.1626378182920636</v>
      </c>
      <c r="P29" s="28">
        <f t="shared" ref="P29:R29" si="7">P30+P31</f>
        <v>13.919973516612528</v>
      </c>
      <c r="Q29" s="28">
        <f t="shared" si="7"/>
        <v>9.0413234941421319</v>
      </c>
      <c r="R29" s="28">
        <f t="shared" si="7"/>
        <v>14.312071337572707</v>
      </c>
      <c r="S29" s="142">
        <f t="shared" si="6"/>
        <v>40.436006166619435</v>
      </c>
      <c r="T29" s="75"/>
      <c r="U29" s="147" t="s">
        <v>23</v>
      </c>
      <c r="Z29" s="8">
        <v>2.9352593538000002</v>
      </c>
      <c r="AA29" s="8">
        <v>14.864282436999998</v>
      </c>
      <c r="AB29" s="8">
        <v>9.5134153553999994</v>
      </c>
      <c r="AC29" s="8">
        <v>13.758628141300001</v>
      </c>
      <c r="AD29" s="96">
        <v>41.0715852875</v>
      </c>
    </row>
    <row r="30" spans="2:30" x14ac:dyDescent="0.25">
      <c r="C30" s="149" t="s">
        <v>24</v>
      </c>
      <c r="D30" t="s">
        <v>410</v>
      </c>
      <c r="E30" t="s">
        <v>411</v>
      </c>
      <c r="F30" t="s">
        <v>412</v>
      </c>
      <c r="G30" t="s">
        <v>413</v>
      </c>
      <c r="H30" s="16">
        <f>VLOOKUP(D30,Résultats!$B$2:$AX$476,'T energie vecteurs'!I5,FALSE)</f>
        <v>1.7896973410000001</v>
      </c>
      <c r="I30" s="16">
        <f>VLOOKUP(E30,Résultats!$B$2:$AX$476,'T energie vecteurs'!I5,FALSE)</f>
        <v>9.3519631719999996</v>
      </c>
      <c r="J30" s="16">
        <f>VLOOKUP(F30,Résultats!$B$2:$AX$476,'T energie vecteurs'!I5,FALSE)</f>
        <v>9.3345402859999904</v>
      </c>
      <c r="K30" s="16">
        <f>VLOOKUP(G30,Résultats!$B$2:$AX$476,'T energie vecteurs'!I5,FALSE)</f>
        <v>11.999934530000001</v>
      </c>
      <c r="L30" s="95">
        <f t="shared" si="5"/>
        <v>32.476135328999987</v>
      </c>
      <c r="M30" s="16"/>
      <c r="N30" s="149" t="s">
        <v>491</v>
      </c>
      <c r="O30" s="143">
        <f>'[2]Bilan 2020'!$U$46/11.63</f>
        <v>0.77267988499999996</v>
      </c>
      <c r="P30" s="30">
        <f>SUM('[2]Bilan 2020'!$U$41:$U$43)/11.63</f>
        <v>2.7003587770125286</v>
      </c>
      <c r="Q30" s="30">
        <f>'[2]Bilan 2020'!$U$13/11.63</f>
        <v>9.0413234941421319</v>
      </c>
      <c r="R30" s="30">
        <f>('[2]Bilan 2020'!$U$22+'[2]Bilan 2020'!$U$30+SUM('[2]Bilan 2020'!$U$36:$U$40)+SUM('[2]Bilan 2020'!$U$44:$U$45)+'[2]Bilan 2020'!$U$47)/11.63</f>
        <v>13.277854957521116</v>
      </c>
      <c r="S30" s="95">
        <f t="shared" si="6"/>
        <v>25.792217113675775</v>
      </c>
      <c r="T30" s="16"/>
      <c r="U30" s="149" t="s">
        <v>24</v>
      </c>
      <c r="V30" t="s">
        <v>410</v>
      </c>
      <c r="W30" t="s">
        <v>411</v>
      </c>
      <c r="X30" t="s">
        <v>412</v>
      </c>
      <c r="Y30" t="s">
        <v>413</v>
      </c>
      <c r="Z30" s="16">
        <v>2.0907212450000001</v>
      </c>
      <c r="AA30" s="16">
        <v>10.561312149999999</v>
      </c>
      <c r="AB30" s="16">
        <v>9.1722502499999994</v>
      </c>
      <c r="AC30" s="16">
        <v>11.439847840000001</v>
      </c>
      <c r="AD30" s="95">
        <v>33.264131485</v>
      </c>
    </row>
    <row r="31" spans="2:30" x14ac:dyDescent="0.25">
      <c r="C31" s="149" t="s">
        <v>47</v>
      </c>
      <c r="D31" t="s">
        <v>414</v>
      </c>
      <c r="E31" t="s">
        <v>415</v>
      </c>
      <c r="F31" t="s">
        <v>416</v>
      </c>
      <c r="G31" t="s">
        <v>417</v>
      </c>
      <c r="H31" s="16">
        <f>VLOOKUP(D31,Résultats!$B$2:$AX$476,'T energie vecteurs'!I5,FALSE)</f>
        <v>0.86826389479999999</v>
      </c>
      <c r="I31" s="16">
        <f>VLOOKUP(E31,Résultats!$B$2:$AX$476,'T energie vecteurs'!I5,FALSE)</f>
        <v>1.887334461</v>
      </c>
      <c r="J31" s="16">
        <f>VLOOKUP(F31,Résultats!$B$2:$AX$476,'T energie vecteurs'!I5,FALSE)</f>
        <v>0</v>
      </c>
      <c r="K31" s="16">
        <f>VLOOKUP(G31,Résultats!$B$2:$AX$476,'T energie vecteurs'!I5,FALSE)</f>
        <v>2.0350647830000002</v>
      </c>
      <c r="L31" s="95">
        <f t="shared" si="5"/>
        <v>4.7906631388000003</v>
      </c>
      <c r="M31" s="16"/>
      <c r="N31" s="149" t="s">
        <v>47</v>
      </c>
      <c r="O31" s="22">
        <f>'[2]Bilan 2020'!$E$52/11.63</f>
        <v>2.3899579332920635</v>
      </c>
      <c r="P31" s="16">
        <f>('[2]Bilan 2020'!$E$54+'[2]Bilan 2020'!$E$56)/11.63</f>
        <v>11.219614739599999</v>
      </c>
      <c r="Q31" s="16">
        <v>0</v>
      </c>
      <c r="R31" s="16">
        <f>('[2]Bilan 2020'!$E$53+'[2]Bilan 2020'!$E$55+'[2]Bilan 2020'!$E$57)/11.63</f>
        <v>1.0342163800515907</v>
      </c>
      <c r="S31" s="95">
        <f t="shared" si="6"/>
        <v>14.643789052943653</v>
      </c>
      <c r="T31" s="16"/>
      <c r="U31" s="149" t="s">
        <v>47</v>
      </c>
      <c r="V31" t="s">
        <v>414</v>
      </c>
      <c r="W31" t="s">
        <v>415</v>
      </c>
      <c r="X31" t="s">
        <v>416</v>
      </c>
      <c r="Y31" t="s">
        <v>417</v>
      </c>
      <c r="Z31" s="16">
        <v>0.84453810880000002</v>
      </c>
      <c r="AA31" s="16">
        <v>1.899081222</v>
      </c>
      <c r="AB31" s="16">
        <v>0</v>
      </c>
      <c r="AC31" s="16">
        <v>1.9869122779999999</v>
      </c>
      <c r="AD31" s="95">
        <v>4.7305316087999998</v>
      </c>
    </row>
    <row r="32" spans="2:30" x14ac:dyDescent="0.25">
      <c r="C32" s="149" t="s">
        <v>25</v>
      </c>
      <c r="D32" t="s">
        <v>418</v>
      </c>
      <c r="E32" t="s">
        <v>419</v>
      </c>
      <c r="F32" t="s">
        <v>420</v>
      </c>
      <c r="G32" t="s">
        <v>421</v>
      </c>
      <c r="H32" s="16">
        <f>VLOOKUP(D32,Résultats!$B$2:$AX$476,'T energie vecteurs'!I5,FALSE)</f>
        <v>0</v>
      </c>
      <c r="I32" s="16">
        <f>VLOOKUP(E32,Résultats!$B$2:$AX$476,'T energie vecteurs'!I5,FALSE)</f>
        <v>2.3810507140000001</v>
      </c>
      <c r="J32" s="16">
        <f>VLOOKUP(F32,Résultats!$B$2:$AX$476,'T energie vecteurs'!I5,FALSE)</f>
        <v>0.31148359060000003</v>
      </c>
      <c r="K32" s="16">
        <f>VLOOKUP(G32,Résultats!$B$2:$AX$476,'T energie vecteurs'!I5,FALSE)</f>
        <v>0.33048569189999999</v>
      </c>
      <c r="L32" s="95">
        <f t="shared" si="5"/>
        <v>3.0230199965</v>
      </c>
      <c r="M32" s="16"/>
      <c r="N32" s="150" t="s">
        <v>25</v>
      </c>
      <c r="O32" s="29">
        <f>'[2]Bilan 2020'!$T$46/11.63</f>
        <v>1.3217009999999998E-3</v>
      </c>
      <c r="P32" s="28">
        <f>SUM('[2]Bilan 2020'!$T$41:$T$43)/11.63</f>
        <v>3.3486884684627563</v>
      </c>
      <c r="Q32" s="28">
        <f>'[2]Bilan 2020'!$T$13/11.63</f>
        <v>0.69143728159498707</v>
      </c>
      <c r="R32" s="28">
        <f>('[2]Bilan 2020'!$T$22+'[2]Bilan 2020'!$T$30+SUM('[2]Bilan 2020'!$T$36:$T$40)+SUM('[2]Bilan 2020'!$T$44:$T$45)+'[2]Bilan 2020'!$T$47)/11.63</f>
        <v>0.41959097162510717</v>
      </c>
      <c r="S32" s="142">
        <f t="shared" si="6"/>
        <v>4.4610384226828508</v>
      </c>
      <c r="T32" s="16"/>
      <c r="U32" s="149" t="s">
        <v>25</v>
      </c>
      <c r="V32" t="s">
        <v>418</v>
      </c>
      <c r="W32" t="s">
        <v>419</v>
      </c>
      <c r="X32" t="s">
        <v>420</v>
      </c>
      <c r="Y32" t="s">
        <v>421</v>
      </c>
      <c r="Z32" s="16">
        <v>0</v>
      </c>
      <c r="AA32" s="16">
        <v>2.403889065</v>
      </c>
      <c r="AB32" s="16">
        <v>0.3411651054</v>
      </c>
      <c r="AC32" s="16">
        <v>0.33186802329999998</v>
      </c>
      <c r="AD32" s="95">
        <v>3.0769221936999998</v>
      </c>
    </row>
    <row r="33" spans="3:30" x14ac:dyDescent="0.25">
      <c r="C33" s="23" t="s">
        <v>26</v>
      </c>
      <c r="D33" s="10"/>
      <c r="E33" s="10"/>
      <c r="F33" s="10"/>
      <c r="G33" s="10"/>
      <c r="H33" s="9">
        <f>SUM(H24,H27:H29)</f>
        <v>2.9208809303000001</v>
      </c>
      <c r="I33" s="9">
        <f>SUM(I24,I27:I29)</f>
        <v>65.261097430999996</v>
      </c>
      <c r="J33" s="9">
        <f>SUM(J24,J27:J29)</f>
        <v>38.745095223199989</v>
      </c>
      <c r="K33" s="9">
        <f>SUM(K24,K27:K29)</f>
        <v>43.052369009599104</v>
      </c>
      <c r="L33" s="98">
        <f t="shared" si="5"/>
        <v>149.97944259409911</v>
      </c>
      <c r="M33" s="79"/>
      <c r="N33" s="151" t="s">
        <v>26</v>
      </c>
      <c r="O33" s="32">
        <f>O24+O27+O28+O29+O32</f>
        <v>3.2152066752920638</v>
      </c>
      <c r="P33" s="31">
        <f>P24+P27+P28+P29+P32</f>
        <v>59.931006751765409</v>
      </c>
      <c r="Q33" s="31">
        <f>Q24+Q27+Q28+Q29+Q32</f>
        <v>34.793213034892403</v>
      </c>
      <c r="R33" s="31">
        <f>R24+R27+R28+R29+R32</f>
        <v>42.523974988451613</v>
      </c>
      <c r="S33" s="144">
        <f t="shared" si="6"/>
        <v>140.46340145040148</v>
      </c>
      <c r="T33" s="79"/>
      <c r="U33" s="23" t="s">
        <v>26</v>
      </c>
      <c r="V33" s="10"/>
      <c r="W33" s="10"/>
      <c r="X33" s="10"/>
      <c r="Y33" s="10"/>
      <c r="Z33" s="9">
        <v>3.1971090627000001</v>
      </c>
      <c r="AA33" s="9">
        <v>66.163773958999997</v>
      </c>
      <c r="AB33" s="9">
        <v>38.699107442699997</v>
      </c>
      <c r="AC33" s="9">
        <v>41.93974781740885</v>
      </c>
      <c r="AD33" s="98">
        <v>149.99973828180885</v>
      </c>
    </row>
    <row r="34" spans="3:30" s="3" customFormat="1" x14ac:dyDescent="0.25">
      <c r="H34" s="45"/>
      <c r="I34" s="45"/>
      <c r="J34" s="45"/>
      <c r="K34" s="45"/>
      <c r="L34" s="45"/>
      <c r="M34" s="45"/>
      <c r="N34" s="45"/>
      <c r="O34" s="77"/>
      <c r="P34" s="77"/>
      <c r="Q34" s="77"/>
      <c r="R34" s="78"/>
      <c r="S34" s="45"/>
      <c r="T34" s="45"/>
      <c r="Z34" s="45"/>
      <c r="AA34" s="45"/>
      <c r="AB34" s="45"/>
      <c r="AC34" s="45"/>
      <c r="AD34" s="45"/>
    </row>
    <row r="35" spans="3:30" s="3" customFormat="1" x14ac:dyDescent="0.25"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Z35" s="45"/>
      <c r="AA35" s="45"/>
      <c r="AB35" s="45"/>
      <c r="AC35" s="45"/>
      <c r="AD35" s="45"/>
    </row>
    <row r="36" spans="3:30" ht="31.5" x14ac:dyDescent="0.35">
      <c r="C36" s="145">
        <v>2022</v>
      </c>
      <c r="D36" s="146"/>
      <c r="E36" s="146"/>
      <c r="F36" s="146"/>
      <c r="G36" s="146"/>
      <c r="H36" s="76" t="s">
        <v>36</v>
      </c>
      <c r="I36" s="76" t="s">
        <v>49</v>
      </c>
      <c r="J36" s="76" t="s">
        <v>38</v>
      </c>
      <c r="K36" s="76" t="s">
        <v>48</v>
      </c>
      <c r="L36" s="93" t="s">
        <v>1</v>
      </c>
      <c r="M36" s="19"/>
      <c r="N36" s="145">
        <v>2022</v>
      </c>
      <c r="O36" s="141" t="s">
        <v>36</v>
      </c>
      <c r="P36" s="76" t="s">
        <v>49</v>
      </c>
      <c r="Q36" s="76" t="s">
        <v>38</v>
      </c>
      <c r="R36" s="76" t="s">
        <v>48</v>
      </c>
      <c r="S36" s="93" t="s">
        <v>1</v>
      </c>
      <c r="T36" s="19"/>
      <c r="U36" s="145">
        <v>2022</v>
      </c>
      <c r="V36" s="146"/>
      <c r="W36" s="146"/>
      <c r="X36" s="146"/>
      <c r="Y36" s="146"/>
      <c r="Z36" s="76" t="s">
        <v>36</v>
      </c>
      <c r="AA36" s="76" t="s">
        <v>49</v>
      </c>
      <c r="AB36" s="76" t="s">
        <v>38</v>
      </c>
      <c r="AC36" s="76" t="s">
        <v>48</v>
      </c>
      <c r="AD36" s="93" t="s">
        <v>1</v>
      </c>
    </row>
    <row r="37" spans="3:30" x14ac:dyDescent="0.25">
      <c r="C37" s="147" t="s">
        <v>18</v>
      </c>
      <c r="H37" s="8">
        <f>SUM(H38:H39)</f>
        <v>0</v>
      </c>
      <c r="I37" s="8">
        <f>SUM(I38:I39)</f>
        <v>41.582451319999997</v>
      </c>
      <c r="J37" s="8">
        <f>SUM(J38:J39)</f>
        <v>1.5231816774000002</v>
      </c>
      <c r="K37" s="8">
        <f>SUM(K38:K39)</f>
        <v>0.3625665823027</v>
      </c>
      <c r="L37" s="96">
        <f t="shared" ref="L37:L46" si="8">SUM(H37:K37)</f>
        <v>43.468199579702691</v>
      </c>
      <c r="M37" s="75"/>
      <c r="N37" s="150" t="s">
        <v>18</v>
      </c>
      <c r="O37" s="29">
        <f>'[3]Bilan 2022 réel'!$X$46/11.63</f>
        <v>0</v>
      </c>
      <c r="P37" s="28">
        <f>SUM('[3]Bilan 2022 réel'!$X$41:$X$43)/11.63</f>
        <v>43.395882986244146</v>
      </c>
      <c r="Q37" s="28">
        <f>'[3]Bilan 2022 réel'!$X$13/11.63</f>
        <v>0.93062751504729158</v>
      </c>
      <c r="R37" s="28">
        <f>('[3]Bilan 2022 réel'!$X$22+'[3]Bilan 2022 réel'!$X$30+SUM('[3]Bilan 2022 réel'!$X$36:$X$40)+SUM('[3]Bilan 2022 réel'!$X$44:$X$45)+'[3]Bilan 2022 réel'!$X$47)/11.63</f>
        <v>0.31885683576956142</v>
      </c>
      <c r="S37" s="142">
        <f>SUM(O37:R37)</f>
        <v>44.645367337060996</v>
      </c>
      <c r="T37" s="75"/>
      <c r="U37" s="147" t="s">
        <v>18</v>
      </c>
      <c r="Z37" s="8">
        <v>0</v>
      </c>
      <c r="AA37" s="8">
        <v>42.948464909999998</v>
      </c>
      <c r="AB37" s="8">
        <v>1.9847765504000001</v>
      </c>
      <c r="AC37" s="8">
        <v>0.44099189606810002</v>
      </c>
      <c r="AD37" s="96">
        <v>45.374233356468096</v>
      </c>
    </row>
    <row r="38" spans="3:30" x14ac:dyDescent="0.25">
      <c r="C38" s="148" t="s">
        <v>19</v>
      </c>
      <c r="D38" t="s">
        <v>394</v>
      </c>
      <c r="E38" t="s">
        <v>395</v>
      </c>
      <c r="F38" t="s">
        <v>396</v>
      </c>
      <c r="G38" t="s">
        <v>397</v>
      </c>
      <c r="H38" s="16">
        <f>VLOOKUP(D38,Résultats!$B$2:$AX$476,'T energie vecteurs'!K5,FALSE)</f>
        <v>0</v>
      </c>
      <c r="I38" s="16">
        <f>VLOOKUP(E38,Résultats!$B$2:$AX$476,'T energie vecteurs'!K5,FALSE)</f>
        <v>22.858451039999998</v>
      </c>
      <c r="J38" s="16">
        <f>VLOOKUP(F38,Résultats!$B$2:$AX$476,'T energie vecteurs'!K5,FALSE)</f>
        <v>0.16593726440000001</v>
      </c>
      <c r="K38" s="16">
        <f>VLOOKUP(G51,Résultats!$B$2:$AX$476,'T energie vecteurs'!K5,FALSE)</f>
        <v>1.8981502700000001E-5</v>
      </c>
      <c r="L38" s="95">
        <f t="shared" si="8"/>
        <v>23.024407285902697</v>
      </c>
      <c r="M38" s="16"/>
      <c r="N38" s="148" t="s">
        <v>19</v>
      </c>
      <c r="O38" s="143"/>
      <c r="P38" s="16"/>
      <c r="Q38" s="34"/>
      <c r="R38" s="16"/>
      <c r="S38" s="95"/>
      <c r="T38" s="16"/>
      <c r="U38" s="148" t="s">
        <v>19</v>
      </c>
      <c r="V38" t="s">
        <v>394</v>
      </c>
      <c r="W38" t="s">
        <v>395</v>
      </c>
      <c r="X38" t="s">
        <v>396</v>
      </c>
      <c r="Y38" t="s">
        <v>397</v>
      </c>
      <c r="Z38" s="16">
        <v>0</v>
      </c>
      <c r="AA38" s="16">
        <v>23.089158189999999</v>
      </c>
      <c r="AB38" s="16">
        <v>0.16078565040000001</v>
      </c>
      <c r="AC38" s="16">
        <v>1.15133681E-5</v>
      </c>
      <c r="AD38" s="95">
        <v>23.249955353768101</v>
      </c>
    </row>
    <row r="39" spans="3:30" x14ac:dyDescent="0.25">
      <c r="C39" s="149" t="s">
        <v>20</v>
      </c>
      <c r="D39" t="s">
        <v>398</v>
      </c>
      <c r="E39" t="s">
        <v>399</v>
      </c>
      <c r="F39" t="s">
        <v>400</v>
      </c>
      <c r="G39" t="s">
        <v>401</v>
      </c>
      <c r="H39" s="16">
        <f>VLOOKUP(D39,Résultats!$B$2:$AX$476,'T energie vecteurs'!K5,FALSE)</f>
        <v>0</v>
      </c>
      <c r="I39" s="16">
        <f>VLOOKUP(E39,Résultats!$B$2:$AX$476,'T energie vecteurs'!K5,FALSE)</f>
        <v>18.724000279999998</v>
      </c>
      <c r="J39" s="16">
        <f>VLOOKUP(F39,Résultats!$B$2:$AX$476,'T energie vecteurs'!K5,FALSE)</f>
        <v>1.3572444130000001</v>
      </c>
      <c r="K39" s="16">
        <f>VLOOKUP(G39,Résultats!$B$2:$AX$476,'T energie vecteurs'!K5,FALSE)</f>
        <v>0.36254760079999998</v>
      </c>
      <c r="L39" s="95">
        <f t="shared" si="8"/>
        <v>20.443792293799998</v>
      </c>
      <c r="M39" s="16"/>
      <c r="N39" s="149" t="s">
        <v>20</v>
      </c>
      <c r="O39" s="143"/>
      <c r="P39" s="16"/>
      <c r="Q39" s="34"/>
      <c r="R39" s="16"/>
      <c r="S39" s="95"/>
      <c r="T39" s="16"/>
      <c r="U39" s="149" t="s">
        <v>20</v>
      </c>
      <c r="V39" t="s">
        <v>398</v>
      </c>
      <c r="W39" t="s">
        <v>399</v>
      </c>
      <c r="X39" t="s">
        <v>400</v>
      </c>
      <c r="Y39" t="s">
        <v>401</v>
      </c>
      <c r="Z39" s="16">
        <v>0</v>
      </c>
      <c r="AA39" s="16">
        <v>19.859306719999999</v>
      </c>
      <c r="AB39" s="16">
        <v>1.8239909000000001</v>
      </c>
      <c r="AC39" s="16">
        <v>0.44098038270000001</v>
      </c>
      <c r="AD39" s="95">
        <v>22.124278002699999</v>
      </c>
    </row>
    <row r="40" spans="3:30" x14ac:dyDescent="0.25">
      <c r="C40" s="147" t="s">
        <v>21</v>
      </c>
      <c r="D40" t="s">
        <v>402</v>
      </c>
      <c r="E40" t="s">
        <v>403</v>
      </c>
      <c r="F40" t="s">
        <v>404</v>
      </c>
      <c r="G40" t="s">
        <v>405</v>
      </c>
      <c r="H40" s="8">
        <f>VLOOKUP(D40,Résultats!$B$2:$AX$476,'T energie vecteurs'!K5,FALSE)</f>
        <v>0.24509812180000001</v>
      </c>
      <c r="I40" s="8">
        <f>VLOOKUP(E40,Résultats!$B$2:$AX$476,'T energie vecteurs'!K5,FALSE)</f>
        <v>5.9260819339999999</v>
      </c>
      <c r="J40" s="8">
        <f>VLOOKUP(F40,Résultats!$B$2:$AX$476,'T energie vecteurs'!K5,FALSE)</f>
        <v>14.79150267</v>
      </c>
      <c r="K40" s="8">
        <f>VLOOKUP(G40,Résultats!$B$2:$AX$476,'T energie vecteurs'!K5,FALSE)+8</f>
        <v>21.758443310000001</v>
      </c>
      <c r="L40" s="96">
        <f t="shared" si="8"/>
        <v>42.721126035799998</v>
      </c>
      <c r="M40" s="75"/>
      <c r="N40" s="150" t="s">
        <v>21</v>
      </c>
      <c r="O40" s="29">
        <f>'[3]Bilan 2022 réel'!$V$46/11.63</f>
        <v>2.6476317000000003E-2</v>
      </c>
      <c r="P40" s="28">
        <f>SUM('[3]Bilan 2022 réel'!$V$41:$V$43)/11.63</f>
        <v>3.5006052343</v>
      </c>
      <c r="Q40" s="28">
        <f>'[3]Bilan 2022 réel'!$V$13/11.63</f>
        <v>13.359407222699915</v>
      </c>
      <c r="R40" s="28">
        <f>('[3]Bilan 2022 réel'!$V$22+'[3]Bilan 2022 réel'!$V$30+SUM('[3]Bilan 2022 réel'!$V$36:$V$40)+SUM('[3]Bilan 2022 réel'!$V$44:$V$45)+'[3]Bilan 2022 réel'!$V$47)/11.63</f>
        <v>20.358936597126686</v>
      </c>
      <c r="S40" s="142">
        <f t="shared" ref="S40:S46" si="9">SUM(O40:R40)</f>
        <v>37.245425371126601</v>
      </c>
      <c r="T40" s="75"/>
      <c r="U40" s="147" t="s">
        <v>21</v>
      </c>
      <c r="V40" t="s">
        <v>402</v>
      </c>
      <c r="W40" t="s">
        <v>403</v>
      </c>
      <c r="X40" t="s">
        <v>404</v>
      </c>
      <c r="Y40" t="s">
        <v>405</v>
      </c>
      <c r="Z40" s="8">
        <v>0.24256246419999999</v>
      </c>
      <c r="AA40" s="8">
        <v>5.5365794270000004</v>
      </c>
      <c r="AB40" s="8">
        <v>15.029562889999999</v>
      </c>
      <c r="AC40" s="8">
        <v>21.678188909999999</v>
      </c>
      <c r="AD40" s="96">
        <v>42.486893691199995</v>
      </c>
    </row>
    <row r="41" spans="3:30" x14ac:dyDescent="0.25">
      <c r="C41" s="147" t="s">
        <v>22</v>
      </c>
      <c r="D41" t="s">
        <v>406</v>
      </c>
      <c r="E41" t="s">
        <v>407</v>
      </c>
      <c r="F41" t="s">
        <v>408</v>
      </c>
      <c r="G41" t="s">
        <v>409</v>
      </c>
      <c r="H41" s="8">
        <f>VLOOKUP(D41,Résultats!$B$2:$AX$476,'T energie vecteurs'!K5,FALSE)</f>
        <v>0</v>
      </c>
      <c r="I41" s="8">
        <f>VLOOKUP(E41,Résultats!$B$2:$AX$476,'T energie vecteurs'!K5,FALSE)</f>
        <v>3.1162613220000002</v>
      </c>
      <c r="J41" s="8">
        <f>VLOOKUP(F41,Résultats!$B$2:$AX$476,'T energie vecteurs'!K5,FALSE)</f>
        <v>13.110018159999999</v>
      </c>
      <c r="K41" s="8">
        <f>VLOOKUP(G41,Résultats!$B$2:$AX$476,'T energie vecteurs'!K5,FALSE)</f>
        <v>7.7875307349999998</v>
      </c>
      <c r="L41" s="96">
        <f t="shared" si="8"/>
        <v>24.013810217</v>
      </c>
      <c r="M41" s="75"/>
      <c r="N41" s="150" t="s">
        <v>22</v>
      </c>
      <c r="O41" s="29">
        <f>('[3]Bilan 2022 réel'!$W$46)/11.63</f>
        <v>3.2835727999999995E-2</v>
      </c>
      <c r="P41" s="28">
        <f>SUM('[3]Bilan 2022 réel'!$W$41:$W$43)/11.63</f>
        <v>2.0815720291000002</v>
      </c>
      <c r="Q41" s="28">
        <f>('[3]Bilan 2022 réel'!$W$13)/11.63</f>
        <v>11.4388796216681</v>
      </c>
      <c r="R41" s="28">
        <f>('[3]Bilan 2022 réel'!$W$22+'[3]Bilan 2022 réel'!$W$30+SUM('[3]Bilan 2022 réel'!$W$36:$W$40)+SUM('[3]Bilan 2022 réel'!$W$44:$W$45)+'[3]Bilan 2022 réel'!$W$47)/11.63</f>
        <v>7.4016622456291197</v>
      </c>
      <c r="S41" s="142">
        <f t="shared" si="9"/>
        <v>20.954949624397219</v>
      </c>
      <c r="T41" s="75"/>
      <c r="U41" s="147" t="s">
        <v>22</v>
      </c>
      <c r="V41" t="s">
        <v>406</v>
      </c>
      <c r="W41" t="s">
        <v>407</v>
      </c>
      <c r="X41" t="s">
        <v>408</v>
      </c>
      <c r="Y41" t="s">
        <v>409</v>
      </c>
      <c r="Z41" s="8">
        <v>0</v>
      </c>
      <c r="AA41" s="8">
        <v>2.6025409279999998</v>
      </c>
      <c r="AB41" s="8">
        <v>12.087615939999999</v>
      </c>
      <c r="AC41" s="8">
        <v>7.5277159449999997</v>
      </c>
      <c r="AD41" s="96">
        <v>22.217872813</v>
      </c>
    </row>
    <row r="42" spans="3:30" x14ac:dyDescent="0.25">
      <c r="C42" s="147" t="s">
        <v>23</v>
      </c>
      <c r="H42" s="8">
        <f>SUM(H43:H45)</f>
        <v>2.6272809995999999</v>
      </c>
      <c r="I42" s="8">
        <f>SUM(I43:I45)</f>
        <v>13.25511573699999</v>
      </c>
      <c r="J42" s="8">
        <f>SUM(J43:J45)</f>
        <v>10.0085239899</v>
      </c>
      <c r="K42" s="8">
        <f>SUM(K43:K45)</f>
        <v>14.5791106485</v>
      </c>
      <c r="L42" s="96">
        <f t="shared" si="8"/>
        <v>40.470031374999991</v>
      </c>
      <c r="M42" s="75"/>
      <c r="N42" s="150" t="s">
        <v>490</v>
      </c>
      <c r="O42" s="29">
        <f>O43+O44</f>
        <v>4.5030917883254036</v>
      </c>
      <c r="P42" s="28">
        <f t="shared" ref="P42:R42" si="10">P43+P44</f>
        <v>11.747675010745624</v>
      </c>
      <c r="Q42" s="28">
        <f t="shared" si="10"/>
        <v>9.2559822012037838</v>
      </c>
      <c r="R42" s="28">
        <f t="shared" si="10"/>
        <v>13.798624448265977</v>
      </c>
      <c r="S42" s="142">
        <f t="shared" si="9"/>
        <v>39.305373448540784</v>
      </c>
      <c r="T42" s="75"/>
      <c r="U42" s="147" t="s">
        <v>23</v>
      </c>
      <c r="Z42" s="8">
        <v>2.9997858981999999</v>
      </c>
      <c r="AA42" s="8">
        <v>15.43556102</v>
      </c>
      <c r="AB42" s="8">
        <v>9.8670524684000007</v>
      </c>
      <c r="AC42" s="8">
        <v>14.5980260768</v>
      </c>
      <c r="AD42" s="96">
        <v>42.900425463399998</v>
      </c>
    </row>
    <row r="43" spans="3:30" x14ac:dyDescent="0.25">
      <c r="C43" s="149" t="s">
        <v>24</v>
      </c>
      <c r="D43" t="s">
        <v>410</v>
      </c>
      <c r="E43" t="s">
        <v>411</v>
      </c>
      <c r="F43" t="s">
        <v>412</v>
      </c>
      <c r="G43" t="s">
        <v>413</v>
      </c>
      <c r="H43" s="16">
        <f>VLOOKUP(D43,Résultats!$B$2:$AX$476,'T energie vecteurs'!K5,FALSE)</f>
        <v>1.7434572429999999</v>
      </c>
      <c r="I43" s="16">
        <f>VLOOKUP(E43,Résultats!$B$2:$AX$476,'T energie vecteurs'!K5,FALSE)</f>
        <v>8.9250259599999904</v>
      </c>
      <c r="J43" s="16">
        <f>VLOOKUP(F43,Résultats!$B$2:$AX$476,'T energie vecteurs'!K5,FALSE)</f>
        <v>9.6873318850000008</v>
      </c>
      <c r="K43" s="16">
        <f>VLOOKUP(G43,Résultats!$B$2:$AX$476,'T energie vecteurs'!K5,FALSE)</f>
        <v>12.18399297</v>
      </c>
      <c r="L43" s="95">
        <f t="shared" si="8"/>
        <v>32.539808057999991</v>
      </c>
      <c r="M43" s="16"/>
      <c r="N43" s="149" t="s">
        <v>491</v>
      </c>
      <c r="O43" s="143">
        <f>'[3]Bilan 2022 réel'!$U$46/11.63</f>
        <v>0.63402045200000001</v>
      </c>
      <c r="P43" s="30">
        <f>SUM('[3]Bilan 2022 réel'!$U$41:$U$43)/11.63</f>
        <v>2.4775829957456241</v>
      </c>
      <c r="Q43" s="30">
        <f>'[3]Bilan 2022 réel'!$U$13/11.63</f>
        <v>9.2559822012037838</v>
      </c>
      <c r="R43" s="30">
        <f>('[3]Bilan 2022 réel'!$U$22+'[3]Bilan 2022 réel'!$U$30+SUM('[3]Bilan 2022 réel'!$U$36:$U$40)+SUM('[3]Bilan 2022 réel'!$U$44:$U$45)+'[3]Bilan 2022 réel'!$U$47)/11.63</f>
        <v>12.926272664087129</v>
      </c>
      <c r="S43" s="95">
        <f t="shared" si="9"/>
        <v>25.293858313036537</v>
      </c>
      <c r="T43" s="16"/>
      <c r="U43" s="149" t="s">
        <v>24</v>
      </c>
      <c r="V43" t="s">
        <v>410</v>
      </c>
      <c r="W43" t="s">
        <v>411</v>
      </c>
      <c r="X43" t="s">
        <v>412</v>
      </c>
      <c r="Y43" t="s">
        <v>413</v>
      </c>
      <c r="Z43" s="16">
        <v>2.124276391</v>
      </c>
      <c r="AA43" s="16">
        <v>10.968728779999999</v>
      </c>
      <c r="AB43" s="16">
        <v>9.5295109280000005</v>
      </c>
      <c r="AC43" s="16">
        <v>12.124861210000001</v>
      </c>
      <c r="AD43" s="95">
        <v>34.747377309000001</v>
      </c>
    </row>
    <row r="44" spans="3:30" x14ac:dyDescent="0.25">
      <c r="C44" s="149" t="s">
        <v>47</v>
      </c>
      <c r="D44" t="s">
        <v>414</v>
      </c>
      <c r="E44" t="s">
        <v>415</v>
      </c>
      <c r="F44" t="s">
        <v>416</v>
      </c>
      <c r="G44" t="s">
        <v>417</v>
      </c>
      <c r="H44" s="16">
        <f>VLOOKUP(D44,Résultats!$B$2:$AX$476,'T energie vecteurs'!K5,FALSE)</f>
        <v>0.88382375660000001</v>
      </c>
      <c r="I44" s="16">
        <f>VLOOKUP(E44,Résultats!$B$2:$AX$476,'T energie vecteurs'!K5,FALSE)</f>
        <v>1.9147193920000001</v>
      </c>
      <c r="J44" s="16">
        <f>VLOOKUP(F44,Résultats!$B$2:$AX$476,'T energie vecteurs'!K5,FALSE)</f>
        <v>0</v>
      </c>
      <c r="K44" s="16">
        <f>VLOOKUP(G44,Résultats!$B$2:$AX$476,'T energie vecteurs'!K5,FALSE)</f>
        <v>2.0568752749999999</v>
      </c>
      <c r="L44" s="95">
        <f t="shared" si="8"/>
        <v>4.8554184235999998</v>
      </c>
      <c r="M44" s="16"/>
      <c r="N44" s="149" t="s">
        <v>47</v>
      </c>
      <c r="O44" s="22">
        <f>'[3]Bilan 2022 réel'!$E$52/11.63</f>
        <v>3.8690713363254039</v>
      </c>
      <c r="P44" s="16">
        <f>('[3]Bilan 2022 réel'!$E$54+'[3]Bilan 2022 réel'!$E$56)/11.63</f>
        <v>9.2700920149999995</v>
      </c>
      <c r="Q44" s="16">
        <v>0</v>
      </c>
      <c r="R44" s="16">
        <f>('[3]Bilan 2022 réel'!$E$53+'[3]Bilan 2022 réel'!$E$55+'[3]Bilan 2022 réel'!$E$57)/11.63</f>
        <v>0.87235178417884784</v>
      </c>
      <c r="S44" s="95">
        <f t="shared" si="9"/>
        <v>14.011515135504252</v>
      </c>
      <c r="T44" s="16"/>
      <c r="U44" s="149" t="s">
        <v>47</v>
      </c>
      <c r="V44" t="s">
        <v>414</v>
      </c>
      <c r="W44" t="s">
        <v>415</v>
      </c>
      <c r="X44" t="s">
        <v>416</v>
      </c>
      <c r="Y44" t="s">
        <v>417</v>
      </c>
      <c r="Z44" s="16">
        <v>0.87550950719999998</v>
      </c>
      <c r="AA44" s="16">
        <v>2.033282716</v>
      </c>
      <c r="AB44" s="16">
        <v>0</v>
      </c>
      <c r="AC44" s="16">
        <v>2.138632952</v>
      </c>
      <c r="AD44" s="95">
        <v>5.0474251751999999</v>
      </c>
    </row>
    <row r="45" spans="3:30" x14ac:dyDescent="0.25">
      <c r="C45" s="149" t="s">
        <v>25</v>
      </c>
      <c r="D45" t="s">
        <v>418</v>
      </c>
      <c r="E45" t="s">
        <v>419</v>
      </c>
      <c r="F45" t="s">
        <v>420</v>
      </c>
      <c r="G45" t="s">
        <v>421</v>
      </c>
      <c r="H45" s="16">
        <f>VLOOKUP(D45,Résultats!$B$2:$AX$476,'T energie vecteurs'!K5,FALSE)</f>
        <v>0</v>
      </c>
      <c r="I45" s="16">
        <f>VLOOKUP(E45,Résultats!$B$2:$AX$476,'T energie vecteurs'!K5,FALSE)</f>
        <v>2.4153703850000001</v>
      </c>
      <c r="J45" s="16">
        <f>VLOOKUP(F45,Résultats!$B$2:$AX$476,'T energie vecteurs'!K5,FALSE)</f>
        <v>0.3211921049</v>
      </c>
      <c r="K45" s="16">
        <f>VLOOKUP(G45,Résultats!$B$2:$AX$476,'T energie vecteurs'!K5,FALSE)</f>
        <v>0.33824240350000001</v>
      </c>
      <c r="L45" s="95">
        <f t="shared" si="8"/>
        <v>3.0748048934000005</v>
      </c>
      <c r="M45" s="16"/>
      <c r="N45" s="150" t="s">
        <v>25</v>
      </c>
      <c r="O45" s="29">
        <f>'[3]Bilan 2022 réel'!$T$46/11.63</f>
        <v>1.651664E-3</v>
      </c>
      <c r="P45" s="28">
        <f>SUM('[3]Bilan 2022 réel'!$T$41:$T$43)/11.63</f>
        <v>3.5697769387513203</v>
      </c>
      <c r="Q45" s="28">
        <f>'[3]Bilan 2022 réel'!$T$13/11.63</f>
        <v>0.67291487532244199</v>
      </c>
      <c r="R45" s="28">
        <f>('[3]Bilan 2022 réel'!$T$22+'[3]Bilan 2022 réel'!$T$30+SUM('[3]Bilan 2022 réel'!$T$36:$T$40)+SUM('[3]Bilan 2022 réel'!$T$44:$T$45)+'[3]Bilan 2022 réel'!$T$47)/11.63</f>
        <v>0.43996563007547523</v>
      </c>
      <c r="S45" s="142">
        <f t="shared" si="9"/>
        <v>4.6843091081492378</v>
      </c>
      <c r="T45" s="16"/>
      <c r="U45" s="149" t="s">
        <v>25</v>
      </c>
      <c r="V45" t="s">
        <v>418</v>
      </c>
      <c r="W45" t="s">
        <v>419</v>
      </c>
      <c r="X45" t="s">
        <v>420</v>
      </c>
      <c r="Y45" t="s">
        <v>421</v>
      </c>
      <c r="Z45" s="16">
        <v>0</v>
      </c>
      <c r="AA45" s="16">
        <v>2.433549524</v>
      </c>
      <c r="AB45" s="16">
        <v>0.33754154040000001</v>
      </c>
      <c r="AC45" s="16">
        <v>0.3345319148</v>
      </c>
      <c r="AD45" s="95">
        <v>3.1056229792000001</v>
      </c>
    </row>
    <row r="46" spans="3:30" x14ac:dyDescent="0.25">
      <c r="C46" s="23" t="s">
        <v>26</v>
      </c>
      <c r="D46" s="10"/>
      <c r="E46" s="10"/>
      <c r="F46" s="10"/>
      <c r="G46" s="10"/>
      <c r="H46" s="9">
        <f>SUM(H37,H40:H42)</f>
        <v>2.8723791213999998</v>
      </c>
      <c r="I46" s="9">
        <f>SUM(I37,I40:I42)</f>
        <v>63.879910312999989</v>
      </c>
      <c r="J46" s="9">
        <f>SUM(J37,J40:J42)</f>
        <v>39.433226497299998</v>
      </c>
      <c r="K46" s="9">
        <f>SUM(K37,K40:K42)</f>
        <v>44.487651275802705</v>
      </c>
      <c r="L46" s="98">
        <f t="shared" si="8"/>
        <v>150.67316720750267</v>
      </c>
      <c r="M46" s="79"/>
      <c r="N46" s="151" t="s">
        <v>26</v>
      </c>
      <c r="O46" s="32">
        <f>O37+O40+O41+O42+O45</f>
        <v>4.5640554973254037</v>
      </c>
      <c r="P46" s="31">
        <f>P37+P40+P41+P42+P45</f>
        <v>64.295512199141086</v>
      </c>
      <c r="Q46" s="31">
        <f>Q37+Q40+Q41+Q42+Q45</f>
        <v>35.657811435941532</v>
      </c>
      <c r="R46" s="31">
        <f>R37+R40+R41+R42+R45</f>
        <v>42.318045756866823</v>
      </c>
      <c r="S46" s="144">
        <f t="shared" si="9"/>
        <v>146.83542488927486</v>
      </c>
      <c r="T46" s="79"/>
      <c r="U46" s="23" t="s">
        <v>26</v>
      </c>
      <c r="V46" s="10"/>
      <c r="W46" s="10"/>
      <c r="X46" s="10"/>
      <c r="Y46" s="10"/>
      <c r="Z46" s="9">
        <v>3.2423483624</v>
      </c>
      <c r="AA46" s="9">
        <v>66.523146284999996</v>
      </c>
      <c r="AB46" s="9">
        <v>38.969007848800004</v>
      </c>
      <c r="AC46" s="9">
        <v>44.244922827868095</v>
      </c>
      <c r="AD46" s="98">
        <v>152.97942532406807</v>
      </c>
    </row>
    <row r="47" spans="3:30" s="3" customFormat="1" x14ac:dyDescent="0.25">
      <c r="H47" s="45"/>
      <c r="I47" s="45"/>
      <c r="J47" s="45"/>
      <c r="K47" s="45"/>
      <c r="L47" s="45"/>
      <c r="M47" s="45"/>
      <c r="N47" s="45"/>
      <c r="O47" s="77"/>
      <c r="P47" s="77"/>
      <c r="Q47" s="77"/>
      <c r="R47" s="78"/>
      <c r="S47" s="45"/>
      <c r="T47" s="45"/>
      <c r="Z47" s="45"/>
      <c r="AA47" s="45"/>
      <c r="AB47" s="45"/>
      <c r="AC47" s="45"/>
      <c r="AD47" s="45"/>
    </row>
    <row r="48" spans="3:30" s="3" customFormat="1" x14ac:dyDescent="0.25"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Z48" s="45"/>
      <c r="AA48" s="45"/>
      <c r="AB48" s="45"/>
      <c r="AC48" s="45"/>
      <c r="AD48" s="45"/>
    </row>
    <row r="49" spans="2:30" ht="31.5" x14ac:dyDescent="0.35">
      <c r="C49" s="145">
        <v>2023</v>
      </c>
      <c r="D49" s="146"/>
      <c r="E49" s="146"/>
      <c r="F49" s="146"/>
      <c r="G49" s="146"/>
      <c r="H49" s="76" t="s">
        <v>36</v>
      </c>
      <c r="I49" s="76" t="s">
        <v>49</v>
      </c>
      <c r="J49" s="76" t="s">
        <v>38</v>
      </c>
      <c r="K49" s="76" t="s">
        <v>48</v>
      </c>
      <c r="L49" s="93" t="s">
        <v>1</v>
      </c>
      <c r="M49" s="19"/>
      <c r="N49" s="145">
        <v>2023</v>
      </c>
      <c r="O49" s="141" t="s">
        <v>36</v>
      </c>
      <c r="P49" s="76" t="s">
        <v>49</v>
      </c>
      <c r="Q49" s="76" t="s">
        <v>38</v>
      </c>
      <c r="R49" s="76" t="s">
        <v>48</v>
      </c>
      <c r="S49" s="93" t="s">
        <v>1</v>
      </c>
      <c r="T49" s="19"/>
      <c r="U49" s="145">
        <v>2023</v>
      </c>
      <c r="V49" s="146"/>
      <c r="W49" s="146"/>
      <c r="X49" s="146"/>
      <c r="Y49" s="146"/>
      <c r="Z49" s="76" t="s">
        <v>36</v>
      </c>
      <c r="AA49" s="76" t="s">
        <v>49</v>
      </c>
      <c r="AB49" s="76" t="s">
        <v>38</v>
      </c>
      <c r="AC49" s="76" t="s">
        <v>48</v>
      </c>
      <c r="AD49" s="93" t="s">
        <v>1</v>
      </c>
    </row>
    <row r="50" spans="2:30" x14ac:dyDescent="0.25">
      <c r="C50" s="147" t="s">
        <v>18</v>
      </c>
      <c r="H50" s="8">
        <f>SUM(H51:H52)</f>
        <v>0</v>
      </c>
      <c r="I50" s="8">
        <f>SUM(I51:I52)</f>
        <v>41.288449619999994</v>
      </c>
      <c r="J50" s="8">
        <f>SUM(J51:J52)</f>
        <v>1.5930669290999999</v>
      </c>
      <c r="K50" s="8">
        <f>SUM(K51:K52)</f>
        <v>0.40622381518020001</v>
      </c>
      <c r="L50" s="96">
        <f>SUM(H50:K50)</f>
        <v>43.287740364280189</v>
      </c>
      <c r="M50" s="75"/>
      <c r="N50" s="150" t="s">
        <v>18</v>
      </c>
      <c r="O50" s="29">
        <f>'[3]Bilan 2023 réel'!$X$46/11.63</f>
        <v>0</v>
      </c>
      <c r="P50" s="28">
        <f>SUM('[3]Bilan 2023 réel'!$X$41:$X$43)/11.63</f>
        <v>42.139633010859157</v>
      </c>
      <c r="Q50" s="28">
        <f>'[3]Bilan 2023 réel'!$X$13/11.63</f>
        <v>0.9065512467755803</v>
      </c>
      <c r="R50" s="28">
        <f>('[3]Bilan 2023 réel'!$X$22+'[3]Bilan 2023 réel'!$X$30+SUM('[3]Bilan 2023 réel'!$X$36:$X$40)+SUM('[3]Bilan 2023 réel'!$X$44:$X$45)+'[3]Bilan 2023 réel'!$X$47)/11.63</f>
        <v>0.31885683576956142</v>
      </c>
      <c r="S50" s="142">
        <f>SUM(O50:R50)</f>
        <v>43.365041093404294</v>
      </c>
      <c r="T50" s="270"/>
      <c r="U50" s="147" t="s">
        <v>18</v>
      </c>
      <c r="Z50" s="8">
        <v>0</v>
      </c>
      <c r="AA50" s="8">
        <v>42.78148384</v>
      </c>
      <c r="AB50" s="8">
        <v>2.0370256394999999</v>
      </c>
      <c r="AC50" s="8">
        <v>0.49027885509919999</v>
      </c>
      <c r="AD50" s="96">
        <v>45.3087883345992</v>
      </c>
    </row>
    <row r="51" spans="2:30" x14ac:dyDescent="0.25">
      <c r="C51" s="148" t="s">
        <v>19</v>
      </c>
      <c r="D51" t="s">
        <v>394</v>
      </c>
      <c r="E51" t="s">
        <v>395</v>
      </c>
      <c r="F51" t="s">
        <v>396</v>
      </c>
      <c r="G51" t="s">
        <v>397</v>
      </c>
      <c r="H51" s="16">
        <f>VLOOKUP(D51,Résultats!$B$2:$AX$476,'T energie vecteurs'!L5,FALSE)</f>
        <v>0</v>
      </c>
      <c r="I51" s="16">
        <f>VLOOKUP(E51,Résultats!$B$2:$AX$476,'T energie vecteurs'!L5,FALSE)</f>
        <v>22.31241296</v>
      </c>
      <c r="J51" s="16">
        <f>VLOOKUP(F51,Résultats!$B$2:$AX$476,'T energie vecteurs'!L5,FALSE)</f>
        <v>0.20530102610000001</v>
      </c>
      <c r="K51" s="16">
        <f>VLOOKUP(G51,Résultats!$B$2:$AX$476,'T energie vecteurs'!L5,FALSE)</f>
        <v>2.10583802E-5</v>
      </c>
      <c r="L51" s="95">
        <f t="shared" ref="L51:L52" si="11">SUM(H51:K51)</f>
        <v>22.517735044480197</v>
      </c>
      <c r="M51" s="16"/>
      <c r="N51" s="148" t="s">
        <v>19</v>
      </c>
      <c r="O51" s="143"/>
      <c r="P51" s="16"/>
      <c r="Q51" s="34"/>
      <c r="R51" s="16"/>
      <c r="S51" s="95"/>
      <c r="T51" s="270"/>
      <c r="U51" s="148" t="s">
        <v>19</v>
      </c>
      <c r="V51" t="s">
        <v>394</v>
      </c>
      <c r="W51" t="s">
        <v>395</v>
      </c>
      <c r="X51" t="s">
        <v>396</v>
      </c>
      <c r="Y51" t="s">
        <v>397</v>
      </c>
      <c r="Z51" s="16">
        <v>0</v>
      </c>
      <c r="AA51" s="16">
        <v>22.559039250000001</v>
      </c>
      <c r="AB51" s="16">
        <v>0.19969301049999999</v>
      </c>
      <c r="AC51" s="16">
        <v>1.32034992E-5</v>
      </c>
      <c r="AD51" s="95">
        <v>22.758745463999201</v>
      </c>
    </row>
    <row r="52" spans="2:30" x14ac:dyDescent="0.25">
      <c r="C52" s="149" t="s">
        <v>20</v>
      </c>
      <c r="D52" t="s">
        <v>398</v>
      </c>
      <c r="E52" t="s">
        <v>399</v>
      </c>
      <c r="F52" t="s">
        <v>400</v>
      </c>
      <c r="G52" t="s">
        <v>401</v>
      </c>
      <c r="H52" s="16">
        <f>VLOOKUP(D52,Résultats!$B$2:$AX$476,'T energie vecteurs'!L5,FALSE)</f>
        <v>0</v>
      </c>
      <c r="I52" s="16">
        <f>VLOOKUP(E52,Résultats!$B$2:$AX$476,'T energie vecteurs'!L5,FALSE)</f>
        <v>18.976036659999998</v>
      </c>
      <c r="J52" s="16">
        <f>VLOOKUP(F52,Résultats!$B$2:$AX$476,'T energie vecteurs'!L5,FALSE)</f>
        <v>1.387765903</v>
      </c>
      <c r="K52" s="16">
        <f>VLOOKUP(G52,Résultats!$B$2:$AX$476,'T energie vecteurs'!L5,FALSE)</f>
        <v>0.40620275680000001</v>
      </c>
      <c r="L52" s="95">
        <f t="shared" si="11"/>
        <v>20.770005319799999</v>
      </c>
      <c r="M52" s="16"/>
      <c r="N52" s="149" t="s">
        <v>20</v>
      </c>
      <c r="O52" s="143"/>
      <c r="P52" s="16"/>
      <c r="Q52" s="34"/>
      <c r="R52" s="16"/>
      <c r="S52" s="95"/>
      <c r="T52" s="270"/>
      <c r="U52" s="149" t="s">
        <v>20</v>
      </c>
      <c r="V52" t="s">
        <v>398</v>
      </c>
      <c r="W52" t="s">
        <v>399</v>
      </c>
      <c r="X52" t="s">
        <v>400</v>
      </c>
      <c r="Y52" t="s">
        <v>401</v>
      </c>
      <c r="Z52" s="16">
        <v>0</v>
      </c>
      <c r="AA52" s="16">
        <v>20.222444589999998</v>
      </c>
      <c r="AB52" s="16">
        <v>1.8373326290000001</v>
      </c>
      <c r="AC52" s="16">
        <v>0.49026565160000002</v>
      </c>
      <c r="AD52" s="95">
        <v>22.550042870599999</v>
      </c>
    </row>
    <row r="53" spans="2:30" x14ac:dyDescent="0.25">
      <c r="C53" s="147" t="s">
        <v>21</v>
      </c>
      <c r="D53" t="s">
        <v>402</v>
      </c>
      <c r="E53" t="s">
        <v>403</v>
      </c>
      <c r="F53" t="s">
        <v>404</v>
      </c>
      <c r="G53" t="s">
        <v>405</v>
      </c>
      <c r="H53" s="8">
        <f>VLOOKUP(D53,Résultats!$B$2:$AX$476,'T energie vecteurs'!L5,FALSE)</f>
        <v>0.2362159096</v>
      </c>
      <c r="I53" s="294">
        <f>VLOOKUP(E53,Résultats!$B$2:$AX$476,'T energie vecteurs'!L5,FALSE)</f>
        <v>5.7150374089999998</v>
      </c>
      <c r="J53" s="8">
        <f>VLOOKUP(F53,Résultats!$B$2:$AX$476,'T energie vecteurs'!L5,FALSE)</f>
        <v>14.884860720000001</v>
      </c>
      <c r="K53" s="8">
        <f>VLOOKUP(G53,Résultats!$B$2:$AX$476,'T energie vecteurs'!L5,FALSE)+8</f>
        <v>21.555850380000003</v>
      </c>
      <c r="L53" s="96">
        <f>SUM(H53:K53)</f>
        <v>42.391964418600004</v>
      </c>
      <c r="M53" s="75"/>
      <c r="N53" s="150" t="s">
        <v>21</v>
      </c>
      <c r="O53" s="29">
        <f>'[3]Bilan 2023 réel'!$V$46/11.63</f>
        <v>1.9785054E-2</v>
      </c>
      <c r="P53" s="28">
        <f>SUM('[3]Bilan 2023 réel'!$V$41:$V$43)/11.63</f>
        <v>3.0423469738</v>
      </c>
      <c r="Q53" s="28">
        <f>'[3]Bilan 2023 réel'!$V$13/11.63</f>
        <v>13.020267239896821</v>
      </c>
      <c r="R53" s="28">
        <f>('[3]Bilan 2023 réel'!$V$22+'[3]Bilan 2023 réel'!$V$30+SUM('[3]Bilan 2023 réel'!$V$36:$V$40)+SUM('[3]Bilan 2023 réel'!$V$44:$V$45)+'[3]Bilan 2023 réel'!$V$47)/11.63</f>
        <v>20.330842243575045</v>
      </c>
      <c r="S53" s="142">
        <f t="shared" ref="S53:S59" si="12">SUM(O53:R53)</f>
        <v>36.413241511271863</v>
      </c>
      <c r="T53" s="270"/>
      <c r="U53" s="147" t="s">
        <v>21</v>
      </c>
      <c r="V53" t="s">
        <v>402</v>
      </c>
      <c r="W53" t="s">
        <v>403</v>
      </c>
      <c r="X53" t="s">
        <v>404</v>
      </c>
      <c r="Y53" t="s">
        <v>405</v>
      </c>
      <c r="Z53" s="8">
        <v>0.23237625249999999</v>
      </c>
      <c r="AA53" s="294">
        <v>5.4133837050000002</v>
      </c>
      <c r="AB53" s="8">
        <v>14.95241315</v>
      </c>
      <c r="AC53" s="8">
        <v>21.467979970000002</v>
      </c>
      <c r="AD53" s="96">
        <v>42.066153077500005</v>
      </c>
    </row>
    <row r="54" spans="2:30" x14ac:dyDescent="0.25">
      <c r="C54" s="147" t="s">
        <v>22</v>
      </c>
      <c r="D54" t="s">
        <v>406</v>
      </c>
      <c r="E54" t="s">
        <v>407</v>
      </c>
      <c r="F54" t="s">
        <v>408</v>
      </c>
      <c r="G54" t="s">
        <v>409</v>
      </c>
      <c r="H54" s="8">
        <f>VLOOKUP(D54,Résultats!$B$2:$AX$476,'T energie vecteurs'!L5,FALSE)</f>
        <v>0</v>
      </c>
      <c r="I54" s="8">
        <f>VLOOKUP(E54,Résultats!$B$2:$AX$476,'T energie vecteurs'!L5,FALSE)</f>
        <v>3.1132433229999998</v>
      </c>
      <c r="J54" s="8">
        <f>VLOOKUP(F54,Résultats!$B$2:$AX$476,'T energie vecteurs'!L5,FALSE)</f>
        <v>13.131261439999999</v>
      </c>
      <c r="K54" s="8">
        <f>VLOOKUP(G54,Résultats!$B$2:$AX$476,'T energie vecteurs'!L5,FALSE)</f>
        <v>7.7890312740000001</v>
      </c>
      <c r="L54" s="96">
        <f t="shared" ref="L54:L56" si="13">SUM(H54:K54)</f>
        <v>24.033536036999998</v>
      </c>
      <c r="M54" s="75"/>
      <c r="N54" s="150" t="s">
        <v>22</v>
      </c>
      <c r="O54" s="29">
        <f>('[3]Bilan 2023 réel'!$W$46)/11.63</f>
        <v>2.9470376E-2</v>
      </c>
      <c r="P54" s="28">
        <f>SUM('[3]Bilan 2023 réel'!$W$41:$W$43)/11.63</f>
        <v>2.063881609425366</v>
      </c>
      <c r="Q54" s="28">
        <f>('[3]Bilan 2023 réel'!$W$13)/11.63</f>
        <v>11.200373602751505</v>
      </c>
      <c r="R54" s="28">
        <f>('[3]Bilan 2023 réel'!$W$22+'[3]Bilan 2023 réel'!$W$30+SUM('[3]Bilan 2023 réel'!$W$36:$W$40)+SUM('[3]Bilan 2023 réel'!$W$44:$W$45)+'[3]Bilan 2023 réel'!$W$47)/11.63</f>
        <v>7.0633917765357781</v>
      </c>
      <c r="S54" s="142">
        <f t="shared" si="12"/>
        <v>20.35711736471265</v>
      </c>
      <c r="T54" s="270"/>
      <c r="U54" s="147" t="s">
        <v>22</v>
      </c>
      <c r="V54" t="s">
        <v>406</v>
      </c>
      <c r="W54" t="s">
        <v>407</v>
      </c>
      <c r="X54" t="s">
        <v>408</v>
      </c>
      <c r="Y54" t="s">
        <v>409</v>
      </c>
      <c r="Z54" s="8">
        <v>0</v>
      </c>
      <c r="AA54" s="8">
        <v>2.6290560260000002</v>
      </c>
      <c r="AB54" s="8">
        <v>11.97647014</v>
      </c>
      <c r="AC54" s="8">
        <v>7.4717173700000004</v>
      </c>
      <c r="AD54" s="96">
        <v>22.077243536000001</v>
      </c>
    </row>
    <row r="55" spans="2:30" x14ac:dyDescent="0.25">
      <c r="C55" s="147" t="s">
        <v>23</v>
      </c>
      <c r="H55" s="8">
        <f>SUM(H56:H58)</f>
        <v>2.6348224952999999</v>
      </c>
      <c r="I55" s="8">
        <f>SUM(I56:I58)</f>
        <v>13.190269411999999</v>
      </c>
      <c r="J55" s="8">
        <f>SUM(J56:J58)</f>
        <v>10.3193634395</v>
      </c>
      <c r="K55" s="8">
        <f>SUM(K56:K58)</f>
        <v>14.885764229799999</v>
      </c>
      <c r="L55" s="96">
        <f t="shared" si="13"/>
        <v>41.030219576600004</v>
      </c>
      <c r="M55" s="75"/>
      <c r="N55" s="150" t="s">
        <v>490</v>
      </c>
      <c r="O55" s="29">
        <f>O56+O57</f>
        <v>3.8091541290558895</v>
      </c>
      <c r="P55" s="28">
        <f t="shared" ref="P55:R55" si="14">P56+P57</f>
        <v>12.120619615422576</v>
      </c>
      <c r="Q55" s="28">
        <f t="shared" si="14"/>
        <v>8.8688043852106624</v>
      </c>
      <c r="R55" s="28">
        <f t="shared" si="14"/>
        <v>13.00955432637566</v>
      </c>
      <c r="S55" s="142">
        <f t="shared" si="12"/>
        <v>37.808132456064783</v>
      </c>
      <c r="T55" s="270"/>
      <c r="U55" s="147" t="s">
        <v>23</v>
      </c>
      <c r="Z55" s="8">
        <v>3.0694240808999997</v>
      </c>
      <c r="AA55" s="8">
        <v>15.774809033</v>
      </c>
      <c r="AB55" s="8">
        <v>10.0345506721</v>
      </c>
      <c r="AC55" s="8">
        <v>14.955153044099999</v>
      </c>
      <c r="AD55" s="96">
        <v>43.833936830100001</v>
      </c>
    </row>
    <row r="56" spans="2:30" x14ac:dyDescent="0.25">
      <c r="C56" s="149" t="s">
        <v>24</v>
      </c>
      <c r="D56" t="s">
        <v>410</v>
      </c>
      <c r="E56" t="s">
        <v>411</v>
      </c>
      <c r="F56" t="s">
        <v>412</v>
      </c>
      <c r="G56" t="s">
        <v>413</v>
      </c>
      <c r="H56" s="16">
        <f>VLOOKUP(D56,Résultats!$B$2:$AX$476,'T energie vecteurs'!L5,FALSE)</f>
        <v>1.7351000489999999</v>
      </c>
      <c r="I56" s="16">
        <f>VLOOKUP(E56,Résultats!$B$2:$AX$476,'T energie vecteurs'!L5,FALSE)</f>
        <v>8.7875281679999997</v>
      </c>
      <c r="J56" s="16">
        <f>VLOOKUP(F56,Résultats!$B$2:$AX$476,'T energie vecteurs'!L5,FALSE)</f>
        <v>9.9895226800000003</v>
      </c>
      <c r="K56" s="16">
        <f>VLOOKUP(G56,Résultats!$B$2:$AX$476,'T energie vecteurs'!L5,FALSE)</f>
        <v>12.44665612</v>
      </c>
      <c r="L56" s="95">
        <f t="shared" si="13"/>
        <v>32.958807016999998</v>
      </c>
      <c r="M56" s="16"/>
      <c r="N56" s="149" t="s">
        <v>491</v>
      </c>
      <c r="O56" s="143">
        <f>'[3]Bilan 2023 réel'!$U$46/11.63</f>
        <v>0.58092196100000004</v>
      </c>
      <c r="P56" s="30">
        <f>SUM('[3]Bilan 2023 réel'!$U$41:$U$43)/11.63</f>
        <v>2.395717067522579</v>
      </c>
      <c r="Q56" s="30">
        <f>'[3]Bilan 2023 réel'!$U$13/11.63</f>
        <v>8.8688043852106624</v>
      </c>
      <c r="R56" s="30">
        <f>('[3]Bilan 2023 réel'!$U$22+'[3]Bilan 2023 réel'!$U$30+SUM('[3]Bilan 2023 réel'!$U$36:$U$40)+SUM('[3]Bilan 2023 réel'!$U$44:$U$45)+'[3]Bilan 2023 réel'!$U$47)/11.63</f>
        <v>12.148361914509795</v>
      </c>
      <c r="S56" s="95">
        <f t="shared" si="12"/>
        <v>23.993805328243035</v>
      </c>
      <c r="T56" s="270"/>
      <c r="U56" s="149" t="s">
        <v>24</v>
      </c>
      <c r="V56" t="s">
        <v>410</v>
      </c>
      <c r="W56" t="s">
        <v>411</v>
      </c>
      <c r="X56" t="s">
        <v>412</v>
      </c>
      <c r="Y56" t="s">
        <v>413</v>
      </c>
      <c r="Z56" s="16">
        <v>2.1770346969999999</v>
      </c>
      <c r="AA56" s="16">
        <v>11.24848031</v>
      </c>
      <c r="AB56" s="16">
        <v>9.7024778759999997</v>
      </c>
      <c r="AC56" s="16">
        <v>12.41605712</v>
      </c>
      <c r="AD56" s="95">
        <v>35.544050002999995</v>
      </c>
    </row>
    <row r="57" spans="2:30" x14ac:dyDescent="0.25">
      <c r="C57" s="149" t="s">
        <v>47</v>
      </c>
      <c r="D57" t="s">
        <v>414</v>
      </c>
      <c r="E57" t="s">
        <v>415</v>
      </c>
      <c r="F57" t="s">
        <v>416</v>
      </c>
      <c r="G57" t="s">
        <v>417</v>
      </c>
      <c r="H57" s="16">
        <f>VLOOKUP(D57,Résultats!$B$2:$AX$476,'T energie vecteurs'!L5,FALSE)</f>
        <v>0.89972244629999998</v>
      </c>
      <c r="I57" s="16">
        <f>VLOOKUP(E57,Résultats!$B$2:$AX$476,'T energie vecteurs'!L5,FALSE)</f>
        <v>1.9500425020000001</v>
      </c>
      <c r="J57" s="16">
        <f>VLOOKUP(F57,Résultats!$B$2:$AX$476,'T energie vecteurs'!L5,FALSE)</f>
        <v>0</v>
      </c>
      <c r="K57" s="16">
        <f>VLOOKUP(G57,Résultats!$B$2:$AX$476,'T energie vecteurs'!L5,FALSE)</f>
        <v>2.0902850489999998</v>
      </c>
      <c r="L57" s="95">
        <f>SUM(H57:K57)</f>
        <v>4.9400499972999992</v>
      </c>
      <c r="M57" s="16"/>
      <c r="N57" s="149" t="s">
        <v>47</v>
      </c>
      <c r="O57" s="22">
        <f>'[3]Bilan 2023 réel'!$E$52/11.63</f>
        <v>3.2282321680558894</v>
      </c>
      <c r="P57" s="16">
        <f>('[3]Bilan 2023 réel'!$E$54+'[3]Bilan 2023 réel'!$E$56)/11.63</f>
        <v>9.7249025478999975</v>
      </c>
      <c r="Q57" s="16">
        <v>0</v>
      </c>
      <c r="R57" s="16">
        <f>('[3]Bilan 2023 réel'!$E$53+'[3]Bilan 2023 réel'!$E$55+'[3]Bilan 2023 réel'!$E$57)/11.63</f>
        <v>0.86119241186586415</v>
      </c>
      <c r="S57" s="95">
        <f t="shared" si="12"/>
        <v>13.814327127821752</v>
      </c>
      <c r="T57" s="270"/>
      <c r="U57" s="149" t="s">
        <v>47</v>
      </c>
      <c r="V57" t="s">
        <v>414</v>
      </c>
      <c r="W57" t="s">
        <v>415</v>
      </c>
      <c r="X57" t="s">
        <v>416</v>
      </c>
      <c r="Y57" t="s">
        <v>417</v>
      </c>
      <c r="Z57" s="16">
        <v>0.8923893839</v>
      </c>
      <c r="AA57" s="16">
        <v>2.0993252290000002</v>
      </c>
      <c r="AB57" s="16">
        <v>0</v>
      </c>
      <c r="AC57" s="16">
        <v>2.2040489600000002</v>
      </c>
      <c r="AD57" s="95">
        <v>5.1957635729000007</v>
      </c>
    </row>
    <row r="58" spans="2:30" x14ac:dyDescent="0.25">
      <c r="C58" s="149" t="s">
        <v>25</v>
      </c>
      <c r="D58" t="s">
        <v>418</v>
      </c>
      <c r="E58" t="s">
        <v>419</v>
      </c>
      <c r="F58" t="s">
        <v>420</v>
      </c>
      <c r="G58" t="s">
        <v>421</v>
      </c>
      <c r="H58" s="16">
        <f>VLOOKUP(D58,Résultats!$B$2:$AX$476,'T energie vecteurs'!L5,FALSE)</f>
        <v>0</v>
      </c>
      <c r="I58" s="16">
        <f>VLOOKUP(E58,Résultats!$B$2:$AX$476,'T energie vecteurs'!L5,FALSE)</f>
        <v>2.4526987419999999</v>
      </c>
      <c r="J58" s="16">
        <f>VLOOKUP(F58,Résultats!$B$2:$AX$476,'T energie vecteurs'!L5,FALSE)</f>
        <v>0.32984075950000002</v>
      </c>
      <c r="K58" s="16">
        <f>VLOOKUP(G58,Résultats!$B$2:$AX$476,'T energie vecteurs'!L5,FALSE)</f>
        <v>0.34882306079999997</v>
      </c>
      <c r="L58" s="95">
        <f t="shared" ref="L58" si="15">SUM(H58:K58)</f>
        <v>3.1313625623000001</v>
      </c>
      <c r="M58" s="16"/>
      <c r="N58" s="150" t="s">
        <v>25</v>
      </c>
      <c r="O58" s="29">
        <f>'[3]Bilan 2023 réel'!$T$46/11.63</f>
        <v>1.221354E-3</v>
      </c>
      <c r="P58" s="28">
        <f>SUM('[3]Bilan 2023 réel'!$T$41:$T$43)/11.63</f>
        <v>3.4194391444513199</v>
      </c>
      <c r="Q58" s="28">
        <f>'[3]Bilan 2023 réel'!$T$13/11.63</f>
        <v>0.65647798796216683</v>
      </c>
      <c r="R58" s="28">
        <f>('[3]Bilan 2023 réel'!$T$22+'[3]Bilan 2023 réel'!$T$30+SUM('[3]Bilan 2023 réel'!$T$36:$T$40)+SUM('[3]Bilan 2023 réel'!$T$44:$T$45)+'[3]Bilan 2023 réel'!$T$47)/11.63</f>
        <v>0.44186481322250887</v>
      </c>
      <c r="S58" s="142">
        <f t="shared" si="12"/>
        <v>4.5190032996359957</v>
      </c>
      <c r="T58" s="270"/>
      <c r="U58" s="149" t="s">
        <v>25</v>
      </c>
      <c r="V58" t="s">
        <v>418</v>
      </c>
      <c r="W58" t="s">
        <v>419</v>
      </c>
      <c r="X58" t="s">
        <v>420</v>
      </c>
      <c r="Y58" t="s">
        <v>421</v>
      </c>
      <c r="Z58" s="16">
        <v>0</v>
      </c>
      <c r="AA58" s="16">
        <v>2.427003494</v>
      </c>
      <c r="AB58" s="16">
        <v>0.33207279610000001</v>
      </c>
      <c r="AC58" s="16">
        <v>0.33504696410000001</v>
      </c>
      <c r="AD58" s="95">
        <v>3.0941232541999999</v>
      </c>
    </row>
    <row r="59" spans="2:30" x14ac:dyDescent="0.25">
      <c r="C59" s="23" t="s">
        <v>26</v>
      </c>
      <c r="D59" s="10"/>
      <c r="E59" s="10"/>
      <c r="F59" s="10"/>
      <c r="G59" s="10"/>
      <c r="H59" s="9">
        <f>SUM(H50,H53:H55)</f>
        <v>2.8710384048999997</v>
      </c>
      <c r="I59" s="9">
        <f>SUM(I50,I53:I55)</f>
        <v>63.30699976399999</v>
      </c>
      <c r="J59" s="9">
        <f>SUM(J50,J53:J55)</f>
        <v>39.928552528600001</v>
      </c>
      <c r="K59" s="9">
        <f>SUM(K50,K53:K55)</f>
        <v>44.636869698980206</v>
      </c>
      <c r="L59" s="98">
        <f>SUM(H59:K59)</f>
        <v>150.7434603964802</v>
      </c>
      <c r="M59" s="79"/>
      <c r="N59" s="151" t="s">
        <v>26</v>
      </c>
      <c r="O59" s="32">
        <f>O50+O53+O54+O55+O58</f>
        <v>3.8596309130558897</v>
      </c>
      <c r="P59" s="31">
        <f>P50+P53+P54+P55+P58</f>
        <v>62.785920353958417</v>
      </c>
      <c r="Q59" s="31">
        <f>Q50+Q53+Q54+Q55+Q58</f>
        <v>34.652474462596736</v>
      </c>
      <c r="R59" s="31">
        <f>R50+R53+R54+R55+R58</f>
        <v>41.164509995478554</v>
      </c>
      <c r="S59" s="144">
        <f t="shared" si="12"/>
        <v>142.46253572508959</v>
      </c>
      <c r="T59" s="79"/>
      <c r="U59" s="23" t="s">
        <v>26</v>
      </c>
      <c r="V59" s="10"/>
      <c r="W59" s="10"/>
      <c r="X59" s="10"/>
      <c r="Y59" s="10"/>
      <c r="Z59" s="9">
        <v>3.3018003333999997</v>
      </c>
      <c r="AA59" s="9">
        <v>66.598732604000006</v>
      </c>
      <c r="AB59" s="9">
        <v>39.000459601599999</v>
      </c>
      <c r="AC59" s="9">
        <v>44.385129239199202</v>
      </c>
      <c r="AD59" s="98">
        <v>153.2861217781992</v>
      </c>
    </row>
    <row r="60" spans="2:30" s="3" customFormat="1" x14ac:dyDescent="0.25">
      <c r="O60" s="77"/>
      <c r="P60" s="77"/>
      <c r="Q60" s="77"/>
      <c r="R60" s="78"/>
      <c r="S60" s="45"/>
    </row>
    <row r="61" spans="2:30" s="3" customFormat="1" x14ac:dyDescent="0.25">
      <c r="B61" s="60"/>
      <c r="K61" s="47"/>
      <c r="O61" s="79"/>
      <c r="P61" s="79"/>
      <c r="Q61" s="79"/>
      <c r="R61" s="80"/>
      <c r="S61" s="81"/>
      <c r="AC61" s="47"/>
    </row>
    <row r="62" spans="2:30" ht="31.5" x14ac:dyDescent="0.35">
      <c r="C62" s="145">
        <v>2025</v>
      </c>
      <c r="D62" s="146"/>
      <c r="E62" s="146"/>
      <c r="F62" s="146"/>
      <c r="G62" s="146"/>
      <c r="H62" s="76" t="s">
        <v>36</v>
      </c>
      <c r="I62" s="76" t="s">
        <v>49</v>
      </c>
      <c r="J62" s="76" t="s">
        <v>38</v>
      </c>
      <c r="K62" s="76" t="s">
        <v>48</v>
      </c>
      <c r="L62" s="93" t="s">
        <v>1</v>
      </c>
      <c r="M62" s="19"/>
      <c r="N62" s="145">
        <v>2025</v>
      </c>
      <c r="O62" s="141" t="s">
        <v>36</v>
      </c>
      <c r="P62" s="76" t="s">
        <v>49</v>
      </c>
      <c r="Q62" s="76" t="s">
        <v>38</v>
      </c>
      <c r="R62" s="76" t="s">
        <v>48</v>
      </c>
      <c r="S62" s="93" t="s">
        <v>1</v>
      </c>
      <c r="T62" s="19"/>
      <c r="U62" s="145">
        <v>2025</v>
      </c>
      <c r="V62" s="146"/>
      <c r="W62" s="146"/>
      <c r="X62" s="146"/>
      <c r="Y62" s="146"/>
      <c r="Z62" s="76" t="s">
        <v>36</v>
      </c>
      <c r="AA62" s="76" t="s">
        <v>49</v>
      </c>
      <c r="AB62" s="76" t="s">
        <v>38</v>
      </c>
      <c r="AC62" s="76" t="s">
        <v>48</v>
      </c>
      <c r="AD62" s="93" t="s">
        <v>1</v>
      </c>
    </row>
    <row r="63" spans="2:30" x14ac:dyDescent="0.25">
      <c r="C63" s="147" t="s">
        <v>18</v>
      </c>
      <c r="H63" s="8">
        <f>SUM(H64:H65)</f>
        <v>0</v>
      </c>
      <c r="I63" s="8">
        <f>SUM(I64:I65)</f>
        <v>40.761087689999997</v>
      </c>
      <c r="J63" s="8">
        <f>SUM(J64:J65)</f>
        <v>1.8803432366999999</v>
      </c>
      <c r="K63" s="8">
        <f>SUM(K64:K65)</f>
        <v>0.42937398557930001</v>
      </c>
      <c r="L63" s="96">
        <f t="shared" ref="L63:L72" si="16">SUM(H63:K63)</f>
        <v>43.0708049122793</v>
      </c>
      <c r="M63" s="75"/>
      <c r="N63" s="150" t="s">
        <v>18</v>
      </c>
      <c r="O63" s="29">
        <f>'[2]Bilan 2025 AMS'!$X$46/11.63</f>
        <v>0</v>
      </c>
      <c r="P63" s="28">
        <f>SUM('[2]Bilan 2025 AMS'!$X$41:$X$43)/11.63</f>
        <v>38.50153613089298</v>
      </c>
      <c r="Q63" s="28">
        <f>'[2]Bilan 2025 AMS'!$X$13/11.63</f>
        <v>1.4019196706542307</v>
      </c>
      <c r="R63" s="28">
        <f>('[2]Bilan 2025 AMS'!$X$22+'[2]Bilan 2025 AMS'!$X$30+SUM('[2]Bilan 2025 AMS'!$X$36:$X$40)+SUM('[2]Bilan 2025 AMS'!$X$44:$X$45)+'[2]Bilan 2025 AMS'!$X$47)/11.63</f>
        <v>0.36905808040129645</v>
      </c>
      <c r="S63" s="142">
        <f>SUM(O63:R63)</f>
        <v>40.272513881948505</v>
      </c>
      <c r="T63" s="75"/>
      <c r="U63" s="147" t="s">
        <v>18</v>
      </c>
      <c r="Z63" s="8">
        <v>0</v>
      </c>
      <c r="AA63" s="8">
        <v>42.754656769999997</v>
      </c>
      <c r="AB63" s="8">
        <v>2.4101029766999997</v>
      </c>
      <c r="AC63" s="8">
        <v>0.52218364658420002</v>
      </c>
      <c r="AD63" s="96">
        <v>45.686943393284203</v>
      </c>
    </row>
    <row r="64" spans="2:30" x14ac:dyDescent="0.25">
      <c r="C64" s="148" t="s">
        <v>19</v>
      </c>
      <c r="D64" t="s">
        <v>394</v>
      </c>
      <c r="E64" t="s">
        <v>395</v>
      </c>
      <c r="F64" t="s">
        <v>396</v>
      </c>
      <c r="G64" t="s">
        <v>397</v>
      </c>
      <c r="H64" s="16">
        <f>VLOOKUP(D64,Résultats!$B$2:$AX$476,'T energie vecteurs'!N5,FALSE)</f>
        <v>0</v>
      </c>
      <c r="I64" s="16">
        <f>VLOOKUP(E64,Résultats!$B$2:$AX$476,'T energie vecteurs'!N5,FALSE)</f>
        <v>21.681088840000001</v>
      </c>
      <c r="J64" s="16">
        <f>VLOOKUP(F64,Résultats!$B$2:$AX$476,'T energie vecteurs'!N5,FALSE)</f>
        <v>0.31759046769999999</v>
      </c>
      <c r="K64" s="16">
        <f>VLOOKUP(G77,Résultats!$B$2:$AX$476,'T energie vecteurs'!N5,FALSE)</f>
        <v>2.70014793E-5</v>
      </c>
      <c r="L64" s="95">
        <f t="shared" si="16"/>
        <v>21.998706309179301</v>
      </c>
      <c r="M64" s="16"/>
      <c r="N64" s="148" t="s">
        <v>19</v>
      </c>
      <c r="O64" s="143"/>
      <c r="P64" s="16"/>
      <c r="Q64" s="34"/>
      <c r="R64" s="16"/>
      <c r="S64" s="95"/>
      <c r="T64" s="16"/>
      <c r="U64" s="148" t="s">
        <v>19</v>
      </c>
      <c r="V64" t="s">
        <v>394</v>
      </c>
      <c r="W64" t="s">
        <v>395</v>
      </c>
      <c r="X64" t="s">
        <v>396</v>
      </c>
      <c r="Y64" t="s">
        <v>397</v>
      </c>
      <c r="Z64" s="16">
        <v>0</v>
      </c>
      <c r="AA64" s="16">
        <v>22.07369186</v>
      </c>
      <c r="AB64" s="16">
        <v>0.31753119969999999</v>
      </c>
      <c r="AC64" s="16">
        <v>1.7863784199999999E-5</v>
      </c>
      <c r="AD64" s="95">
        <v>22.391240923484201</v>
      </c>
    </row>
    <row r="65" spans="3:30" x14ac:dyDescent="0.25">
      <c r="C65" s="149" t="s">
        <v>20</v>
      </c>
      <c r="D65" t="s">
        <v>398</v>
      </c>
      <c r="E65" t="s">
        <v>399</v>
      </c>
      <c r="F65" t="s">
        <v>400</v>
      </c>
      <c r="G65" t="s">
        <v>401</v>
      </c>
      <c r="H65" s="16">
        <f>VLOOKUP(D65,Résultats!$B$2:$AX$476,'T energie vecteurs'!N5,FALSE)</f>
        <v>0</v>
      </c>
      <c r="I65" s="16">
        <f>VLOOKUP(E65,Résultats!$B$2:$AX$476,'T energie vecteurs'!N5,FALSE)</f>
        <v>19.079998849999999</v>
      </c>
      <c r="J65" s="16">
        <f>VLOOKUP(F65,Résultats!$B$2:$AX$476,'T energie vecteurs'!N5,FALSE)</f>
        <v>1.562752769</v>
      </c>
      <c r="K65" s="16">
        <f>VLOOKUP(G65,Résultats!$B$2:$AX$476,'T energie vecteurs'!N5,FALSE)</f>
        <v>0.4293469841</v>
      </c>
      <c r="L65" s="95">
        <f t="shared" si="16"/>
        <v>21.072098603099999</v>
      </c>
      <c r="M65" s="16"/>
      <c r="N65" s="149" t="s">
        <v>20</v>
      </c>
      <c r="O65" s="143"/>
      <c r="P65" s="16"/>
      <c r="Q65" s="34"/>
      <c r="R65" s="16"/>
      <c r="S65" s="95"/>
      <c r="T65" s="16"/>
      <c r="U65" s="149" t="s">
        <v>20</v>
      </c>
      <c r="V65" t="s">
        <v>398</v>
      </c>
      <c r="W65" t="s">
        <v>399</v>
      </c>
      <c r="X65" t="s">
        <v>400</v>
      </c>
      <c r="Y65" t="s">
        <v>401</v>
      </c>
      <c r="Z65" s="16">
        <v>0</v>
      </c>
      <c r="AA65" s="16">
        <v>20.68096491</v>
      </c>
      <c r="AB65" s="16">
        <v>2.0925717769999999</v>
      </c>
      <c r="AC65" s="16">
        <v>0.52216578280000003</v>
      </c>
      <c r="AD65" s="95">
        <v>23.295702469799998</v>
      </c>
    </row>
    <row r="66" spans="3:30" x14ac:dyDescent="0.25">
      <c r="C66" s="147" t="s">
        <v>21</v>
      </c>
      <c r="D66" t="s">
        <v>402</v>
      </c>
      <c r="E66" t="s">
        <v>403</v>
      </c>
      <c r="F66" t="s">
        <v>404</v>
      </c>
      <c r="G66" t="s">
        <v>405</v>
      </c>
      <c r="H66" s="8">
        <f>VLOOKUP(D66,Résultats!$B$2:$AX$476,'T energie vecteurs'!N5,FALSE)</f>
        <v>0.21677865700000001</v>
      </c>
      <c r="I66" s="8">
        <f>VLOOKUP(E66,Résultats!$B$2:$AX$476,'T energie vecteurs'!N5,FALSE)</f>
        <v>5.3433172630000003</v>
      </c>
      <c r="J66" s="8">
        <f>VLOOKUP(F66,Résultats!$B$2:$AX$476,'T energie vecteurs'!N5,FALSE)</f>
        <v>14.899076880000001</v>
      </c>
      <c r="K66" s="8">
        <f>VLOOKUP(G66,Résultats!$B$2:$AX$476,'T energie vecteurs'!N5,FALSE)+8</f>
        <v>20.971692490000002</v>
      </c>
      <c r="L66" s="96">
        <f t="shared" si="16"/>
        <v>41.43086529</v>
      </c>
      <c r="M66" s="75"/>
      <c r="N66" s="150" t="s">
        <v>21</v>
      </c>
      <c r="O66" s="29">
        <f>'[2]Bilan 2025 AMS'!$V$46/11.63</f>
        <v>0</v>
      </c>
      <c r="P66" s="28">
        <f>SUM('[2]Bilan 2025 AMS'!$V$41:$V$43)/11.63</f>
        <v>2.0957746160980957</v>
      </c>
      <c r="Q66" s="28">
        <f>'[2]Bilan 2025 AMS'!$V$13/11.63</f>
        <v>14.447084659417472</v>
      </c>
      <c r="R66" s="28">
        <f>('[2]Bilan 2025 AMS'!$V$22+'[2]Bilan 2025 AMS'!$V$30+SUM('[2]Bilan 2025 AMS'!$V$36:$V$40)+SUM('[2]Bilan 2025 AMS'!$V$44:$V$45)+'[2]Bilan 2025 AMS'!$V$47)/11.63</f>
        <v>22.421251859079046</v>
      </c>
      <c r="S66" s="142">
        <f t="shared" ref="S66:S72" si="17">SUM(O66:R66)</f>
        <v>38.964111134594617</v>
      </c>
      <c r="T66" s="75"/>
      <c r="U66" s="147" t="s">
        <v>21</v>
      </c>
      <c r="V66" t="s">
        <v>402</v>
      </c>
      <c r="W66" t="s">
        <v>403</v>
      </c>
      <c r="X66" t="s">
        <v>404</v>
      </c>
      <c r="Y66" t="s">
        <v>405</v>
      </c>
      <c r="Z66" s="8">
        <v>0.20873644059999999</v>
      </c>
      <c r="AA66" s="8">
        <v>4.9931918409999998</v>
      </c>
      <c r="AB66" s="8">
        <v>15.04858381</v>
      </c>
      <c r="AC66" s="8">
        <v>19.840822209999999</v>
      </c>
      <c r="AD66" s="96">
        <v>40.0913343016</v>
      </c>
    </row>
    <row r="67" spans="3:30" x14ac:dyDescent="0.25">
      <c r="C67" s="147" t="s">
        <v>22</v>
      </c>
      <c r="D67" t="s">
        <v>406</v>
      </c>
      <c r="E67" t="s">
        <v>407</v>
      </c>
      <c r="F67" t="s">
        <v>408</v>
      </c>
      <c r="G67" t="s">
        <v>409</v>
      </c>
      <c r="H67" s="8">
        <f>VLOOKUP(D67,Résultats!$B$2:$AX$476,'T energie vecteurs'!N5,FALSE)</f>
        <v>0</v>
      </c>
      <c r="I67" s="8">
        <f>VLOOKUP(E67,Résultats!$B$2:$AX$476,'T energie vecteurs'!N5,FALSE)</f>
        <v>2.3126016639999998</v>
      </c>
      <c r="J67" s="8">
        <f>VLOOKUP(F67,Résultats!$B$2:$AX$476,'T energie vecteurs'!N5,FALSE)</f>
        <v>13.06766077</v>
      </c>
      <c r="K67" s="8">
        <f>VLOOKUP(G67,Résultats!$B$2:$AX$476,'T energie vecteurs'!N5,FALSE)</f>
        <v>10.61657692</v>
      </c>
      <c r="L67" s="96">
        <f t="shared" si="16"/>
        <v>25.996839353999999</v>
      </c>
      <c r="M67" s="75"/>
      <c r="N67" s="150" t="s">
        <v>22</v>
      </c>
      <c r="O67" s="29">
        <f>('[2]Bilan 2025 AMS'!$W$46)/11.63</f>
        <v>0</v>
      </c>
      <c r="P67" s="28">
        <f>SUM('[2]Bilan 2025 AMS'!$W$41:$W$43)/11.63</f>
        <v>1.6298429171920958</v>
      </c>
      <c r="Q67" s="28">
        <f>('[2]Bilan 2025 AMS'!$W$13)/11.63</f>
        <v>10.999874044471945</v>
      </c>
      <c r="R67" s="28">
        <f>('[2]Bilan 2025 AMS'!$W$22+'[2]Bilan 2025 AMS'!$W$30+SUM('[2]Bilan 2025 AMS'!$W$36:$W$40)+SUM('[2]Bilan 2025 AMS'!$W$44:$W$45)+'[2]Bilan 2025 AMS'!$W$47)/11.63</f>
        <v>8.5854945190187202</v>
      </c>
      <c r="S67" s="142">
        <f t="shared" si="17"/>
        <v>21.215211480682761</v>
      </c>
      <c r="T67" s="75"/>
      <c r="U67" s="147" t="s">
        <v>22</v>
      </c>
      <c r="V67" t="s">
        <v>406</v>
      </c>
      <c r="W67" t="s">
        <v>407</v>
      </c>
      <c r="X67" t="s">
        <v>408</v>
      </c>
      <c r="Y67" t="s">
        <v>409</v>
      </c>
      <c r="Z67" s="8">
        <v>0</v>
      </c>
      <c r="AA67" s="8">
        <v>2.0967932130000002</v>
      </c>
      <c r="AB67" s="8">
        <v>11.941096910000001</v>
      </c>
      <c r="AC67" s="8">
        <v>8.7229552199999905</v>
      </c>
      <c r="AD67" s="96">
        <v>22.760845342999993</v>
      </c>
    </row>
    <row r="68" spans="3:30" x14ac:dyDescent="0.25">
      <c r="C68" s="147" t="s">
        <v>23</v>
      </c>
      <c r="H68" s="8">
        <f>SUM(H69:H71)</f>
        <v>2.2721338934999999</v>
      </c>
      <c r="I68" s="8">
        <f>SUM(I69:I71)</f>
        <v>11.185462607</v>
      </c>
      <c r="J68" s="8">
        <f>SUM(J69:J71)</f>
        <v>13.2377338996</v>
      </c>
      <c r="K68" s="8">
        <f>SUM(K69:K71)</f>
        <v>10.899777304299999</v>
      </c>
      <c r="L68" s="96">
        <f t="shared" si="16"/>
        <v>37.595107704399993</v>
      </c>
      <c r="M68" s="75"/>
      <c r="N68" s="150" t="s">
        <v>490</v>
      </c>
      <c r="O68" s="29">
        <f>O69+O70</f>
        <v>3.798785579103078</v>
      </c>
      <c r="P68" s="28">
        <f t="shared" ref="P68:R68" si="18">P69+P70</f>
        <v>13.636597959064392</v>
      </c>
      <c r="Q68" s="28">
        <f t="shared" si="18"/>
        <v>11.012104104131426</v>
      </c>
      <c r="R68" s="28">
        <f t="shared" si="18"/>
        <v>14.545887550015864</v>
      </c>
      <c r="S68" s="142">
        <f t="shared" si="17"/>
        <v>42.993375192314758</v>
      </c>
      <c r="T68" s="75"/>
      <c r="U68" s="147" t="s">
        <v>23</v>
      </c>
      <c r="Z68" s="8">
        <v>3.0771929596999996</v>
      </c>
      <c r="AA68" s="8">
        <v>15.390287791999999</v>
      </c>
      <c r="AB68" s="8">
        <v>11.854617339200001</v>
      </c>
      <c r="AC68" s="8">
        <v>12.3552152665</v>
      </c>
      <c r="AD68" s="96">
        <v>42.677313357399996</v>
      </c>
    </row>
    <row r="69" spans="3:30" x14ac:dyDescent="0.25">
      <c r="C69" s="149" t="s">
        <v>24</v>
      </c>
      <c r="D69" t="s">
        <v>410</v>
      </c>
      <c r="E69" t="s">
        <v>411</v>
      </c>
      <c r="F69" t="s">
        <v>412</v>
      </c>
      <c r="G69" t="s">
        <v>413</v>
      </c>
      <c r="H69" s="16">
        <f>VLOOKUP(D69,Résultats!$B$2:$AX$476,'T energie vecteurs'!N5,FALSE)</f>
        <v>1.385038325</v>
      </c>
      <c r="I69" s="16">
        <f>VLOOKUP(E69,Résultats!$B$2:$AX$476,'T energie vecteurs'!N5,FALSE)</f>
        <v>6.7327033910000003</v>
      </c>
      <c r="J69" s="16">
        <f>VLOOKUP(F69,Résultats!$B$2:$AX$476,'T energie vecteurs'!N5,FALSE)</f>
        <v>12.90649595</v>
      </c>
      <c r="K69" s="16">
        <f>VLOOKUP(G69,Résultats!$B$2:$AX$476,'T energie vecteurs'!N5,FALSE)</f>
        <v>8.5775131039999994</v>
      </c>
      <c r="L69" s="95">
        <f t="shared" si="16"/>
        <v>29.601750770000002</v>
      </c>
      <c r="M69" s="16"/>
      <c r="N69" s="149" t="s">
        <v>491</v>
      </c>
      <c r="O69" s="143">
        <f>'[2]Bilan 2025 AMS'!$U$46/11.63</f>
        <v>0.54239014434383459</v>
      </c>
      <c r="P69" s="30">
        <f>SUM('[2]Bilan 2025 AMS'!$U$41:$U$43)/11.63</f>
        <v>1.9361642364667253</v>
      </c>
      <c r="Q69" s="30">
        <f>'[2]Bilan 2025 AMS'!$U$13/11.63</f>
        <v>11.012104104131426</v>
      </c>
      <c r="R69" s="30">
        <f>('[2]Bilan 2025 AMS'!$U$22+'[2]Bilan 2025 AMS'!$U$30+SUM('[2]Bilan 2025 AMS'!$U$36:$U$40)+SUM('[2]Bilan 2025 AMS'!$U$44:$U$45)+'[2]Bilan 2025 AMS'!$U$47)/11.63</f>
        <v>13.281896568299775</v>
      </c>
      <c r="S69" s="95">
        <f t="shared" si="17"/>
        <v>26.77255505324176</v>
      </c>
      <c r="T69" s="16"/>
      <c r="U69" s="149" t="s">
        <v>24</v>
      </c>
      <c r="V69" t="s">
        <v>410</v>
      </c>
      <c r="W69" t="s">
        <v>411</v>
      </c>
      <c r="X69" t="s">
        <v>412</v>
      </c>
      <c r="Y69" t="s">
        <v>413</v>
      </c>
      <c r="Z69" s="16">
        <v>2.1690319109999998</v>
      </c>
      <c r="AA69" s="16">
        <v>10.809206489999999</v>
      </c>
      <c r="AB69" s="16">
        <v>11.52183711</v>
      </c>
      <c r="AC69" s="16">
        <v>9.8616998890000005</v>
      </c>
      <c r="AD69" s="95">
        <v>34.361775399999999</v>
      </c>
    </row>
    <row r="70" spans="3:30" x14ac:dyDescent="0.25">
      <c r="C70" s="149" t="s">
        <v>47</v>
      </c>
      <c r="D70" t="s">
        <v>414</v>
      </c>
      <c r="E70" t="s">
        <v>415</v>
      </c>
      <c r="F70" t="s">
        <v>416</v>
      </c>
      <c r="G70" t="s">
        <v>417</v>
      </c>
      <c r="H70" s="16">
        <f>VLOOKUP(D70,Résultats!$B$2:$AX$476,'T energie vecteurs'!N5,FALSE)</f>
        <v>0.88709556850000004</v>
      </c>
      <c r="I70" s="16">
        <f>VLOOKUP(E70,Résultats!$B$2:$AX$476,'T energie vecteurs'!N5,FALSE)</f>
        <v>1.990341871</v>
      </c>
      <c r="J70" s="16">
        <f>VLOOKUP(F70,Résultats!$B$2:$AX$476,'T energie vecteurs'!N5,FALSE)</f>
        <v>0</v>
      </c>
      <c r="K70" s="16">
        <f>VLOOKUP(G70,Résultats!$B$2:$AX$476,'T energie vecteurs'!N5,FALSE)</f>
        <v>1.966910868</v>
      </c>
      <c r="L70" s="95">
        <f t="shared" si="16"/>
        <v>4.8443483074999998</v>
      </c>
      <c r="M70" s="16"/>
      <c r="N70" s="149" t="s">
        <v>47</v>
      </c>
      <c r="O70" s="22">
        <f>'[2]Bilan 2025 AMS'!$E$52/11.63</f>
        <v>3.2563954347592436</v>
      </c>
      <c r="P70" s="16">
        <f>('[2]Bilan 2025 AMS'!$E$54+'[2]Bilan 2025 AMS'!$E$56)/11.63</f>
        <v>11.700433722597667</v>
      </c>
      <c r="Q70" s="16">
        <v>0</v>
      </c>
      <c r="R70" s="16">
        <f>('[2]Bilan 2025 AMS'!$E$53+'[2]Bilan 2025 AMS'!$E$55+'[2]Bilan 2025 AMS'!$E$57)/11.63</f>
        <v>1.2639909817160895</v>
      </c>
      <c r="S70" s="95">
        <f t="shared" si="17"/>
        <v>16.220820139072998</v>
      </c>
      <c r="T70" s="16"/>
      <c r="U70" s="149" t="s">
        <v>47</v>
      </c>
      <c r="V70" t="s">
        <v>414</v>
      </c>
      <c r="W70" t="s">
        <v>415</v>
      </c>
      <c r="X70" t="s">
        <v>416</v>
      </c>
      <c r="Y70" t="s">
        <v>417</v>
      </c>
      <c r="Z70" s="16">
        <v>0.90816104870000003</v>
      </c>
      <c r="AA70" s="16">
        <v>2.2001534739999999</v>
      </c>
      <c r="AB70" s="16">
        <v>0</v>
      </c>
      <c r="AC70" s="16">
        <v>2.173820675</v>
      </c>
      <c r="AD70" s="95">
        <v>5.2821351976999997</v>
      </c>
    </row>
    <row r="71" spans="3:30" x14ac:dyDescent="0.25">
      <c r="C71" s="149" t="s">
        <v>25</v>
      </c>
      <c r="D71" t="s">
        <v>418</v>
      </c>
      <c r="E71" t="s">
        <v>419</v>
      </c>
      <c r="F71" t="s">
        <v>420</v>
      </c>
      <c r="G71" t="s">
        <v>421</v>
      </c>
      <c r="H71" s="16">
        <f>VLOOKUP(D71,Résultats!$B$2:$AX$476,'T energie vecteurs'!N5,FALSE)</f>
        <v>0</v>
      </c>
      <c r="I71" s="16">
        <f>VLOOKUP(E71,Résultats!$B$2:$AX$476,'T energie vecteurs'!N5,FALSE)</f>
        <v>2.462417345</v>
      </c>
      <c r="J71" s="16">
        <f>VLOOKUP(F71,Résultats!$B$2:$AX$476,'T energie vecteurs'!N5,FALSE)</f>
        <v>0.33123794960000003</v>
      </c>
      <c r="K71" s="16">
        <f>VLOOKUP(G71,Résultats!$B$2:$AX$476,'T energie vecteurs'!N5,FALSE)</f>
        <v>0.35535333229999999</v>
      </c>
      <c r="L71" s="95">
        <f t="shared" si="16"/>
        <v>3.1490086269000002</v>
      </c>
      <c r="M71" s="16"/>
      <c r="N71" s="150" t="s">
        <v>25</v>
      </c>
      <c r="O71" s="29">
        <f>'[2]Bilan 2025 AMS'!$T$46/11.63</f>
        <v>0</v>
      </c>
      <c r="P71" s="28">
        <f>SUM('[2]Bilan 2025 AMS'!$T$41:$T$43)/11.63</f>
        <v>3.2326282830038102</v>
      </c>
      <c r="Q71" s="28">
        <f>'[2]Bilan 2025 AMS'!$T$13/11.63</f>
        <v>0.62874107832713355</v>
      </c>
      <c r="R71" s="28">
        <f>('[2]Bilan 2025 AMS'!$T$22+'[2]Bilan 2025 AMS'!$T$30+SUM('[2]Bilan 2025 AMS'!$T$36:$T$40)+SUM('[2]Bilan 2025 AMS'!$T$44:$T$45)+'[2]Bilan 2025 AMS'!$T$47)/11.63</f>
        <v>0.4197869333337978</v>
      </c>
      <c r="S71" s="142">
        <f t="shared" si="17"/>
        <v>4.2811562946647417</v>
      </c>
      <c r="T71" s="16"/>
      <c r="U71" s="149" t="s">
        <v>25</v>
      </c>
      <c r="V71" t="s">
        <v>418</v>
      </c>
      <c r="W71" t="s">
        <v>419</v>
      </c>
      <c r="X71" t="s">
        <v>420</v>
      </c>
      <c r="Y71" t="s">
        <v>421</v>
      </c>
      <c r="Z71" s="16">
        <v>0</v>
      </c>
      <c r="AA71" s="16">
        <v>2.3809278279999999</v>
      </c>
      <c r="AB71" s="16">
        <v>0.3327802292</v>
      </c>
      <c r="AC71" s="16">
        <v>0.31969470249999998</v>
      </c>
      <c r="AD71" s="95">
        <v>3.0334027597</v>
      </c>
    </row>
    <row r="72" spans="3:30" x14ac:dyDescent="0.25">
      <c r="C72" s="23" t="s">
        <v>26</v>
      </c>
      <c r="D72" s="10"/>
      <c r="E72" s="10"/>
      <c r="F72" s="10"/>
      <c r="G72" s="10"/>
      <c r="H72" s="9">
        <f>SUM(H63,H66:H68)</f>
        <v>2.4889125504999998</v>
      </c>
      <c r="I72" s="9">
        <f>SUM(I63,I66:I68)</f>
        <v>59.602469223999996</v>
      </c>
      <c r="J72" s="9">
        <f>SUM(J63,J66:J68)</f>
        <v>43.084814786300001</v>
      </c>
      <c r="K72" s="9">
        <f>SUM(K63,K66:K68)</f>
        <v>42.917420699879301</v>
      </c>
      <c r="L72" s="98">
        <f t="shared" si="16"/>
        <v>148.09361726067931</v>
      </c>
      <c r="M72" s="79"/>
      <c r="N72" s="151" t="s">
        <v>26</v>
      </c>
      <c r="O72" s="32">
        <f>O63+O66+O67+O68+O71</f>
        <v>3.798785579103078</v>
      </c>
      <c r="P72" s="31">
        <f>P63+P66+P67+P68+P71</f>
        <v>59.096379906251379</v>
      </c>
      <c r="Q72" s="31">
        <f>Q63+Q66+Q67+Q68+Q71</f>
        <v>38.4897235570022</v>
      </c>
      <c r="R72" s="31">
        <f>R63+R66+R67+R68+R71</f>
        <v>46.34147894184872</v>
      </c>
      <c r="S72" s="144">
        <f t="shared" si="17"/>
        <v>147.72636798420538</v>
      </c>
      <c r="T72" s="79"/>
      <c r="U72" s="23" t="s">
        <v>26</v>
      </c>
      <c r="V72" s="10"/>
      <c r="W72" s="10"/>
      <c r="X72" s="10"/>
      <c r="Y72" s="10"/>
      <c r="Z72" s="9">
        <v>3.2859294002999997</v>
      </c>
      <c r="AA72" s="9">
        <v>65.234929615999988</v>
      </c>
      <c r="AB72" s="9">
        <v>41.254401035900003</v>
      </c>
      <c r="AC72" s="9">
        <v>41.441176343084194</v>
      </c>
      <c r="AD72" s="98">
        <v>151.21643639528418</v>
      </c>
    </row>
    <row r="73" spans="3:30" s="3" customFormat="1" x14ac:dyDescent="0.25">
      <c r="H73" s="45"/>
      <c r="I73" s="45"/>
      <c r="J73" s="45"/>
      <c r="K73" s="45"/>
      <c r="L73" s="45"/>
      <c r="M73" s="45"/>
      <c r="N73" s="45"/>
      <c r="O73" s="77"/>
      <c r="P73" s="77"/>
      <c r="Q73" s="77"/>
      <c r="R73" s="78"/>
      <c r="S73" s="45"/>
      <c r="T73" s="45"/>
      <c r="Z73" s="45"/>
      <c r="AA73" s="45"/>
      <c r="AB73" s="45"/>
      <c r="AC73" s="45"/>
      <c r="AD73" s="45"/>
    </row>
    <row r="74" spans="3:30" s="3" customFormat="1" x14ac:dyDescent="0.25"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Z74" s="45"/>
      <c r="AA74" s="45"/>
      <c r="AB74" s="45"/>
      <c r="AC74" s="45"/>
      <c r="AD74" s="45"/>
    </row>
    <row r="75" spans="3:30" ht="31.5" x14ac:dyDescent="0.35">
      <c r="C75" s="145">
        <v>2030</v>
      </c>
      <c r="D75" s="146"/>
      <c r="E75" s="146"/>
      <c r="F75" s="146"/>
      <c r="G75" s="146"/>
      <c r="H75" s="76" t="s">
        <v>36</v>
      </c>
      <c r="I75" s="76" t="s">
        <v>49</v>
      </c>
      <c r="J75" s="76" t="s">
        <v>38</v>
      </c>
      <c r="K75" s="76" t="s">
        <v>48</v>
      </c>
      <c r="L75" s="93" t="s">
        <v>1</v>
      </c>
      <c r="M75" s="19"/>
      <c r="N75" s="145">
        <v>2030</v>
      </c>
      <c r="O75" s="141" t="s">
        <v>36</v>
      </c>
      <c r="P75" s="76" t="s">
        <v>49</v>
      </c>
      <c r="Q75" s="76" t="s">
        <v>38</v>
      </c>
      <c r="R75" s="76" t="s">
        <v>48</v>
      </c>
      <c r="S75" s="93" t="s">
        <v>1</v>
      </c>
      <c r="T75" s="19"/>
      <c r="U75" s="145">
        <v>2030</v>
      </c>
      <c r="V75" s="146"/>
      <c r="W75" s="146"/>
      <c r="X75" s="146"/>
      <c r="Y75" s="146"/>
      <c r="Z75" s="76" t="s">
        <v>36</v>
      </c>
      <c r="AA75" s="76" t="s">
        <v>49</v>
      </c>
      <c r="AB75" s="76" t="s">
        <v>38</v>
      </c>
      <c r="AC75" s="76" t="s">
        <v>48</v>
      </c>
      <c r="AD75" s="93" t="s">
        <v>1</v>
      </c>
    </row>
    <row r="76" spans="3:30" x14ac:dyDescent="0.25">
      <c r="C76" s="147" t="s">
        <v>18</v>
      </c>
      <c r="H76" s="8">
        <f>SUM(H77:H78)</f>
        <v>0</v>
      </c>
      <c r="I76" s="8">
        <f>SUM(I77:I78)</f>
        <v>36.25864799</v>
      </c>
      <c r="J76" s="8">
        <f>SUM(J77:J78)</f>
        <v>3.1451066926999998</v>
      </c>
      <c r="K76" s="8">
        <f>SUM(K77:K78)</f>
        <v>0.65718941427659994</v>
      </c>
      <c r="L76" s="96">
        <f>SUM(H76:K76)</f>
        <v>40.060944096976598</v>
      </c>
      <c r="M76" s="75"/>
      <c r="N76" s="150" t="s">
        <v>18</v>
      </c>
      <c r="O76" s="29">
        <f>'[2]Bilan 2030 AMS'!$X$46/11.63</f>
        <v>0</v>
      </c>
      <c r="P76" s="28">
        <f>SUM('[2]Bilan 2030 AMS'!$X$41:$X$43)/11.63</f>
        <v>30.491818068685557</v>
      </c>
      <c r="Q76" s="28">
        <f>'[2]Bilan 2030 AMS'!$X$13/11.63</f>
        <v>2.8914417551290033</v>
      </c>
      <c r="R76" s="28">
        <f>('[2]Bilan 2030 AMS'!$X$22+'[2]Bilan 2030 AMS'!$X$30+SUM('[2]Bilan 2030 AMS'!$X$36:$X$40)+SUM('[2]Bilan 2030 AMS'!$X$44:$X$45)+'[2]Bilan 2030 AMS'!$X$47)/11.63</f>
        <v>0.65268777688992008</v>
      </c>
      <c r="S76" s="142">
        <f>SUM(O76:R76)</f>
        <v>34.035947600704482</v>
      </c>
      <c r="T76" s="270"/>
      <c r="U76" s="147" t="s">
        <v>18</v>
      </c>
      <c r="Z76" s="8">
        <v>0</v>
      </c>
      <c r="AA76" s="8">
        <v>39.263724879999998</v>
      </c>
      <c r="AB76" s="8">
        <v>3.9415172572000001</v>
      </c>
      <c r="AC76" s="8">
        <v>0.79414933690739997</v>
      </c>
      <c r="AD76" s="96">
        <v>43.999391474107398</v>
      </c>
    </row>
    <row r="77" spans="3:30" x14ac:dyDescent="0.25">
      <c r="C77" s="148" t="s">
        <v>19</v>
      </c>
      <c r="D77" t="s">
        <v>394</v>
      </c>
      <c r="E77" t="s">
        <v>395</v>
      </c>
      <c r="F77" t="s">
        <v>396</v>
      </c>
      <c r="G77" t="s">
        <v>397</v>
      </c>
      <c r="H77" s="16">
        <f>VLOOKUP(D77,Résultats!$B$2:$AX$476,'T energie vecteurs'!S5,FALSE)</f>
        <v>0</v>
      </c>
      <c r="I77" s="16">
        <f>VLOOKUP(E77,Résultats!$B$2:$AX$476,'T energie vecteurs'!S5,FALSE)</f>
        <v>18.205099799999999</v>
      </c>
      <c r="J77" s="16">
        <f>VLOOKUP(F77,Résultats!$B$2:$AX$476,'T energie vecteurs'!S5,FALSE)</f>
        <v>0.83953441569999998</v>
      </c>
      <c r="K77" s="16">
        <f>VLOOKUP(G77,Résultats!$B$2:$AX$476,'T energie vecteurs'!S5,FALSE)</f>
        <v>3.1240376599999997E-5</v>
      </c>
      <c r="L77" s="95">
        <f t="shared" ref="L77:L84" si="19">SUM(H77:K77)</f>
        <v>19.044665456076601</v>
      </c>
      <c r="M77" s="16"/>
      <c r="N77" s="148" t="s">
        <v>19</v>
      </c>
      <c r="O77" s="143"/>
      <c r="P77" s="16"/>
      <c r="Q77" s="34"/>
      <c r="R77" s="16"/>
      <c r="S77" s="95"/>
      <c r="T77" s="270"/>
      <c r="U77" s="148" t="s">
        <v>19</v>
      </c>
      <c r="V77" t="s">
        <v>394</v>
      </c>
      <c r="W77" t="s">
        <v>395</v>
      </c>
      <c r="X77" t="s">
        <v>396</v>
      </c>
      <c r="Y77" t="s">
        <v>397</v>
      </c>
      <c r="Z77" s="16">
        <v>0</v>
      </c>
      <c r="AA77" s="16">
        <v>18.63373116</v>
      </c>
      <c r="AB77" s="16">
        <v>0.84394343220000001</v>
      </c>
      <c r="AC77" s="16">
        <v>2.1739307399999999E-5</v>
      </c>
      <c r="AD77" s="95">
        <v>19.477696331507399</v>
      </c>
    </row>
    <row r="78" spans="3:30" x14ac:dyDescent="0.25">
      <c r="C78" s="149" t="s">
        <v>20</v>
      </c>
      <c r="D78" t="s">
        <v>398</v>
      </c>
      <c r="E78" t="s">
        <v>399</v>
      </c>
      <c r="F78" t="s">
        <v>400</v>
      </c>
      <c r="G78" t="s">
        <v>401</v>
      </c>
      <c r="H78" s="16">
        <f>VLOOKUP(D78,Résultats!$B$2:$AX$476,'T energie vecteurs'!S5,FALSE)</f>
        <v>0</v>
      </c>
      <c r="I78" s="16">
        <f>VLOOKUP(E78,Résultats!$B$2:$AX$476,'T energie vecteurs'!S5,FALSE)</f>
        <v>18.053548190000001</v>
      </c>
      <c r="J78" s="16">
        <f>VLOOKUP(F78,Résultats!$B$2:$AX$476,'T energie vecteurs'!S5,FALSE)</f>
        <v>2.305572277</v>
      </c>
      <c r="K78" s="16">
        <f>VLOOKUP(G78,Résultats!$B$2:$AX$476,'T energie vecteurs'!S5,FALSE)</f>
        <v>0.65715817389999998</v>
      </c>
      <c r="L78" s="95">
        <f t="shared" si="19"/>
        <v>21.016278640900001</v>
      </c>
      <c r="M78" s="16"/>
      <c r="N78" s="149" t="s">
        <v>20</v>
      </c>
      <c r="O78" s="143"/>
      <c r="P78" s="16"/>
      <c r="Q78" s="34"/>
      <c r="R78" s="16"/>
      <c r="S78" s="95"/>
      <c r="T78" s="270"/>
      <c r="U78" s="149" t="s">
        <v>20</v>
      </c>
      <c r="V78" t="s">
        <v>398</v>
      </c>
      <c r="W78" t="s">
        <v>399</v>
      </c>
      <c r="X78" t="s">
        <v>400</v>
      </c>
      <c r="Y78" t="s">
        <v>401</v>
      </c>
      <c r="Z78" s="16">
        <v>0</v>
      </c>
      <c r="AA78" s="16">
        <v>20.629993720000002</v>
      </c>
      <c r="AB78" s="16">
        <v>3.097573825</v>
      </c>
      <c r="AC78" s="16">
        <v>0.79412759759999996</v>
      </c>
      <c r="AD78" s="95">
        <v>24.521695142600002</v>
      </c>
    </row>
    <row r="79" spans="3:30" x14ac:dyDescent="0.25">
      <c r="C79" s="147" t="s">
        <v>21</v>
      </c>
      <c r="D79" t="s">
        <v>402</v>
      </c>
      <c r="E79" t="s">
        <v>403</v>
      </c>
      <c r="F79" t="s">
        <v>404</v>
      </c>
      <c r="G79" t="s">
        <v>405</v>
      </c>
      <c r="H79" s="8">
        <f>VLOOKUP(D79,Résultats!$B$2:$AX$476,'T energie vecteurs'!S5,FALSE)</f>
        <v>0.17205763239999999</v>
      </c>
      <c r="I79" s="294">
        <f>VLOOKUP(E79,Résultats!$B$2:$AX$476,'T energie vecteurs'!S5,FALSE)</f>
        <v>4.5360462330000004</v>
      </c>
      <c r="J79" s="8">
        <f>VLOOKUP(F79,Résultats!$B$2:$AX$476,'T energie vecteurs'!S5,FALSE)</f>
        <v>14.57984164</v>
      </c>
      <c r="K79" s="8">
        <f>VLOOKUP(G79,Résultats!$B$2:$AX$476,'T energie vecteurs'!S5,FALSE)+8</f>
        <v>18.990521409999999</v>
      </c>
      <c r="L79" s="96">
        <f>SUM(H79:K79)</f>
        <v>38.278466915400003</v>
      </c>
      <c r="M79" s="75"/>
      <c r="N79" s="150" t="s">
        <v>21</v>
      </c>
      <c r="O79" s="29">
        <f>'[2]Bilan 2030 AMS'!$V$46/11.63</f>
        <v>0</v>
      </c>
      <c r="P79" s="28">
        <f>SUM('[2]Bilan 2030 AMS'!$V$41:$V$43)/11.63</f>
        <v>0.62652374102192576</v>
      </c>
      <c r="Q79" s="28">
        <f>'[2]Bilan 2030 AMS'!$V$13/11.63</f>
        <v>14.530979395924851</v>
      </c>
      <c r="R79" s="28">
        <f>('[2]Bilan 2030 AMS'!$V$22+'[2]Bilan 2030 AMS'!$V$30+SUM('[2]Bilan 2030 AMS'!$V$36:$V$40)+SUM('[2]Bilan 2030 AMS'!$V$44:$V$45)+'[2]Bilan 2030 AMS'!$V$47)/11.63</f>
        <v>20.153654675853421</v>
      </c>
      <c r="S79" s="142">
        <f t="shared" ref="S79:S85" si="20">SUM(O79:R79)</f>
        <v>35.311157812800197</v>
      </c>
      <c r="T79" s="270"/>
      <c r="U79" s="147" t="s">
        <v>21</v>
      </c>
      <c r="V79" t="s">
        <v>402</v>
      </c>
      <c r="W79" t="s">
        <v>403</v>
      </c>
      <c r="X79" t="s">
        <v>404</v>
      </c>
      <c r="Y79" t="s">
        <v>405</v>
      </c>
      <c r="Z79" s="8">
        <v>0.15396611839999999</v>
      </c>
      <c r="AA79" s="294">
        <v>3.8763057930000002</v>
      </c>
      <c r="AB79" s="8">
        <v>14.29558965</v>
      </c>
      <c r="AC79" s="8">
        <v>17.424506458</v>
      </c>
      <c r="AD79" s="96">
        <v>35.7503680194</v>
      </c>
    </row>
    <row r="80" spans="3:30" x14ac:dyDescent="0.25">
      <c r="C80" s="147" t="s">
        <v>22</v>
      </c>
      <c r="D80" t="s">
        <v>406</v>
      </c>
      <c r="E80" t="s">
        <v>407</v>
      </c>
      <c r="F80" t="s">
        <v>408</v>
      </c>
      <c r="G80" t="s">
        <v>409</v>
      </c>
      <c r="H80" s="8">
        <f>VLOOKUP(D80,Résultats!$B$2:$AX$476,'T energie vecteurs'!S5,FALSE)</f>
        <v>0</v>
      </c>
      <c r="I80" s="8">
        <f>VLOOKUP(E80,Résultats!$B$2:$AX$476,'T energie vecteurs'!S5,FALSE)</f>
        <v>1.5140238349999999</v>
      </c>
      <c r="J80" s="8">
        <f>VLOOKUP(F80,Résultats!$B$2:$AX$476,'T energie vecteurs'!S5,FALSE)</f>
        <v>10.26466572</v>
      </c>
      <c r="K80" s="8">
        <f>VLOOKUP(G80,Résultats!$B$2:$AX$476,'T energie vecteurs'!S5,FALSE)</f>
        <v>12.22008173</v>
      </c>
      <c r="L80" s="96">
        <f t="shared" si="19"/>
        <v>23.998771285</v>
      </c>
      <c r="M80" s="75"/>
      <c r="N80" s="150" t="s">
        <v>22</v>
      </c>
      <c r="O80" s="29">
        <f>('[2]Bilan 2030 AMS'!$W$46)/11.63</f>
        <v>0</v>
      </c>
      <c r="P80" s="28">
        <f>SUM('[2]Bilan 2030 AMS'!$W$41:$W$43)/11.63</f>
        <v>0.33746613619592225</v>
      </c>
      <c r="Q80" s="28">
        <f>('[2]Bilan 2030 AMS'!$W$13)/11.63</f>
        <v>10.35411932416091</v>
      </c>
      <c r="R80" s="28">
        <f>('[2]Bilan 2030 AMS'!$W$22+'[2]Bilan 2030 AMS'!$W$30+SUM('[2]Bilan 2030 AMS'!$W$36:$W$40)+SUM('[2]Bilan 2030 AMS'!$W$44:$W$45)+'[2]Bilan 2030 AMS'!$W$47)/11.63</f>
        <v>8.8144475097741068</v>
      </c>
      <c r="S80" s="142">
        <f t="shared" si="20"/>
        <v>19.506032970130939</v>
      </c>
      <c r="T80" s="270"/>
      <c r="U80" s="147" t="s">
        <v>22</v>
      </c>
      <c r="V80" t="s">
        <v>406</v>
      </c>
      <c r="W80" t="s">
        <v>407</v>
      </c>
      <c r="X80" t="s">
        <v>408</v>
      </c>
      <c r="Y80" t="s">
        <v>409</v>
      </c>
      <c r="Z80" s="8">
        <v>0</v>
      </c>
      <c r="AA80" s="8">
        <v>1.3251583739999999</v>
      </c>
      <c r="AB80" s="8">
        <v>9.4812755769999999</v>
      </c>
      <c r="AC80" s="8">
        <v>10.553586810000001</v>
      </c>
      <c r="AD80" s="96">
        <v>21.360020761000001</v>
      </c>
    </row>
    <row r="81" spans="2:30" x14ac:dyDescent="0.25">
      <c r="C81" s="147" t="s">
        <v>23</v>
      </c>
      <c r="H81" s="8">
        <f>SUM(H82:H84)</f>
        <v>1.8675914714999999</v>
      </c>
      <c r="I81" s="8">
        <f>SUM(I82:I84)</f>
        <v>9.5177782409999985</v>
      </c>
      <c r="J81" s="8">
        <f>SUM(J82:J84)</f>
        <v>17.762542207000003</v>
      </c>
      <c r="K81" s="8">
        <f>SUM(K82:K84)</f>
        <v>7.5327507779999996</v>
      </c>
      <c r="L81" s="96">
        <f t="shared" si="19"/>
        <v>36.680662697499997</v>
      </c>
      <c r="M81" s="75"/>
      <c r="N81" s="150" t="s">
        <v>490</v>
      </c>
      <c r="O81" s="29">
        <f>O82+O83</f>
        <v>2.0127593650238067</v>
      </c>
      <c r="P81" s="28">
        <f t="shared" ref="P81:R81" si="21">P82+P83</f>
        <v>12.377492485503554</v>
      </c>
      <c r="Q81" s="28">
        <f t="shared" si="21"/>
        <v>12.982018088212522</v>
      </c>
      <c r="R81" s="28">
        <f t="shared" si="21"/>
        <v>14.480696516029912</v>
      </c>
      <c r="S81" s="142">
        <f t="shared" si="20"/>
        <v>41.852966454769799</v>
      </c>
      <c r="T81" s="270"/>
      <c r="U81" s="147" t="s">
        <v>23</v>
      </c>
      <c r="Z81" s="8">
        <v>2.9648768399000001</v>
      </c>
      <c r="AA81" s="8">
        <v>14.07335995799999</v>
      </c>
      <c r="AB81" s="8">
        <v>16.297069330799999</v>
      </c>
      <c r="AC81" s="8">
        <v>9.0441896136000004</v>
      </c>
      <c r="AD81" s="96">
        <v>42.379495742299994</v>
      </c>
    </row>
    <row r="82" spans="2:30" x14ac:dyDescent="0.25">
      <c r="C82" s="149" t="s">
        <v>24</v>
      </c>
      <c r="D82" t="s">
        <v>410</v>
      </c>
      <c r="E82" t="s">
        <v>411</v>
      </c>
      <c r="F82" t="s">
        <v>412</v>
      </c>
      <c r="G82" t="s">
        <v>413</v>
      </c>
      <c r="H82" s="16">
        <f>VLOOKUP(D82,Résultats!$B$2:$AX$476,'T energie vecteurs'!S5,FALSE)</f>
        <v>0.98211881540000001</v>
      </c>
      <c r="I82" s="16">
        <f>VLOOKUP(E82,Résultats!$B$2:$AX$476,'T energie vecteurs'!S5,FALSE)</f>
        <v>4.7231107789999998</v>
      </c>
      <c r="J82" s="16">
        <f>VLOOKUP(F82,Résultats!$B$2:$AX$476,'T energie vecteurs'!S5,FALSE)</f>
        <v>17.418374700000001</v>
      </c>
      <c r="K82" s="16">
        <f>VLOOKUP(G82,Résultats!$B$2:$AX$476,'T energie vecteurs'!S5,FALSE)</f>
        <v>5.2139565279999998</v>
      </c>
      <c r="L82" s="95">
        <f t="shared" si="19"/>
        <v>28.3375608224</v>
      </c>
      <c r="M82" s="16"/>
      <c r="N82" s="149" t="s">
        <v>491</v>
      </c>
      <c r="O82" s="143">
        <f>'[2]Bilan 2030 AMS'!$U$46/11.63</f>
        <v>0.29026672912795559</v>
      </c>
      <c r="P82" s="30">
        <f>SUM('[2]Bilan 2030 AMS'!$U$41:$U$43)/11.63</f>
        <v>1.2075144976423513</v>
      </c>
      <c r="Q82" s="30">
        <f>'[2]Bilan 2030 AMS'!$U$13/11.63</f>
        <v>12.982018088212522</v>
      </c>
      <c r="R82" s="30">
        <f>('[2]Bilan 2030 AMS'!$U$22+'[2]Bilan 2030 AMS'!$U$30+SUM('[2]Bilan 2030 AMS'!$U$36:$U$40)+SUM('[2]Bilan 2030 AMS'!$U$44:$U$45)+'[2]Bilan 2030 AMS'!$U$47)/11.63</f>
        <v>13.044479402489532</v>
      </c>
      <c r="S82" s="95">
        <f t="shared" si="20"/>
        <v>27.524278717472363</v>
      </c>
      <c r="T82" s="270"/>
      <c r="U82" s="149" t="s">
        <v>24</v>
      </c>
      <c r="V82" t="s">
        <v>410</v>
      </c>
      <c r="W82" t="s">
        <v>411</v>
      </c>
      <c r="X82" t="s">
        <v>412</v>
      </c>
      <c r="Y82" t="s">
        <v>413</v>
      </c>
      <c r="Z82" s="16">
        <v>1.996724435</v>
      </c>
      <c r="AA82" s="16">
        <v>9.0426093929999904</v>
      </c>
      <c r="AB82" s="16">
        <v>15.931478970000001</v>
      </c>
      <c r="AC82" s="16">
        <v>6.4634838590000001</v>
      </c>
      <c r="AD82" s="95">
        <v>33.43429665699999</v>
      </c>
    </row>
    <row r="83" spans="2:30" x14ac:dyDescent="0.25">
      <c r="C83" s="149" t="s">
        <v>47</v>
      </c>
      <c r="D83" t="s">
        <v>414</v>
      </c>
      <c r="E83" t="s">
        <v>415</v>
      </c>
      <c r="F83" t="s">
        <v>416</v>
      </c>
      <c r="G83" t="s">
        <v>417</v>
      </c>
      <c r="H83" s="16">
        <f>VLOOKUP(D83,Résultats!$B$2:$AX$476,'T energie vecteurs'!S5,FALSE)</f>
        <v>0.88547265610000003</v>
      </c>
      <c r="I83" s="16">
        <f>VLOOKUP(E83,Résultats!$B$2:$AX$476,'T energie vecteurs'!S5,FALSE)</f>
        <v>2.118684757</v>
      </c>
      <c r="J83" s="16">
        <f>VLOOKUP(F83,Résultats!$B$2:$AX$476,'T energie vecteurs'!S5,FALSE)</f>
        <v>0</v>
      </c>
      <c r="K83" s="16">
        <f>VLOOKUP(G83,Résultats!$B$2:$AX$476,'T energie vecteurs'!S5,FALSE)</f>
        <v>1.947638851</v>
      </c>
      <c r="L83" s="95">
        <f>SUM(H83:K83)</f>
        <v>4.9517962641000004</v>
      </c>
      <c r="M83" s="16"/>
      <c r="N83" s="149" t="s">
        <v>47</v>
      </c>
      <c r="O83" s="22">
        <f>'[2]Bilan 2030 AMS'!$E$52/11.63</f>
        <v>1.7224926358958512</v>
      </c>
      <c r="P83" s="16">
        <f>('[2]Bilan 2030 AMS'!$E$54+'[2]Bilan 2030 AMS'!$E$56)/11.63</f>
        <v>11.169977987861202</v>
      </c>
      <c r="Q83" s="16">
        <v>0</v>
      </c>
      <c r="R83" s="16">
        <f>('[2]Bilan 2030 AMS'!$E$53+'[2]Bilan 2030 AMS'!$E$55+'[2]Bilan 2030 AMS'!$E$57)/11.63</f>
        <v>1.4362171135403794</v>
      </c>
      <c r="S83" s="95">
        <f t="shared" si="20"/>
        <v>14.328687737297432</v>
      </c>
      <c r="T83" s="270"/>
      <c r="U83" s="149" t="s">
        <v>47</v>
      </c>
      <c r="V83" t="s">
        <v>414</v>
      </c>
      <c r="W83" t="s">
        <v>415</v>
      </c>
      <c r="X83" t="s">
        <v>416</v>
      </c>
      <c r="Y83" t="s">
        <v>417</v>
      </c>
      <c r="Z83" s="16">
        <v>0.96815240489999999</v>
      </c>
      <c r="AA83" s="16">
        <v>2.4433629419999998</v>
      </c>
      <c r="AB83" s="16">
        <v>0</v>
      </c>
      <c r="AC83" s="16">
        <v>2.2428490939999999</v>
      </c>
      <c r="AD83" s="95">
        <v>5.6543644409000002</v>
      </c>
    </row>
    <row r="84" spans="2:30" x14ac:dyDescent="0.25">
      <c r="C84" s="149" t="s">
        <v>25</v>
      </c>
      <c r="D84" t="s">
        <v>418</v>
      </c>
      <c r="E84" t="s">
        <v>419</v>
      </c>
      <c r="F84" t="s">
        <v>420</v>
      </c>
      <c r="G84" t="s">
        <v>421</v>
      </c>
      <c r="H84" s="16">
        <f>VLOOKUP(D84,Résultats!$B$2:$AX$476,'T energie vecteurs'!S5,FALSE)</f>
        <v>0</v>
      </c>
      <c r="I84" s="16">
        <f>VLOOKUP(E84,Résultats!$B$2:$AX$476,'T energie vecteurs'!S5,FALSE)</f>
        <v>2.675982705</v>
      </c>
      <c r="J84" s="16">
        <f>VLOOKUP(F84,Résultats!$B$2:$AX$476,'T energie vecteurs'!S5,FALSE)</f>
        <v>0.34416750699999998</v>
      </c>
      <c r="K84" s="16">
        <f>VLOOKUP(G84,Résultats!$B$2:$AX$476,'T energie vecteurs'!S5,FALSE)</f>
        <v>0.371155399</v>
      </c>
      <c r="L84" s="95">
        <f t="shared" si="19"/>
        <v>3.3913056109999999</v>
      </c>
      <c r="M84" s="16"/>
      <c r="N84" s="150" t="s">
        <v>25</v>
      </c>
      <c r="O84" s="29">
        <f>'[2]Bilan 2030 AMS'!$T$46/11.63</f>
        <v>0</v>
      </c>
      <c r="P84" s="28">
        <f>SUM('[2]Bilan 2030 AMS'!$T$41:$T$43)/11.63</f>
        <v>3.0169333905477389</v>
      </c>
      <c r="Q84" s="28">
        <f>'[2]Bilan 2030 AMS'!$T$13/11.63</f>
        <v>0.58880477108504814</v>
      </c>
      <c r="R84" s="28">
        <f>('[2]Bilan 2030 AMS'!$T$22+'[2]Bilan 2030 AMS'!$T$30+SUM('[2]Bilan 2030 AMS'!$T$36:$T$40)+SUM('[2]Bilan 2030 AMS'!$T$44:$T$45)+'[2]Bilan 2030 AMS'!$T$47)/11.63</f>
        <v>0.50098804851089418</v>
      </c>
      <c r="S84" s="142">
        <f t="shared" si="20"/>
        <v>4.1067262101436812</v>
      </c>
      <c r="T84" s="270"/>
      <c r="U84" s="149" t="s">
        <v>25</v>
      </c>
      <c r="V84" t="s">
        <v>418</v>
      </c>
      <c r="W84" t="s">
        <v>419</v>
      </c>
      <c r="X84" t="s">
        <v>420</v>
      </c>
      <c r="Y84" t="s">
        <v>421</v>
      </c>
      <c r="Z84" s="16">
        <v>0</v>
      </c>
      <c r="AA84" s="16">
        <v>2.5873876230000001</v>
      </c>
      <c r="AB84" s="16">
        <v>0.36559036080000001</v>
      </c>
      <c r="AC84" s="16">
        <v>0.33785666060000002</v>
      </c>
      <c r="AD84" s="95">
        <v>3.2908346444000003</v>
      </c>
    </row>
    <row r="85" spans="2:30" x14ac:dyDescent="0.25">
      <c r="C85" s="23" t="s">
        <v>26</v>
      </c>
      <c r="D85" s="10"/>
      <c r="E85" s="10"/>
      <c r="F85" s="10"/>
      <c r="G85" s="10"/>
      <c r="H85" s="9">
        <f>SUM(H76,H79:H81)</f>
        <v>2.0396491039</v>
      </c>
      <c r="I85" s="9">
        <f>SUM(I76,I79:I81)</f>
        <v>51.826496298999999</v>
      </c>
      <c r="J85" s="9">
        <f>SUM(J76,J79:J81)</f>
        <v>45.752156259700001</v>
      </c>
      <c r="K85" s="9">
        <f>SUM(K76,K79:K81)</f>
        <v>39.400543332276598</v>
      </c>
      <c r="L85" s="98">
        <f>SUM(H85:K85)</f>
        <v>139.01884499487659</v>
      </c>
      <c r="M85" s="79"/>
      <c r="N85" s="151" t="s">
        <v>26</v>
      </c>
      <c r="O85" s="32">
        <f>O76+O79+O80+O81+O84</f>
        <v>2.0127593650238067</v>
      </c>
      <c r="P85" s="31">
        <f>P76+P79+P80+P81+P84</f>
        <v>46.850233821954703</v>
      </c>
      <c r="Q85" s="31">
        <f>Q76+Q79+Q80+Q81+Q84</f>
        <v>41.347363334512337</v>
      </c>
      <c r="R85" s="31">
        <f>R76+R79+R80+R81+R84</f>
        <v>44.602474527058249</v>
      </c>
      <c r="S85" s="144">
        <f t="shared" si="20"/>
        <v>134.81283104854907</v>
      </c>
      <c r="T85" s="79"/>
      <c r="U85" s="23" t="s">
        <v>26</v>
      </c>
      <c r="V85" s="10"/>
      <c r="W85" s="10"/>
      <c r="X85" s="10"/>
      <c r="Y85" s="10"/>
      <c r="Z85" s="9">
        <v>3.1188429583000001</v>
      </c>
      <c r="AA85" s="9">
        <v>58.538549004999986</v>
      </c>
      <c r="AB85" s="9">
        <v>44.015451814999999</v>
      </c>
      <c r="AC85" s="9">
        <v>37.816432218507401</v>
      </c>
      <c r="AD85" s="98">
        <v>143.48927599680738</v>
      </c>
    </row>
    <row r="86" spans="2:30" s="3" customFormat="1" x14ac:dyDescent="0.25">
      <c r="O86" s="77"/>
      <c r="P86" s="77"/>
      <c r="Q86" s="77"/>
      <c r="R86" s="78"/>
      <c r="S86" s="45"/>
    </row>
    <row r="87" spans="2:30" s="3" customFormat="1" x14ac:dyDescent="0.25">
      <c r="B87" s="60"/>
      <c r="K87" s="47"/>
      <c r="O87" s="79"/>
      <c r="P87" s="79"/>
      <c r="Q87" s="79"/>
      <c r="R87" s="80"/>
      <c r="S87" s="81"/>
      <c r="AC87" s="47"/>
    </row>
    <row r="88" spans="2:30" s="3" customFormat="1" ht="31.5" x14ac:dyDescent="0.35">
      <c r="B88" s="60"/>
      <c r="C88" s="145">
        <v>2035</v>
      </c>
      <c r="D88" s="146"/>
      <c r="E88" s="146"/>
      <c r="F88" s="146"/>
      <c r="G88" s="146"/>
      <c r="H88" s="76" t="s">
        <v>36</v>
      </c>
      <c r="I88" s="76" t="s">
        <v>49</v>
      </c>
      <c r="J88" s="76" t="s">
        <v>38</v>
      </c>
      <c r="K88" s="76" t="s">
        <v>48</v>
      </c>
      <c r="L88" s="93" t="s">
        <v>1</v>
      </c>
      <c r="N88" s="145">
        <v>2035</v>
      </c>
      <c r="O88" s="141" t="s">
        <v>36</v>
      </c>
      <c r="P88" s="76" t="s">
        <v>49</v>
      </c>
      <c r="Q88" s="76" t="s">
        <v>38</v>
      </c>
      <c r="R88" s="76" t="s">
        <v>48</v>
      </c>
      <c r="S88" s="93" t="s">
        <v>1</v>
      </c>
      <c r="U88" s="145">
        <v>2035</v>
      </c>
      <c r="V88" s="146"/>
      <c r="W88" s="146"/>
      <c r="X88" s="146"/>
      <c r="Y88" s="146"/>
      <c r="Z88" s="76" t="s">
        <v>36</v>
      </c>
      <c r="AA88" s="76" t="s">
        <v>49</v>
      </c>
      <c r="AB88" s="76" t="s">
        <v>38</v>
      </c>
      <c r="AC88" s="76" t="s">
        <v>48</v>
      </c>
      <c r="AD88" s="93" t="s">
        <v>1</v>
      </c>
    </row>
    <row r="89" spans="2:30" s="3" customFormat="1" x14ac:dyDescent="0.25">
      <c r="B89" s="60"/>
      <c r="C89" s="147" t="s">
        <v>18</v>
      </c>
      <c r="D89"/>
      <c r="E89"/>
      <c r="F89"/>
      <c r="G89"/>
      <c r="H89" s="8">
        <f>SUM(H90:H91)</f>
        <v>0</v>
      </c>
      <c r="I89" s="8">
        <f>SUM(I90:I91)</f>
        <v>29.015808910000001</v>
      </c>
      <c r="J89" s="8">
        <f>SUM(J90:J91)</f>
        <v>5.4396694940000003</v>
      </c>
      <c r="K89" s="8">
        <f>SUM(K90:K91)</f>
        <v>0.99791318700140008</v>
      </c>
      <c r="L89" s="96">
        <f t="shared" ref="L89:L98" si="22">SUM(H89:K89)</f>
        <v>35.453391591001406</v>
      </c>
      <c r="N89" s="150" t="s">
        <v>18</v>
      </c>
      <c r="O89" s="29">
        <f>'[2]Bilan 2035 AMS'!$X$46/11.63</f>
        <v>0</v>
      </c>
      <c r="P89" s="28">
        <f>SUM('[2]Bilan 2035 AMS'!$X$41:$X$43)/11.63</f>
        <v>21.382730406719936</v>
      </c>
      <c r="Q89" s="28">
        <f>'[2]Bilan 2035 AMS'!$X$13/11.63</f>
        <v>5.4104030618615928</v>
      </c>
      <c r="R89" s="28">
        <f>('[2]Bilan 2035 AMS'!$X$22+'[2]Bilan 2035 AMS'!$X$30+SUM('[2]Bilan 2035 AMS'!$X$36:$X$40)+SUM('[2]Bilan 2035 AMS'!$X$44:$X$45)+'[2]Bilan 2035 AMS'!$X$47)/11.63</f>
        <v>0.88574894127807591</v>
      </c>
      <c r="S89" s="142">
        <f>SUM(O89:R89)</f>
        <v>27.678882409859607</v>
      </c>
      <c r="U89" s="147" t="s">
        <v>18</v>
      </c>
      <c r="V89"/>
      <c r="W89"/>
      <c r="X89"/>
      <c r="Y89"/>
      <c r="Z89" s="8">
        <v>0</v>
      </c>
      <c r="AA89" s="8">
        <v>32.431192430000003</v>
      </c>
      <c r="AB89" s="8">
        <v>6.6826158879999999</v>
      </c>
      <c r="AC89" s="8">
        <v>1.2044262651969</v>
      </c>
      <c r="AD89" s="96">
        <v>40.318234583196904</v>
      </c>
    </row>
    <row r="90" spans="2:30" s="3" customFormat="1" x14ac:dyDescent="0.25">
      <c r="B90" s="60"/>
      <c r="C90" s="148" t="s">
        <v>19</v>
      </c>
      <c r="D90" t="s">
        <v>394</v>
      </c>
      <c r="E90" t="s">
        <v>395</v>
      </c>
      <c r="F90" t="s">
        <v>396</v>
      </c>
      <c r="G90" t="s">
        <v>397</v>
      </c>
      <c r="H90" s="16">
        <f>VLOOKUP(D90,Résultats!$B$2:$AX$476,'T energie vecteurs'!T5,FALSE)</f>
        <v>0</v>
      </c>
      <c r="I90" s="16">
        <f>VLOOKUP(E90,Résultats!$B$2:$AX$476,'T energie vecteurs'!T5,FALSE)</f>
        <v>13.62948836</v>
      </c>
      <c r="J90" s="16">
        <f>VLOOKUP(F90,Résultats!$B$2:$AX$476,'T energie vecteurs'!T5,FALSE)</f>
        <v>1.74420099</v>
      </c>
      <c r="K90" s="16">
        <f>VLOOKUP(G90,Résultats!$B$2:$AX$476,'T energie vecteurs'!T5,FALSE)</f>
        <v>2.48270014E-5</v>
      </c>
      <c r="L90" s="95">
        <f t="shared" si="22"/>
        <v>15.3737141770014</v>
      </c>
      <c r="N90" s="148" t="s">
        <v>19</v>
      </c>
      <c r="O90" s="143"/>
      <c r="P90" s="16"/>
      <c r="Q90" s="34"/>
      <c r="R90" s="16"/>
      <c r="S90" s="95"/>
      <c r="U90" s="148" t="s">
        <v>19</v>
      </c>
      <c r="V90" t="s">
        <v>394</v>
      </c>
      <c r="W90" t="s">
        <v>395</v>
      </c>
      <c r="X90" t="s">
        <v>396</v>
      </c>
      <c r="Y90" t="s">
        <v>397</v>
      </c>
      <c r="Z90" s="16">
        <v>0</v>
      </c>
      <c r="AA90" s="16">
        <v>13.970724479999999</v>
      </c>
      <c r="AB90" s="38">
        <v>1.7621782340000001</v>
      </c>
      <c r="AC90" s="16">
        <v>1.7425196900000001E-5</v>
      </c>
      <c r="AD90" s="95">
        <v>15.732920139196899</v>
      </c>
    </row>
    <row r="91" spans="2:30" s="3" customFormat="1" x14ac:dyDescent="0.25">
      <c r="B91" s="60"/>
      <c r="C91" s="149" t="s">
        <v>20</v>
      </c>
      <c r="D91" t="s">
        <v>398</v>
      </c>
      <c r="E91" t="s">
        <v>399</v>
      </c>
      <c r="F91" t="s">
        <v>400</v>
      </c>
      <c r="G91" t="s">
        <v>401</v>
      </c>
      <c r="H91" s="16">
        <f>VLOOKUP(D91,Résultats!$B$2:$AX$476,'T energie vecteurs'!T5,FALSE)</f>
        <v>0</v>
      </c>
      <c r="I91" s="16">
        <f>VLOOKUP(E91,Résultats!$B$2:$AX$476,'T energie vecteurs'!T5,FALSE)</f>
        <v>15.386320550000001</v>
      </c>
      <c r="J91" s="16">
        <f>VLOOKUP(F91,Résultats!$B$2:$AX$476,'T energie vecteurs'!T5,FALSE)</f>
        <v>3.6954685039999999</v>
      </c>
      <c r="K91" s="16">
        <f>VLOOKUP(G91,Résultats!$B$2:$AX$476,'T energie vecteurs'!T5,FALSE)</f>
        <v>0.99788836000000003</v>
      </c>
      <c r="L91" s="95">
        <f t="shared" si="22"/>
        <v>20.079677414000002</v>
      </c>
      <c r="N91" s="149" t="s">
        <v>20</v>
      </c>
      <c r="O91" s="143"/>
      <c r="P91" s="16"/>
      <c r="Q91" s="34"/>
      <c r="R91" s="16"/>
      <c r="S91" s="95"/>
      <c r="U91" s="149" t="s">
        <v>20</v>
      </c>
      <c r="V91" t="s">
        <v>398</v>
      </c>
      <c r="W91" t="s">
        <v>399</v>
      </c>
      <c r="X91" t="s">
        <v>400</v>
      </c>
      <c r="Y91" t="s">
        <v>401</v>
      </c>
      <c r="Z91" s="16">
        <v>0</v>
      </c>
      <c r="AA91" s="16">
        <v>18.460467950000002</v>
      </c>
      <c r="AB91" s="16">
        <v>4.9204376539999997</v>
      </c>
      <c r="AC91" s="16">
        <v>1.2044088399999999</v>
      </c>
      <c r="AD91" s="95">
        <v>24.585314444000002</v>
      </c>
    </row>
    <row r="92" spans="2:30" s="3" customFormat="1" x14ac:dyDescent="0.25">
      <c r="B92" s="60"/>
      <c r="C92" s="147" t="s">
        <v>21</v>
      </c>
      <c r="D92" t="s">
        <v>402</v>
      </c>
      <c r="E92" t="s">
        <v>403</v>
      </c>
      <c r="F92" t="s">
        <v>404</v>
      </c>
      <c r="G92" t="s">
        <v>405</v>
      </c>
      <c r="H92" s="8">
        <f>VLOOKUP(D92,Résultats!$B$2:$AX$476,'T energie vecteurs'!T5,FALSE)</f>
        <v>0.13766746669999999</v>
      </c>
      <c r="I92" s="294">
        <f>VLOOKUP(E92,Résultats!$B$2:$AX$476,'T energie vecteurs'!T5,FALSE)</f>
        <v>3.8304258419999999</v>
      </c>
      <c r="J92" s="8">
        <f>VLOOKUP(F92,Résultats!$B$2:$AX$476,'T energie vecteurs'!T5,FALSE)</f>
        <v>14.081878590000001</v>
      </c>
      <c r="K92" s="8">
        <f>VLOOKUP(G92,Résultats!$B$2:$AX$476,'T energie vecteurs'!T5,FALSE)+8</f>
        <v>17.390893636999998</v>
      </c>
      <c r="L92" s="96">
        <f t="shared" si="22"/>
        <v>35.440865535699999</v>
      </c>
      <c r="N92" s="150" t="s">
        <v>21</v>
      </c>
      <c r="O92" s="29">
        <f>'[2]Bilan 2035 AMS'!$V$46/11.63</f>
        <v>0</v>
      </c>
      <c r="P92" s="28">
        <f>SUM('[2]Bilan 2035 AMS'!$V$41:$V$43)/11.63</f>
        <v>0.26244481999880703</v>
      </c>
      <c r="Q92" s="28">
        <f>'[2]Bilan 2035 AMS'!$V$13/11.63</f>
        <v>13.920813823171006</v>
      </c>
      <c r="R92" s="28">
        <f>('[2]Bilan 2035 AMS'!$V$22+'[2]Bilan 2035 AMS'!$V$30+SUM('[2]Bilan 2035 AMS'!$V$36:$V$40)+SUM('[2]Bilan 2035 AMS'!$V$44:$V$45)+'[2]Bilan 2035 AMS'!$V$47)/11.63</f>
        <v>18.428808856007375</v>
      </c>
      <c r="S92" s="142">
        <f t="shared" ref="S92:S98" si="23">SUM(O92:R92)</f>
        <v>32.612067499177186</v>
      </c>
      <c r="U92" s="147" t="s">
        <v>21</v>
      </c>
      <c r="V92" t="s">
        <v>402</v>
      </c>
      <c r="W92" t="s">
        <v>403</v>
      </c>
      <c r="X92" t="s">
        <v>404</v>
      </c>
      <c r="Y92" t="s">
        <v>405</v>
      </c>
      <c r="Z92" s="8">
        <v>0.1168931616</v>
      </c>
      <c r="AA92" s="294">
        <v>3.0466839970000001</v>
      </c>
      <c r="AB92" s="8">
        <v>13.51841263</v>
      </c>
      <c r="AC92" s="8">
        <v>15.650590600000001</v>
      </c>
      <c r="AD92" s="96">
        <v>32.3325803886</v>
      </c>
    </row>
    <row r="93" spans="2:30" s="3" customFormat="1" x14ac:dyDescent="0.25">
      <c r="B93" s="60"/>
      <c r="C93" s="147" t="s">
        <v>22</v>
      </c>
      <c r="D93" t="s">
        <v>406</v>
      </c>
      <c r="E93" t="s">
        <v>407</v>
      </c>
      <c r="F93" t="s">
        <v>408</v>
      </c>
      <c r="G93" t="s">
        <v>409</v>
      </c>
      <c r="H93" s="8">
        <f>VLOOKUP(D93,Résultats!$B$2:$AX$476,'T energie vecteurs'!T5,FALSE)</f>
        <v>0</v>
      </c>
      <c r="I93" s="8">
        <f>VLOOKUP(E93,Résultats!$B$2:$AX$476,'T energie vecteurs'!T5,FALSE)</f>
        <v>1.5064790859999999</v>
      </c>
      <c r="J93" s="8">
        <f>VLOOKUP(F93,Résultats!$B$2:$AX$476,'T energie vecteurs'!T5,FALSE)</f>
        <v>10.085313469999999</v>
      </c>
      <c r="K93" s="8">
        <f>VLOOKUP(G93,Résultats!$B$2:$AX$476,'T energie vecteurs'!T5,FALSE)</f>
        <v>10.9352594</v>
      </c>
      <c r="L93" s="96">
        <f t="shared" si="22"/>
        <v>22.527051956000001</v>
      </c>
      <c r="N93" s="150" t="s">
        <v>22</v>
      </c>
      <c r="O93" s="29">
        <f>('[2]Bilan 2035 AMS'!$W$46)/11.63</f>
        <v>0</v>
      </c>
      <c r="P93" s="28">
        <f>SUM('[2]Bilan 2035 AMS'!$W$41:$W$43)/11.63</f>
        <v>0.17752685454813696</v>
      </c>
      <c r="Q93" s="28">
        <f>('[2]Bilan 2035 AMS'!$W$13)/11.63</f>
        <v>10.219258004272318</v>
      </c>
      <c r="R93" s="28">
        <f>('[2]Bilan 2035 AMS'!$W$22+'[2]Bilan 2035 AMS'!$W$30+SUM('[2]Bilan 2035 AMS'!$W$36:$W$40)+SUM('[2]Bilan 2035 AMS'!$W$44:$W$45)+'[2]Bilan 2035 AMS'!$W$47)/11.63</f>
        <v>8.3604329747133743</v>
      </c>
      <c r="S93" s="142">
        <f t="shared" si="23"/>
        <v>18.757217833533829</v>
      </c>
      <c r="U93" s="147" t="s">
        <v>22</v>
      </c>
      <c r="V93" t="s">
        <v>406</v>
      </c>
      <c r="W93" t="s">
        <v>407</v>
      </c>
      <c r="X93" t="s">
        <v>408</v>
      </c>
      <c r="Y93" t="s">
        <v>409</v>
      </c>
      <c r="Z93" s="8">
        <v>0</v>
      </c>
      <c r="AA93" s="8">
        <v>1.34270479</v>
      </c>
      <c r="AB93" s="8">
        <v>8.0625423339999998</v>
      </c>
      <c r="AC93" s="8">
        <v>10.613460610000001</v>
      </c>
      <c r="AD93" s="96">
        <v>20.018707733999999</v>
      </c>
    </row>
    <row r="94" spans="2:30" s="3" customFormat="1" x14ac:dyDescent="0.25">
      <c r="B94" s="60"/>
      <c r="C94" s="147" t="s">
        <v>23</v>
      </c>
      <c r="D94"/>
      <c r="E94"/>
      <c r="F94"/>
      <c r="G94"/>
      <c r="H94" s="8">
        <f>SUM(H95:H97)</f>
        <v>1.9416284746999999</v>
      </c>
      <c r="I94" s="8">
        <f>SUM(I95:I97)</f>
        <v>10.182825378</v>
      </c>
      <c r="J94" s="8">
        <f>SUM(J95:J97)</f>
        <v>18.583972355100002</v>
      </c>
      <c r="K94" s="8">
        <f>SUM(K95:K97)</f>
        <v>7.9675267959000005</v>
      </c>
      <c r="L94" s="96">
        <f t="shared" si="22"/>
        <v>38.675953003700002</v>
      </c>
      <c r="N94" s="150" t="s">
        <v>490</v>
      </c>
      <c r="O94" s="29">
        <f>O95+O96</f>
        <v>1.2895605785735207</v>
      </c>
      <c r="P94" s="28">
        <f t="shared" ref="P94:R94" si="24">P95+P96</f>
        <v>11.337300806411763</v>
      </c>
      <c r="Q94" s="28">
        <f t="shared" si="24"/>
        <v>14.018807628102843</v>
      </c>
      <c r="R94" s="28">
        <f t="shared" si="24"/>
        <v>15.570794990567688</v>
      </c>
      <c r="S94" s="142">
        <f t="shared" si="23"/>
        <v>42.216464003655815</v>
      </c>
      <c r="U94" s="147" t="s">
        <v>23</v>
      </c>
      <c r="V94"/>
      <c r="W94"/>
      <c r="X94"/>
      <c r="Y94"/>
      <c r="Z94" s="8">
        <v>3.2056668579999998</v>
      </c>
      <c r="AA94" s="8">
        <v>14.999783346000001</v>
      </c>
      <c r="AB94" s="8">
        <v>18.345463837700002</v>
      </c>
      <c r="AC94" s="8">
        <v>9.6040479707999982</v>
      </c>
      <c r="AD94" s="96">
        <v>46.1549620125</v>
      </c>
    </row>
    <row r="95" spans="2:30" s="3" customFormat="1" x14ac:dyDescent="0.25">
      <c r="B95" s="60"/>
      <c r="C95" s="149" t="s">
        <v>24</v>
      </c>
      <c r="D95" t="s">
        <v>410</v>
      </c>
      <c r="E95" t="s">
        <v>411</v>
      </c>
      <c r="F95" t="s">
        <v>412</v>
      </c>
      <c r="G95" t="s">
        <v>413</v>
      </c>
      <c r="H95" s="16">
        <f>VLOOKUP(D95,Résultats!$B$2:$AX$476,'T energie vecteurs'!T5,FALSE)</f>
        <v>1.035076973</v>
      </c>
      <c r="I95" s="16">
        <f>VLOOKUP(E95,Résultats!$B$2:$AX$476,'T energie vecteurs'!T5,FALSE)</f>
        <v>5.0914203359999997</v>
      </c>
      <c r="J95" s="16">
        <f>VLOOKUP(F95,Résultats!$B$2:$AX$476,'T energie vecteurs'!T5,FALSE)</f>
        <v>18.217242110000001</v>
      </c>
      <c r="K95" s="16">
        <f>VLOOKUP(G95,Résultats!$B$2:$AX$476,'T energie vecteurs'!T5,FALSE)</f>
        <v>5.5597761170000002</v>
      </c>
      <c r="L95" s="95">
        <f t="shared" si="22"/>
        <v>29.903515536</v>
      </c>
      <c r="N95" s="149" t="s">
        <v>491</v>
      </c>
      <c r="O95" s="143">
        <f>'[2]Bilan 2035 AMS'!$U$46/11.63</f>
        <v>0.31437903703224818</v>
      </c>
      <c r="P95" s="30">
        <f>SUM('[2]Bilan 2035 AMS'!$U$41:$U$43)/11.63</f>
        <v>0.93558908643124061</v>
      </c>
      <c r="Q95" s="30">
        <f>'[2]Bilan 2035 AMS'!$U$13/11.63</f>
        <v>14.018807628102843</v>
      </c>
      <c r="R95" s="30">
        <f>('[2]Bilan 2035 AMS'!$U$22+'[2]Bilan 2035 AMS'!$U$30+SUM('[2]Bilan 2035 AMS'!$U$36:$U$40)+SUM('[2]Bilan 2035 AMS'!$U$44:$U$45)+'[2]Bilan 2035 AMS'!$U$47)/11.63</f>
        <v>12.828509585335674</v>
      </c>
      <c r="S95" s="95">
        <f t="shared" si="23"/>
        <v>28.097285336902004</v>
      </c>
      <c r="U95" s="149" t="s">
        <v>24</v>
      </c>
      <c r="V95" t="s">
        <v>410</v>
      </c>
      <c r="W95" t="s">
        <v>411</v>
      </c>
      <c r="X95" t="s">
        <v>412</v>
      </c>
      <c r="Y95" t="s">
        <v>413</v>
      </c>
      <c r="Z95" s="16">
        <v>2.1475393120000001</v>
      </c>
      <c r="AA95" s="16">
        <v>9.4860771810000006</v>
      </c>
      <c r="AB95" s="16">
        <v>17.939941990000001</v>
      </c>
      <c r="AC95" s="16">
        <v>6.7670283759999998</v>
      </c>
      <c r="AD95" s="95">
        <v>36.340586859000005</v>
      </c>
    </row>
    <row r="96" spans="2:30" s="3" customFormat="1" x14ac:dyDescent="0.25">
      <c r="B96" s="60"/>
      <c r="C96" s="149" t="s">
        <v>47</v>
      </c>
      <c r="D96" t="s">
        <v>414</v>
      </c>
      <c r="E96" t="s">
        <v>415</v>
      </c>
      <c r="F96" t="s">
        <v>416</v>
      </c>
      <c r="G96" t="s">
        <v>417</v>
      </c>
      <c r="H96" s="16">
        <f>VLOOKUP(D96,Résultats!$B$2:$AX$476,'T energie vecteurs'!T5,FALSE)</f>
        <v>0.90655150169999998</v>
      </c>
      <c r="I96" s="16">
        <f>VLOOKUP(E96,Résultats!$B$2:$AX$476,'T energie vecteurs'!T5,FALSE)</f>
        <v>2.2101296189999999</v>
      </c>
      <c r="J96" s="16">
        <f>VLOOKUP(F96,Résultats!$B$2:$AX$476,'T energie vecteurs'!T5,FALSE)</f>
        <v>0</v>
      </c>
      <c r="K96" s="16">
        <f>VLOOKUP(G96,Résultats!$B$2:$AX$476,'T energie vecteurs'!T5,FALSE)</f>
        <v>2.0216693600000002</v>
      </c>
      <c r="L96" s="95">
        <f t="shared" si="22"/>
        <v>5.1383504806999998</v>
      </c>
      <c r="N96" s="149" t="s">
        <v>47</v>
      </c>
      <c r="O96" s="22">
        <f>'[2]Bilan 2035 AMS'!$E$52/11.63</f>
        <v>0.97518154154127257</v>
      </c>
      <c r="P96" s="16">
        <f>('[2]Bilan 2035 AMS'!$E$54+'[2]Bilan 2035 AMS'!$E$56)/11.63</f>
        <v>10.401711719980522</v>
      </c>
      <c r="Q96" s="16">
        <v>0</v>
      </c>
      <c r="R96" s="16">
        <f>('[2]Bilan 2035 AMS'!$E$53+'[2]Bilan 2035 AMS'!$E$55+'[2]Bilan 2035 AMS'!$E$57)/11.63</f>
        <v>2.7422854052320145</v>
      </c>
      <c r="S96" s="95">
        <f t="shared" si="23"/>
        <v>14.119178666753809</v>
      </c>
      <c r="U96" s="149" t="s">
        <v>47</v>
      </c>
      <c r="V96" t="s">
        <v>414</v>
      </c>
      <c r="W96" t="s">
        <v>415</v>
      </c>
      <c r="X96" t="s">
        <v>416</v>
      </c>
      <c r="Y96" t="s">
        <v>417</v>
      </c>
      <c r="Z96" s="16">
        <v>1.0581275459999999</v>
      </c>
      <c r="AA96" s="16">
        <v>2.712429722</v>
      </c>
      <c r="AB96" s="16">
        <v>0</v>
      </c>
      <c r="AC96" s="16">
        <v>2.4741684839999998</v>
      </c>
      <c r="AD96" s="95">
        <v>6.2447257519999999</v>
      </c>
    </row>
    <row r="97" spans="2:30" s="3" customFormat="1" x14ac:dyDescent="0.25">
      <c r="B97" s="60"/>
      <c r="C97" s="149" t="s">
        <v>25</v>
      </c>
      <c r="D97" t="s">
        <v>418</v>
      </c>
      <c r="E97" t="s">
        <v>419</v>
      </c>
      <c r="F97" t="s">
        <v>420</v>
      </c>
      <c r="G97" t="s">
        <v>421</v>
      </c>
      <c r="H97" s="16">
        <f>VLOOKUP(D97,Résultats!$B$2:$AX$476,'T energie vecteurs'!T5,FALSE)</f>
        <v>0</v>
      </c>
      <c r="I97" s="16">
        <f>VLOOKUP(E97,Résultats!$B$2:$AX$476,'T energie vecteurs'!T5,FALSE)</f>
        <v>2.8812754229999999</v>
      </c>
      <c r="J97" s="16">
        <f>VLOOKUP(F97,Résultats!$B$2:$AX$476,'T energie vecteurs'!T5,FALSE)</f>
        <v>0.36673024510000002</v>
      </c>
      <c r="K97" s="16">
        <f>VLOOKUP(G97,Résultats!$B$2:$AX$476,'T energie vecteurs'!T5,FALSE)</f>
        <v>0.38608131890000003</v>
      </c>
      <c r="L97" s="95">
        <f t="shared" si="22"/>
        <v>3.6340869869999999</v>
      </c>
      <c r="N97" s="150" t="s">
        <v>25</v>
      </c>
      <c r="O97" s="29">
        <f>'[2]Bilan 2035 AMS'!$T$46/11.63</f>
        <v>0</v>
      </c>
      <c r="P97" s="28">
        <f>SUM('[2]Bilan 2035 AMS'!$T$41:$T$43)/11.63</f>
        <v>2.6634240155513398</v>
      </c>
      <c r="Q97" s="28">
        <f>'[2]Bilan 2035 AMS'!$T$13/11.63</f>
        <v>0.59083250678331611</v>
      </c>
      <c r="R97" s="28">
        <f>('[2]Bilan 2035 AMS'!$T$22+'[2]Bilan 2035 AMS'!$T$30+SUM('[2]Bilan 2035 AMS'!$T$36:$T$40)+SUM('[2]Bilan 2035 AMS'!$T$44:$T$45)+'[2]Bilan 2035 AMS'!$T$47)/11.63</f>
        <v>0.57839341838434266</v>
      </c>
      <c r="S97" s="142">
        <f t="shared" si="23"/>
        <v>3.8326499407189987</v>
      </c>
      <c r="U97" s="149" t="s">
        <v>25</v>
      </c>
      <c r="V97" t="s">
        <v>418</v>
      </c>
      <c r="W97" t="s">
        <v>419</v>
      </c>
      <c r="X97" t="s">
        <v>420</v>
      </c>
      <c r="Y97" t="s">
        <v>421</v>
      </c>
      <c r="Z97" s="16">
        <v>0</v>
      </c>
      <c r="AA97" s="16">
        <v>2.8012764429999999</v>
      </c>
      <c r="AB97" s="16">
        <v>0.40552184769999999</v>
      </c>
      <c r="AC97" s="16">
        <v>0.36285111079999999</v>
      </c>
      <c r="AD97" s="95">
        <v>3.5696494015</v>
      </c>
    </row>
    <row r="98" spans="2:30" s="3" customFormat="1" x14ac:dyDescent="0.25">
      <c r="B98" s="60"/>
      <c r="C98" s="23" t="s">
        <v>26</v>
      </c>
      <c r="D98" s="10"/>
      <c r="E98" s="10"/>
      <c r="F98" s="10"/>
      <c r="G98" s="10"/>
      <c r="H98" s="9">
        <f>SUM(H89,H92:H94)</f>
        <v>2.0792959413999998</v>
      </c>
      <c r="I98" s="9">
        <f>SUM(I89,I92:I94)</f>
        <v>44.535539216000004</v>
      </c>
      <c r="J98" s="9">
        <f>SUM(J89,J92:J94)</f>
        <v>48.190833909100007</v>
      </c>
      <c r="K98" s="9">
        <f>SUM(K89,K92:K94)</f>
        <v>37.291593019901399</v>
      </c>
      <c r="L98" s="98">
        <f t="shared" si="22"/>
        <v>132.0972620864014</v>
      </c>
      <c r="N98" s="151" t="s">
        <v>26</v>
      </c>
      <c r="O98" s="32">
        <f>O89+O92+O93+O94+O97</f>
        <v>1.2895605785735207</v>
      </c>
      <c r="P98" s="31">
        <f>P89+P92+P93+P94+P97</f>
        <v>35.823426903229986</v>
      </c>
      <c r="Q98" s="31">
        <f>Q89+Q92+Q93+Q94+Q97</f>
        <v>44.160115024191072</v>
      </c>
      <c r="R98" s="31">
        <f>R89+R92+R93+R94+R97</f>
        <v>43.824179180950857</v>
      </c>
      <c r="S98" s="144">
        <f t="shared" si="23"/>
        <v>125.09728168694545</v>
      </c>
      <c r="U98" s="23" t="s">
        <v>26</v>
      </c>
      <c r="V98" s="10"/>
      <c r="W98" s="10"/>
      <c r="X98" s="10"/>
      <c r="Y98" s="10"/>
      <c r="Z98" s="9">
        <v>3.3225600196</v>
      </c>
      <c r="AA98" s="9">
        <v>51.820364563000005</v>
      </c>
      <c r="AB98" s="9">
        <v>46.609034689700003</v>
      </c>
      <c r="AC98" s="9">
        <v>37.072525445996902</v>
      </c>
      <c r="AD98" s="98">
        <v>138.8244847182969</v>
      </c>
    </row>
    <row r="99" spans="2:30" s="3" customFormat="1" x14ac:dyDescent="0.25">
      <c r="B99" s="60"/>
      <c r="K99" s="47"/>
      <c r="AC99" s="47"/>
    </row>
    <row r="100" spans="2:30" s="3" customFormat="1" x14ac:dyDescent="0.25">
      <c r="B100" s="60"/>
      <c r="K100" s="47"/>
      <c r="AC100" s="47"/>
    </row>
    <row r="101" spans="2:30" ht="31.5" x14ac:dyDescent="0.35">
      <c r="C101" s="145">
        <v>2040</v>
      </c>
      <c r="D101" s="146"/>
      <c r="E101" s="146"/>
      <c r="F101" s="146"/>
      <c r="G101" s="146"/>
      <c r="H101" s="76" t="s">
        <v>36</v>
      </c>
      <c r="I101" s="76" t="s">
        <v>49</v>
      </c>
      <c r="J101" s="76" t="s">
        <v>38</v>
      </c>
      <c r="K101" s="76" t="s">
        <v>48</v>
      </c>
      <c r="L101" s="93" t="s">
        <v>1</v>
      </c>
      <c r="M101" s="19"/>
      <c r="N101" s="145">
        <v>2040</v>
      </c>
      <c r="O101" s="141" t="s">
        <v>36</v>
      </c>
      <c r="P101" s="76" t="s">
        <v>49</v>
      </c>
      <c r="Q101" s="76" t="s">
        <v>38</v>
      </c>
      <c r="R101" s="76" t="s">
        <v>48</v>
      </c>
      <c r="S101" s="93" t="s">
        <v>1</v>
      </c>
      <c r="T101" s="19"/>
      <c r="U101">
        <v>2040</v>
      </c>
      <c r="Z101" t="s">
        <v>36</v>
      </c>
      <c r="AA101" t="s">
        <v>49</v>
      </c>
      <c r="AB101" t="s">
        <v>38</v>
      </c>
      <c r="AC101" t="s">
        <v>48</v>
      </c>
      <c r="AD101" t="s">
        <v>1</v>
      </c>
    </row>
    <row r="102" spans="2:30" x14ac:dyDescent="0.25">
      <c r="C102" s="147" t="s">
        <v>18</v>
      </c>
      <c r="H102" s="8">
        <f>SUM(H103:H104)</f>
        <v>0</v>
      </c>
      <c r="I102" s="8">
        <f>SUM(I103:I104)</f>
        <v>22.129486010000001</v>
      </c>
      <c r="J102" s="8">
        <f>SUM(J103:J104)</f>
        <v>8.0151764480000001</v>
      </c>
      <c r="K102" s="8">
        <f>SUM(K103:K104)</f>
        <v>1.4227048391488002</v>
      </c>
      <c r="L102" s="96">
        <f t="shared" ref="L102:L111" si="25">SUM(H102:K102)</f>
        <v>31.567367297148799</v>
      </c>
      <c r="M102" s="75"/>
      <c r="N102" s="150" t="s">
        <v>18</v>
      </c>
      <c r="O102" s="29">
        <f>'[2]Bilan 2040 AMS'!$X$46/11.63</f>
        <v>0</v>
      </c>
      <c r="P102" s="28">
        <f>SUM('[2]Bilan 2040 AMS'!$X$41:$X$43)/11.63</f>
        <v>12.191717043104701</v>
      </c>
      <c r="Q102" s="28">
        <f>'[2]Bilan 2040 AMS'!$X$13/11.63</f>
        <v>8.0404185135153163</v>
      </c>
      <c r="R102" s="28">
        <f>('[2]Bilan 2040 AMS'!$X$22+'[2]Bilan 2040 AMS'!$X$30+SUM('[2]Bilan 2040 AMS'!$X$36:$X$40)+SUM('[2]Bilan 2040 AMS'!$X$44:$X$45)+'[2]Bilan 2040 AMS'!$X$47)/11.63</f>
        <v>1.0858470087569896</v>
      </c>
      <c r="S102" s="142">
        <f>SUM(O102:R102)</f>
        <v>21.317982565377005</v>
      </c>
      <c r="T102" s="75"/>
      <c r="U102" t="s">
        <v>18</v>
      </c>
      <c r="Z102">
        <v>0</v>
      </c>
      <c r="AA102">
        <v>25.416158330000002</v>
      </c>
      <c r="AB102">
        <v>9.7998596189999994</v>
      </c>
      <c r="AC102">
        <v>1.7490227469802</v>
      </c>
      <c r="AD102">
        <v>36.965040695980207</v>
      </c>
    </row>
    <row r="103" spans="2:30" x14ac:dyDescent="0.25">
      <c r="C103" s="148" t="s">
        <v>19</v>
      </c>
      <c r="D103" t="s">
        <v>394</v>
      </c>
      <c r="E103" t="s">
        <v>395</v>
      </c>
      <c r="F103" t="s">
        <v>396</v>
      </c>
      <c r="G103" t="s">
        <v>397</v>
      </c>
      <c r="H103" s="16">
        <f>VLOOKUP(D103,Résultats!$B$2:$AX$476,'T energie vecteurs'!U5,FALSE)</f>
        <v>0</v>
      </c>
      <c r="I103" s="16">
        <f>VLOOKUP(E103,Résultats!$B$2:$AX$476,'T energie vecteurs'!U5,FALSE)</f>
        <v>9.9108946600000003</v>
      </c>
      <c r="J103" s="16">
        <f>VLOOKUP(F103,Résultats!$B$2:$AX$476,'T energie vecteurs'!U5,FALSE)</f>
        <v>2.5321015569999998</v>
      </c>
      <c r="K103" s="16">
        <f>VLOOKUP(G103,Résultats!$B$2:$AX$476,'T energie vecteurs'!U5,FALSE)</f>
        <v>1.8128148800000001E-5</v>
      </c>
      <c r="L103" s="95">
        <f t="shared" si="25"/>
        <v>12.443014345148802</v>
      </c>
      <c r="M103" s="16"/>
      <c r="N103" s="148" t="s">
        <v>19</v>
      </c>
      <c r="O103" s="143"/>
      <c r="P103" s="16"/>
      <c r="Q103" s="34"/>
      <c r="R103" s="16"/>
      <c r="S103" s="95"/>
      <c r="T103" s="16"/>
      <c r="U103" t="s">
        <v>19</v>
      </c>
      <c r="V103" t="s">
        <v>394</v>
      </c>
      <c r="W103" t="s">
        <v>395</v>
      </c>
      <c r="X103" t="s">
        <v>396</v>
      </c>
      <c r="Y103" t="s">
        <v>397</v>
      </c>
      <c r="Z103">
        <v>0</v>
      </c>
      <c r="AA103">
        <v>10.15997909</v>
      </c>
      <c r="AB103">
        <v>2.5605391050000001</v>
      </c>
      <c r="AC103">
        <v>1.27319802E-5</v>
      </c>
      <c r="AD103">
        <v>12.720530926980201</v>
      </c>
    </row>
    <row r="104" spans="2:30" x14ac:dyDescent="0.25">
      <c r="C104" s="149" t="s">
        <v>20</v>
      </c>
      <c r="D104" t="s">
        <v>398</v>
      </c>
      <c r="E104" t="s">
        <v>399</v>
      </c>
      <c r="F104" t="s">
        <v>400</v>
      </c>
      <c r="G104" t="s">
        <v>401</v>
      </c>
      <c r="H104" s="16">
        <f>VLOOKUP(D104,Résultats!$B$2:$AX$476,'T energie vecteurs'!U5,FALSE)</f>
        <v>0</v>
      </c>
      <c r="I104" s="16">
        <f>VLOOKUP(E104,Résultats!$B$2:$AX$476,'T energie vecteurs'!U5,FALSE)</f>
        <v>12.218591350000001</v>
      </c>
      <c r="J104" s="16">
        <f>VLOOKUP(F104,Résultats!$B$2:$AX$476,'T energie vecteurs'!U5,FALSE)</f>
        <v>5.4830748910000002</v>
      </c>
      <c r="K104" s="16">
        <f>VLOOKUP(G104,Résultats!$B$2:$AX$476,'T energie vecteurs'!U5,FALSE)</f>
        <v>1.4226867110000001</v>
      </c>
      <c r="L104" s="95">
        <f t="shared" si="25"/>
        <v>19.124352952000002</v>
      </c>
      <c r="M104" s="16"/>
      <c r="N104" s="149" t="s">
        <v>20</v>
      </c>
      <c r="O104" s="143"/>
      <c r="P104" s="16"/>
      <c r="Q104" s="34"/>
      <c r="R104" s="16"/>
      <c r="S104" s="95"/>
      <c r="T104" s="16"/>
      <c r="U104" t="s">
        <v>20</v>
      </c>
      <c r="V104" t="s">
        <v>398</v>
      </c>
      <c r="W104" t="s">
        <v>399</v>
      </c>
      <c r="X104" t="s">
        <v>400</v>
      </c>
      <c r="Y104" t="s">
        <v>401</v>
      </c>
      <c r="Z104">
        <v>0</v>
      </c>
      <c r="AA104">
        <v>15.25617924</v>
      </c>
      <c r="AB104">
        <v>7.2393205140000001</v>
      </c>
      <c r="AC104">
        <v>1.7490100150000001</v>
      </c>
      <c r="AD104">
        <v>24.244509769</v>
      </c>
    </row>
    <row r="105" spans="2:30" x14ac:dyDescent="0.25">
      <c r="C105" s="147" t="s">
        <v>21</v>
      </c>
      <c r="D105" t="s">
        <v>402</v>
      </c>
      <c r="E105" t="s">
        <v>403</v>
      </c>
      <c r="F105" t="s">
        <v>404</v>
      </c>
      <c r="G105" t="s">
        <v>405</v>
      </c>
      <c r="H105" s="8">
        <f>VLOOKUP(D105,Résultats!$B$2:$AX$476,'T energie vecteurs'!U5,FALSE)</f>
        <v>0.1135922981</v>
      </c>
      <c r="I105" s="294">
        <f>VLOOKUP(E105,Résultats!$B$2:$AX$476,'T energie vecteurs'!U5,FALSE)</f>
        <v>3.3632212090000002</v>
      </c>
      <c r="J105" s="8">
        <f>VLOOKUP(F105,Résultats!$B$2:$AX$476,'T energie vecteurs'!U5,FALSE)</f>
        <v>13.527061420000001</v>
      </c>
      <c r="K105" s="8">
        <f>VLOOKUP(G105,Résultats!$B$2:$AX$476,'T energie vecteurs'!U5,FALSE)+8</f>
        <v>16.192645632000001</v>
      </c>
      <c r="L105" s="96">
        <f t="shared" si="25"/>
        <v>33.196520559100001</v>
      </c>
      <c r="M105" s="75"/>
      <c r="N105" s="150" t="s">
        <v>21</v>
      </c>
      <c r="O105" s="29">
        <f>'[2]Bilan 2040 AMS'!$V$46/11.63</f>
        <v>0</v>
      </c>
      <c r="P105" s="28">
        <f>SUM('[2]Bilan 2040 AMS'!$V$41:$V$43)/11.63</f>
        <v>6.1040227141625304E-2</v>
      </c>
      <c r="Q105" s="28">
        <f>'[2]Bilan 2040 AMS'!$V$13/11.63</f>
        <v>13.209596020840994</v>
      </c>
      <c r="R105" s="28">
        <f>('[2]Bilan 2040 AMS'!$V$22+'[2]Bilan 2040 AMS'!$V$30+SUM('[2]Bilan 2040 AMS'!$V$36:$V$40)+SUM('[2]Bilan 2040 AMS'!$V$44:$V$45)+'[2]Bilan 2040 AMS'!$V$47)/11.63</f>
        <v>17.347844556605228</v>
      </c>
      <c r="S105" s="142">
        <f t="shared" ref="S105:S111" si="26">SUM(O105:R105)</f>
        <v>30.618480804587847</v>
      </c>
      <c r="T105" s="75"/>
      <c r="U105" t="s">
        <v>21</v>
      </c>
      <c r="V105" t="s">
        <v>402</v>
      </c>
      <c r="W105" t="s">
        <v>403</v>
      </c>
      <c r="X105" t="s">
        <v>404</v>
      </c>
      <c r="Y105" t="s">
        <v>405</v>
      </c>
      <c r="Z105">
        <v>9.0486626799999997E-2</v>
      </c>
      <c r="AA105">
        <v>2.49026178</v>
      </c>
      <c r="AB105">
        <v>12.568756090000001</v>
      </c>
      <c r="AC105">
        <v>14.363298305000001</v>
      </c>
      <c r="AD105">
        <v>29.512802801799999</v>
      </c>
    </row>
    <row r="106" spans="2:30" x14ac:dyDescent="0.25">
      <c r="C106" s="147" t="s">
        <v>22</v>
      </c>
      <c r="D106" t="s">
        <v>406</v>
      </c>
      <c r="E106" t="s">
        <v>407</v>
      </c>
      <c r="F106" t="s">
        <v>408</v>
      </c>
      <c r="G106" t="s">
        <v>409</v>
      </c>
      <c r="H106" s="8">
        <f>VLOOKUP(D106,Résultats!$B$2:$AX$476,'T energie vecteurs'!U5,FALSE)</f>
        <v>0</v>
      </c>
      <c r="I106" s="8">
        <f>VLOOKUP(E106,Résultats!$B$2:$AX$476,'T energie vecteurs'!U5,FALSE)</f>
        <v>1.4972917400000001</v>
      </c>
      <c r="J106" s="8">
        <f>VLOOKUP(F106,Résultats!$B$2:$AX$476,'T energie vecteurs'!U5,FALSE)</f>
        <v>9.825046897</v>
      </c>
      <c r="K106" s="8">
        <f>VLOOKUP(G106,Résultats!$B$2:$AX$476,'T energie vecteurs'!U5,FALSE)</f>
        <v>9.7551963260000001</v>
      </c>
      <c r="L106" s="96">
        <f t="shared" si="25"/>
        <v>21.077534962999998</v>
      </c>
      <c r="M106" s="75"/>
      <c r="N106" s="150" t="s">
        <v>22</v>
      </c>
      <c r="O106" s="29">
        <f>('[2]Bilan 2040 AMS'!$W$46)/11.63</f>
        <v>0</v>
      </c>
      <c r="P106" s="28">
        <f>SUM('[2]Bilan 2040 AMS'!$W$41:$W$43)/11.63</f>
        <v>6.3880432315261901E-2</v>
      </c>
      <c r="Q106" s="28">
        <f>('[2]Bilan 2040 AMS'!$W$13)/11.63</f>
        <v>10.029414757557689</v>
      </c>
      <c r="R106" s="28">
        <f>('[2]Bilan 2040 AMS'!$W$22+'[2]Bilan 2040 AMS'!$W$30+SUM('[2]Bilan 2040 AMS'!$W$36:$W$40)+SUM('[2]Bilan 2040 AMS'!$W$44:$W$45)+'[2]Bilan 2040 AMS'!$W$47)/11.63</f>
        <v>7.8410614287588816</v>
      </c>
      <c r="S106" s="142">
        <f t="shared" si="26"/>
        <v>17.934356618631831</v>
      </c>
      <c r="T106" s="75"/>
      <c r="U106" t="s">
        <v>22</v>
      </c>
      <c r="V106" t="s">
        <v>406</v>
      </c>
      <c r="W106" t="s">
        <v>407</v>
      </c>
      <c r="X106" t="s">
        <v>408</v>
      </c>
      <c r="Y106" t="s">
        <v>409</v>
      </c>
      <c r="Z106">
        <v>0</v>
      </c>
      <c r="AA106">
        <v>1.383919806</v>
      </c>
      <c r="AB106">
        <v>6.9213017289999996</v>
      </c>
      <c r="AC106">
        <v>10.23731729</v>
      </c>
      <c r="AD106">
        <v>18.542538825000001</v>
      </c>
    </row>
    <row r="107" spans="2:30" x14ac:dyDescent="0.25">
      <c r="C107" s="147" t="s">
        <v>23</v>
      </c>
      <c r="H107" s="8">
        <f>SUM(H108:H110)</f>
        <v>2.0590588953999998</v>
      </c>
      <c r="I107" s="8">
        <f>SUM(I108:I110)</f>
        <v>11.229108630999999</v>
      </c>
      <c r="J107" s="8">
        <f>SUM(J108:J110)</f>
        <v>19.649771154899998</v>
      </c>
      <c r="K107" s="8">
        <f>SUM(K108:K110)</f>
        <v>8.6759651535000017</v>
      </c>
      <c r="L107" s="96">
        <f t="shared" si="25"/>
        <v>41.613903834799999</v>
      </c>
      <c r="M107" s="75"/>
      <c r="N107" s="150" t="s">
        <v>490</v>
      </c>
      <c r="O107" s="29">
        <f>O108+O109</f>
        <v>1.1470880379308943</v>
      </c>
      <c r="P107" s="28">
        <f t="shared" ref="P107:R107" si="27">P108+P109</f>
        <v>10.34609820525753</v>
      </c>
      <c r="Q107" s="28">
        <f t="shared" si="27"/>
        <v>15.232489488749787</v>
      </c>
      <c r="R107" s="28">
        <f t="shared" si="27"/>
        <v>16.48108085677471</v>
      </c>
      <c r="S107" s="142">
        <f t="shared" si="26"/>
        <v>43.206756588712921</v>
      </c>
      <c r="T107" s="75"/>
      <c r="U107" t="s">
        <v>23</v>
      </c>
      <c r="Z107">
        <v>3.5503257279999998</v>
      </c>
      <c r="AA107">
        <v>16.617574579999999</v>
      </c>
      <c r="AB107">
        <v>20.0622917894</v>
      </c>
      <c r="AC107">
        <v>10.678315168299999</v>
      </c>
      <c r="AD107">
        <v>50.908507265699996</v>
      </c>
    </row>
    <row r="108" spans="2:30" x14ac:dyDescent="0.25">
      <c r="C108" s="149" t="s">
        <v>24</v>
      </c>
      <c r="D108" t="s">
        <v>410</v>
      </c>
      <c r="E108" t="s">
        <v>411</v>
      </c>
      <c r="F108" t="s">
        <v>412</v>
      </c>
      <c r="G108" t="s">
        <v>413</v>
      </c>
      <c r="H108" s="16">
        <f>VLOOKUP(D108,Résultats!$B$2:$AX$476,'T energie vecteurs'!U5,FALSE)</f>
        <v>1.120520438</v>
      </c>
      <c r="I108" s="16">
        <f>VLOOKUP(E108,Résultats!$B$2:$AX$476,'T energie vecteurs'!U5,FALSE)</f>
        <v>5.7232903559999997</v>
      </c>
      <c r="J108" s="16">
        <f>VLOOKUP(F108,Résultats!$B$2:$AX$476,'T energie vecteurs'!U5,FALSE)</f>
        <v>19.252524439999998</v>
      </c>
      <c r="K108" s="16">
        <f>VLOOKUP(G108,Résultats!$B$2:$AX$476,'T energie vecteurs'!U5,FALSE)</f>
        <v>6.1196056820000004</v>
      </c>
      <c r="L108" s="95">
        <f t="shared" si="25"/>
        <v>32.215940916000001</v>
      </c>
      <c r="M108" s="16"/>
      <c r="N108" s="149" t="s">
        <v>491</v>
      </c>
      <c r="O108" s="143">
        <f>'[2]Bilan 2040 AMS'!$U$46/11.63</f>
        <v>0.23928972873592452</v>
      </c>
      <c r="P108" s="30">
        <f>SUM('[2]Bilan 2040 AMS'!$U$41:$U$43)/11.63</f>
        <v>0.69055770755550139</v>
      </c>
      <c r="Q108" s="30">
        <f>'[2]Bilan 2040 AMS'!$U$13/11.63</f>
        <v>15.232489488749787</v>
      </c>
      <c r="R108" s="30">
        <f>('[2]Bilan 2040 AMS'!$U$22+'[2]Bilan 2040 AMS'!$U$30+SUM('[2]Bilan 2040 AMS'!$U$36:$U$40)+SUM('[2]Bilan 2040 AMS'!$U$44:$U$45)+'[2]Bilan 2040 AMS'!$U$47)/11.63</f>
        <v>12.396061534712597</v>
      </c>
      <c r="S108" s="95">
        <f t="shared" si="26"/>
        <v>28.558398459753811</v>
      </c>
      <c r="T108" s="16"/>
      <c r="U108" t="s">
        <v>24</v>
      </c>
      <c r="V108" t="s">
        <v>410</v>
      </c>
      <c r="W108" t="s">
        <v>411</v>
      </c>
      <c r="X108" t="s">
        <v>412</v>
      </c>
      <c r="Y108" t="s">
        <v>413</v>
      </c>
      <c r="Z108">
        <v>2.394745173</v>
      </c>
      <c r="AA108">
        <v>10.52859273</v>
      </c>
      <c r="AB108">
        <v>19.626222469999998</v>
      </c>
      <c r="AC108">
        <v>7.5493194709999996</v>
      </c>
      <c r="AD108">
        <v>40.098879843999995</v>
      </c>
    </row>
    <row r="109" spans="2:30" x14ac:dyDescent="0.25">
      <c r="C109" s="149" t="s">
        <v>47</v>
      </c>
      <c r="D109" t="s">
        <v>414</v>
      </c>
      <c r="E109" t="s">
        <v>415</v>
      </c>
      <c r="F109" t="s">
        <v>416</v>
      </c>
      <c r="G109" t="s">
        <v>417</v>
      </c>
      <c r="H109" s="16">
        <f>VLOOKUP(D109,Résultats!$B$2:$AX$476,'T energie vecteurs'!U5,FALSE)</f>
        <v>0.93853845739999997</v>
      </c>
      <c r="I109" s="16">
        <f>VLOOKUP(E109,Résultats!$B$2:$AX$476,'T energie vecteurs'!U5,FALSE)</f>
        <v>2.353577461</v>
      </c>
      <c r="J109" s="16">
        <f>VLOOKUP(F109,Résultats!$B$2:$AX$476,'T energie vecteurs'!U5,FALSE)</f>
        <v>0</v>
      </c>
      <c r="K109" s="16">
        <f>VLOOKUP(G109,Résultats!$B$2:$AX$476,'T energie vecteurs'!U5,FALSE)</f>
        <v>2.1481181440000001</v>
      </c>
      <c r="L109" s="95">
        <f t="shared" si="25"/>
        <v>5.4402340624000001</v>
      </c>
      <c r="M109" s="16"/>
      <c r="N109" s="149" t="s">
        <v>47</v>
      </c>
      <c r="O109" s="22">
        <f>'[2]Bilan 2040 AMS'!$E$52/11.63</f>
        <v>0.90779830919496984</v>
      </c>
      <c r="P109" s="16">
        <f>('[2]Bilan 2040 AMS'!$E$54+'[2]Bilan 2040 AMS'!$E$56)/11.63</f>
        <v>9.6555404977020274</v>
      </c>
      <c r="Q109" s="16">
        <v>0</v>
      </c>
      <c r="R109" s="16">
        <f>('[2]Bilan 2040 AMS'!$E$53+'[2]Bilan 2040 AMS'!$E$55+'[2]Bilan 2040 AMS'!$E$57)/11.63</f>
        <v>4.0850193220621129</v>
      </c>
      <c r="S109" s="95">
        <f t="shared" si="26"/>
        <v>14.64835812895911</v>
      </c>
      <c r="T109" s="16"/>
      <c r="U109" t="s">
        <v>47</v>
      </c>
      <c r="V109" t="s">
        <v>414</v>
      </c>
      <c r="W109" t="s">
        <v>415</v>
      </c>
      <c r="X109" t="s">
        <v>416</v>
      </c>
      <c r="Y109" t="s">
        <v>417</v>
      </c>
      <c r="Z109">
        <v>1.155580555</v>
      </c>
      <c r="AA109">
        <v>3.01006961</v>
      </c>
      <c r="AB109">
        <v>0</v>
      </c>
      <c r="AC109">
        <v>2.7402200630000002</v>
      </c>
      <c r="AD109">
        <v>6.9058702279999995</v>
      </c>
    </row>
    <row r="110" spans="2:30" x14ac:dyDescent="0.25">
      <c r="C110" s="149" t="s">
        <v>25</v>
      </c>
      <c r="D110" t="s">
        <v>418</v>
      </c>
      <c r="E110" t="s">
        <v>419</v>
      </c>
      <c r="F110" t="s">
        <v>420</v>
      </c>
      <c r="G110" t="s">
        <v>421</v>
      </c>
      <c r="H110" s="16">
        <f>VLOOKUP(D110,Résultats!$B$2:$AX$476,'T energie vecteurs'!U5,FALSE)</f>
        <v>0</v>
      </c>
      <c r="I110" s="16">
        <f>VLOOKUP(E110,Résultats!$B$2:$AX$476,'T energie vecteurs'!U5,FALSE)</f>
        <v>3.1522408139999998</v>
      </c>
      <c r="J110" s="16">
        <f>VLOOKUP(F110,Résultats!$B$2:$AX$476,'T energie vecteurs'!U5,FALSE)</f>
        <v>0.39724671490000002</v>
      </c>
      <c r="K110" s="16">
        <f>VLOOKUP(G110,Résultats!$B$2:$AX$476,'T energie vecteurs'!U5,FALSE)</f>
        <v>0.40824132749999997</v>
      </c>
      <c r="L110" s="95">
        <f t="shared" si="25"/>
        <v>3.9577288563999997</v>
      </c>
      <c r="M110" s="16"/>
      <c r="N110" s="150" t="s">
        <v>25</v>
      </c>
      <c r="O110" s="29">
        <f>'[2]Bilan 2040 AMS'!$T$46/11.63</f>
        <v>0</v>
      </c>
      <c r="P110" s="28">
        <f>SUM('[2]Bilan 2040 AMS'!$T$41:$T$43)/11.63</f>
        <v>2.2837204781323637</v>
      </c>
      <c r="Q110" s="28">
        <f>'[2]Bilan 2040 AMS'!$T$13/11.63</f>
        <v>0.59286024248158409</v>
      </c>
      <c r="R110" s="28">
        <f>('[2]Bilan 2040 AMS'!$T$22+'[2]Bilan 2040 AMS'!$T$30+SUM('[2]Bilan 2040 AMS'!$T$36:$T$40)+SUM('[2]Bilan 2040 AMS'!$T$44:$T$45)+'[2]Bilan 2040 AMS'!$T$47)/11.63</f>
        <v>0.65579878825779125</v>
      </c>
      <c r="S110" s="142">
        <f t="shared" si="26"/>
        <v>3.5323795088717391</v>
      </c>
      <c r="T110" s="16"/>
      <c r="U110" t="s">
        <v>25</v>
      </c>
      <c r="V110" t="s">
        <v>418</v>
      </c>
      <c r="W110" t="s">
        <v>419</v>
      </c>
      <c r="X110" t="s">
        <v>420</v>
      </c>
      <c r="Y110" t="s">
        <v>421</v>
      </c>
      <c r="Z110">
        <v>0</v>
      </c>
      <c r="AA110">
        <v>3.0789122400000002</v>
      </c>
      <c r="AB110">
        <v>0.43606931939999999</v>
      </c>
      <c r="AC110">
        <v>0.38877563430000001</v>
      </c>
      <c r="AD110">
        <v>3.9037571937000002</v>
      </c>
    </row>
    <row r="111" spans="2:30" x14ac:dyDescent="0.25">
      <c r="C111" s="23" t="s">
        <v>26</v>
      </c>
      <c r="D111" s="10"/>
      <c r="E111" s="10"/>
      <c r="F111" s="10"/>
      <c r="G111" s="10"/>
      <c r="H111" s="9">
        <f>SUM(H102,H105:H107)</f>
        <v>2.1726511934999997</v>
      </c>
      <c r="I111" s="9">
        <f>SUM(I102,I105:I107)</f>
        <v>38.21910759</v>
      </c>
      <c r="J111" s="9">
        <f>SUM(J102,J105:J107)</f>
        <v>51.017055919900002</v>
      </c>
      <c r="K111" s="9">
        <f>SUM(K102,K105:K107)</f>
        <v>36.046511950648807</v>
      </c>
      <c r="L111" s="98">
        <f t="shared" si="25"/>
        <v>127.4553266540488</v>
      </c>
      <c r="M111" s="79"/>
      <c r="N111" s="151" t="s">
        <v>26</v>
      </c>
      <c r="O111" s="32">
        <f>O102+O105+O106+O107+O110</f>
        <v>1.1470880379308943</v>
      </c>
      <c r="P111" s="31">
        <f>P102+P105+P106+P107+P110</f>
        <v>24.946456385951482</v>
      </c>
      <c r="Q111" s="31">
        <f>Q102+Q105+Q106+Q107+Q110</f>
        <v>47.104779023145369</v>
      </c>
      <c r="R111" s="31">
        <f>R102+R105+R106+R107+R110</f>
        <v>43.411632639153602</v>
      </c>
      <c r="S111" s="144">
        <f t="shared" si="26"/>
        <v>116.60995608618134</v>
      </c>
      <c r="T111" s="79"/>
      <c r="U111" t="s">
        <v>26</v>
      </c>
      <c r="Z111">
        <v>3.6408123548</v>
      </c>
      <c r="AA111">
        <v>45.907914496000004</v>
      </c>
      <c r="AB111">
        <v>49.352209227399996</v>
      </c>
      <c r="AC111">
        <v>37.027953510280199</v>
      </c>
      <c r="AD111">
        <v>135.92888958848022</v>
      </c>
    </row>
    <row r="112" spans="2:30" s="3" customFormat="1" x14ac:dyDescent="0.25"/>
    <row r="113" spans="3:30" s="3" customFormat="1" x14ac:dyDescent="0.25"/>
    <row r="114" spans="3:30" ht="31.5" x14ac:dyDescent="0.35">
      <c r="C114" s="145">
        <v>2050</v>
      </c>
      <c r="D114" s="146"/>
      <c r="E114" s="146"/>
      <c r="F114" s="146"/>
      <c r="G114" s="146"/>
      <c r="H114" s="76" t="s">
        <v>36</v>
      </c>
      <c r="I114" s="76" t="s">
        <v>49</v>
      </c>
      <c r="J114" s="76" t="s">
        <v>38</v>
      </c>
      <c r="K114" s="76" t="s">
        <v>48</v>
      </c>
      <c r="L114" s="93" t="s">
        <v>1</v>
      </c>
      <c r="M114" s="19"/>
      <c r="N114" s="145">
        <v>2050</v>
      </c>
      <c r="O114" s="141" t="s">
        <v>36</v>
      </c>
      <c r="P114" s="76" t="s">
        <v>49</v>
      </c>
      <c r="Q114" s="76" t="s">
        <v>38</v>
      </c>
      <c r="R114" s="76" t="s">
        <v>48</v>
      </c>
      <c r="S114" s="93" t="s">
        <v>1</v>
      </c>
      <c r="T114" s="19"/>
      <c r="U114" s="145">
        <v>2050</v>
      </c>
      <c r="V114" s="146"/>
      <c r="W114" s="146"/>
      <c r="X114" s="146"/>
      <c r="Y114" s="146"/>
      <c r="Z114" s="76" t="s">
        <v>36</v>
      </c>
      <c r="AA114" s="76" t="s">
        <v>49</v>
      </c>
      <c r="AB114" s="76" t="s">
        <v>38</v>
      </c>
      <c r="AC114" s="76" t="s">
        <v>48</v>
      </c>
      <c r="AD114" s="93" t="s">
        <v>1</v>
      </c>
    </row>
    <row r="115" spans="3:30" x14ac:dyDescent="0.25">
      <c r="C115" s="147" t="s">
        <v>18</v>
      </c>
      <c r="H115" s="8">
        <f>SUM(H116:H117)</f>
        <v>0</v>
      </c>
      <c r="I115" s="8">
        <f>SUM(I116:I117)</f>
        <v>14.394151648000001</v>
      </c>
      <c r="J115" s="8">
        <f>SUM(J116:J117)</f>
        <v>11.135139430000001</v>
      </c>
      <c r="K115" s="8">
        <f>SUM(K116:K117)</f>
        <v>2.0355698674092499</v>
      </c>
      <c r="L115" s="96">
        <f t="shared" ref="L115:L124" si="28">SUM(H115:K115)</f>
        <v>27.564860945409251</v>
      </c>
      <c r="M115" s="75"/>
      <c r="N115" s="150" t="s">
        <v>18</v>
      </c>
      <c r="O115" s="29">
        <f>'[2]Bilan 2050 AMS'!$X$46/11.63</f>
        <v>0</v>
      </c>
      <c r="P115" s="28">
        <f>SUM('[2]Bilan 2050 AMS'!$X$41:$X$43)/11.63</f>
        <v>2.2926536581471288</v>
      </c>
      <c r="Q115" s="28">
        <f>'[2]Bilan 2050 AMS'!$X$13/11.63</f>
        <v>10.137971706805169</v>
      </c>
      <c r="R115" s="28">
        <f>('[2]Bilan 2050 AMS'!$X$22+'[2]Bilan 2050 AMS'!$X$30+SUM('[2]Bilan 2050 AMS'!$X$36:$X$40)+SUM('[2]Bilan 2050 AMS'!$X$44:$X$45)+'[2]Bilan 2050 AMS'!$X$47)/11.63</f>
        <v>1.2737279691923438</v>
      </c>
      <c r="S115" s="142">
        <f>SUM(O115:R115)</f>
        <v>13.704353334144642</v>
      </c>
      <c r="T115" s="270"/>
      <c r="U115" s="147" t="s">
        <v>18</v>
      </c>
      <c r="Z115" s="8">
        <v>0</v>
      </c>
      <c r="AA115" s="8">
        <v>17.669873929000001</v>
      </c>
      <c r="AB115" s="8">
        <v>14.105114822999999</v>
      </c>
      <c r="AC115" s="8">
        <v>2.6370006204413698</v>
      </c>
      <c r="AD115" s="96">
        <v>34.411989372441369</v>
      </c>
    </row>
    <row r="116" spans="3:30" x14ac:dyDescent="0.25">
      <c r="C116" s="148" t="s">
        <v>19</v>
      </c>
      <c r="D116" t="s">
        <v>394</v>
      </c>
      <c r="E116" t="s">
        <v>395</v>
      </c>
      <c r="F116" t="s">
        <v>396</v>
      </c>
      <c r="G116" t="s">
        <v>397</v>
      </c>
      <c r="H116" s="16">
        <f>VLOOKUP(D116,Résultats!$B$2:$AX$476,'T energie vecteurs'!W5,FALSE)</f>
        <v>0</v>
      </c>
      <c r="I116" s="16">
        <f>VLOOKUP(E116,Résultats!$B$2:$AX$476,'T energie vecteurs'!W5,FALSE)</f>
        <v>5.0610911850000004</v>
      </c>
      <c r="J116" s="16">
        <f>VLOOKUP(F116,Résultats!$B$2:$AX$476,'T energie vecteurs'!W5,FALSE)</f>
        <v>3.4076294260000002</v>
      </c>
      <c r="K116" s="16">
        <f>VLOOKUP(G116,Résultats!$B$2:$AX$476,'T energie vecteurs'!W5,FALSE)</f>
        <v>9.2594092500000001E-6</v>
      </c>
      <c r="L116" s="95">
        <f>SUM(H116:K116)</f>
        <v>8.4687298704092502</v>
      </c>
      <c r="M116" s="16"/>
      <c r="N116" s="148" t="s">
        <v>19</v>
      </c>
      <c r="O116" s="143"/>
      <c r="P116" s="16"/>
      <c r="Q116" s="34"/>
      <c r="R116" s="16"/>
      <c r="S116" s="95"/>
      <c r="T116" s="270"/>
      <c r="U116" s="148" t="s">
        <v>19</v>
      </c>
      <c r="V116" t="s">
        <v>394</v>
      </c>
      <c r="W116" t="s">
        <v>395</v>
      </c>
      <c r="X116" t="s">
        <v>396</v>
      </c>
      <c r="Y116" t="s">
        <v>397</v>
      </c>
      <c r="Z116" s="16">
        <v>0</v>
      </c>
      <c r="AA116" s="16">
        <v>5.1883108489999996</v>
      </c>
      <c r="AB116" s="16">
        <v>3.441340383</v>
      </c>
      <c r="AC116" s="16">
        <v>6.5034413700000002E-6</v>
      </c>
      <c r="AD116" s="95">
        <v>8.6296577354413699</v>
      </c>
    </row>
    <row r="117" spans="3:30" x14ac:dyDescent="0.25">
      <c r="C117" s="149" t="s">
        <v>20</v>
      </c>
      <c r="D117" t="s">
        <v>398</v>
      </c>
      <c r="E117" t="s">
        <v>399</v>
      </c>
      <c r="F117" t="s">
        <v>400</v>
      </c>
      <c r="G117" t="s">
        <v>401</v>
      </c>
      <c r="H117" s="16">
        <f>VLOOKUP(D117,Résultats!$B$2:$AX$476,'T energie vecteurs'!W5,FALSE)</f>
        <v>0</v>
      </c>
      <c r="I117" s="34">
        <f>VLOOKUP(E117,Résultats!$B$2:$AX$476,'T energie vecteurs'!W5,FALSE)</f>
        <v>9.3330604630000007</v>
      </c>
      <c r="J117" s="16">
        <f>VLOOKUP(F117,Résultats!$B$2:$AX$476,'T energie vecteurs'!W5,FALSE)</f>
        <v>7.727510004</v>
      </c>
      <c r="K117" s="16">
        <f>VLOOKUP(G117,Résultats!$B$2:$AX$476,'T energie vecteurs'!W5,FALSE)</f>
        <v>2.0355606079999999</v>
      </c>
      <c r="L117" s="95">
        <f>SUM(H117:K117)</f>
        <v>19.096131075000002</v>
      </c>
      <c r="M117" s="16"/>
      <c r="N117" s="149" t="s">
        <v>20</v>
      </c>
      <c r="O117" s="143"/>
      <c r="P117" s="16"/>
      <c r="Q117" s="34"/>
      <c r="R117" s="16"/>
      <c r="S117" s="95"/>
      <c r="T117" s="270"/>
      <c r="U117" s="149" t="s">
        <v>20</v>
      </c>
      <c r="V117" t="s">
        <v>398</v>
      </c>
      <c r="W117" t="s">
        <v>399</v>
      </c>
      <c r="X117" t="s">
        <v>400</v>
      </c>
      <c r="Y117" t="s">
        <v>401</v>
      </c>
      <c r="Z117" s="16">
        <v>0</v>
      </c>
      <c r="AA117" s="34">
        <v>12.481563080000001</v>
      </c>
      <c r="AB117" s="16">
        <v>10.663774439999999</v>
      </c>
      <c r="AC117" s="16">
        <v>2.636994117</v>
      </c>
      <c r="AD117" s="95">
        <v>25.782331636999999</v>
      </c>
    </row>
    <row r="118" spans="3:30" x14ac:dyDescent="0.25">
      <c r="C118" s="147" t="s">
        <v>21</v>
      </c>
      <c r="D118" t="s">
        <v>402</v>
      </c>
      <c r="E118" t="s">
        <v>403</v>
      </c>
      <c r="F118" t="s">
        <v>404</v>
      </c>
      <c r="G118" t="s">
        <v>405</v>
      </c>
      <c r="H118" s="8">
        <f>VLOOKUP(D118,Résultats!$B$2:$AX$476,'T energie vecteurs'!W5,FALSE)</f>
        <v>8.0518409400000004E-2</v>
      </c>
      <c r="I118" s="8">
        <f>VLOOKUP(E118,Résultats!$B$2:$AX$476,'T energie vecteurs'!W5,FALSE)</f>
        <v>2.50234836</v>
      </c>
      <c r="J118" s="8">
        <f>VLOOKUP(F118,Résultats!$B$2:$AX$476,'T energie vecteurs'!W5,FALSE)</f>
        <v>12.55008202</v>
      </c>
      <c r="K118" s="8">
        <f>VLOOKUP(G118,Résultats!$B$2:$AX$476,'T energie vecteurs'!W5,FALSE)+8</f>
        <v>14.429127153</v>
      </c>
      <c r="L118" s="96">
        <f t="shared" si="28"/>
        <v>29.5620759424</v>
      </c>
      <c r="M118" s="75"/>
      <c r="N118" s="150" t="s">
        <v>21</v>
      </c>
      <c r="O118" s="29">
        <f>'[2]Bilan 2050 AMS'!$V$46/11.63</f>
        <v>0</v>
      </c>
      <c r="P118" s="28">
        <f>SUM('[2]Bilan 2050 AMS'!$V$41:$V$43)/11.63</f>
        <v>3.0621684968348089E-2</v>
      </c>
      <c r="Q118" s="28">
        <f>'[2]Bilan 2050 AMS'!$V$13/11.63</f>
        <v>11.491747360902071</v>
      </c>
      <c r="R118" s="28">
        <f>('[2]Bilan 2050 AMS'!$V$22+'[2]Bilan 2050 AMS'!$V$30+SUM('[2]Bilan 2050 AMS'!$V$36:$V$40)+SUM('[2]Bilan 2050 AMS'!$V$44:$V$45)+'[2]Bilan 2050 AMS'!$V$47)/11.63</f>
        <v>15.333196306176815</v>
      </c>
      <c r="S118" s="142">
        <f t="shared" ref="S118:S124" si="29">SUM(O118:R118)</f>
        <v>26.855565352047236</v>
      </c>
      <c r="T118" s="270"/>
      <c r="U118" s="147" t="s">
        <v>21</v>
      </c>
      <c r="V118" t="s">
        <v>402</v>
      </c>
      <c r="W118" t="s">
        <v>403</v>
      </c>
      <c r="X118" t="s">
        <v>404</v>
      </c>
      <c r="Y118" t="s">
        <v>405</v>
      </c>
      <c r="Z118" s="8">
        <v>5.6021565299999999E-2</v>
      </c>
      <c r="AA118" s="8">
        <v>1.5078185630000001</v>
      </c>
      <c r="AB118" s="8">
        <v>11.0807482</v>
      </c>
      <c r="AC118" s="8">
        <v>12.250272600999999</v>
      </c>
      <c r="AD118" s="96">
        <v>24.894860929300002</v>
      </c>
    </row>
    <row r="119" spans="3:30" x14ac:dyDescent="0.25">
      <c r="C119" s="147" t="s">
        <v>22</v>
      </c>
      <c r="D119" t="s">
        <v>406</v>
      </c>
      <c r="E119" t="s">
        <v>407</v>
      </c>
      <c r="F119" t="s">
        <v>408</v>
      </c>
      <c r="G119" t="s">
        <v>409</v>
      </c>
      <c r="H119" s="8">
        <f>VLOOKUP(D119,Résultats!$B$2:$AX$476,'T energie vecteurs'!W5,FALSE)</f>
        <v>0</v>
      </c>
      <c r="I119" s="8">
        <f>VLOOKUP(E119,Résultats!$B$2:$AX$476,'T energie vecteurs'!W5,FALSE)</f>
        <v>1.450348081</v>
      </c>
      <c r="J119" s="8">
        <f>VLOOKUP(F119,Résultats!$B$2:$AX$476,'T energie vecteurs'!W5,FALSE)</f>
        <v>9.1683517349999999</v>
      </c>
      <c r="K119" s="8">
        <f>VLOOKUP(G119,Résultats!$B$2:$AX$476,'T energie vecteurs'!W5,FALSE)</f>
        <v>7.7454102730000001</v>
      </c>
      <c r="L119" s="96">
        <f t="shared" si="28"/>
        <v>18.364110089</v>
      </c>
      <c r="M119" s="75"/>
      <c r="N119" s="150" t="s">
        <v>22</v>
      </c>
      <c r="O119" s="29">
        <f>('[2]Bilan 2050 AMS'!$W$46)/11.63</f>
        <v>0</v>
      </c>
      <c r="P119" s="28">
        <f>SUM('[2]Bilan 2050 AMS'!$W$41:$W$43)/11.63</f>
        <v>5.6625066314646942E-3</v>
      </c>
      <c r="Q119" s="28">
        <f>('[2]Bilan 2050 AMS'!$W$13)/11.63</f>
        <v>9.5724519323725303</v>
      </c>
      <c r="R119" s="28">
        <f>('[2]Bilan 2050 AMS'!$W$22+'[2]Bilan 2050 AMS'!$W$30+SUM('[2]Bilan 2050 AMS'!$W$36:$W$40)+SUM('[2]Bilan 2050 AMS'!$W$44:$W$45)+'[2]Bilan 2050 AMS'!$W$47)/11.63</f>
        <v>6.9289112574602063</v>
      </c>
      <c r="S119" s="142">
        <f t="shared" si="29"/>
        <v>16.507025696464201</v>
      </c>
      <c r="T119" s="270"/>
      <c r="U119" s="147" t="s">
        <v>22</v>
      </c>
      <c r="V119" t="s">
        <v>406</v>
      </c>
      <c r="W119" t="s">
        <v>407</v>
      </c>
      <c r="X119" t="s">
        <v>408</v>
      </c>
      <c r="Y119" t="s">
        <v>409</v>
      </c>
      <c r="Z119" s="8">
        <v>0</v>
      </c>
      <c r="AA119" s="8">
        <v>1.400973714</v>
      </c>
      <c r="AB119" s="8">
        <v>5.4335100299999999</v>
      </c>
      <c r="AC119" s="8">
        <v>9.1016079229999995</v>
      </c>
      <c r="AD119" s="96">
        <v>15.936091666999999</v>
      </c>
    </row>
    <row r="120" spans="3:30" x14ac:dyDescent="0.25">
      <c r="C120" s="147" t="s">
        <v>23</v>
      </c>
      <c r="H120" s="8">
        <f>SUM(H121:H123)</f>
        <v>2.2089363090000003</v>
      </c>
      <c r="I120" s="8">
        <f>SUM(I121:I123)</f>
        <v>13.431193507</v>
      </c>
      <c r="J120" s="8">
        <f>SUM(J121:J123)</f>
        <v>22.014483610599999</v>
      </c>
      <c r="K120" s="8">
        <f>SUM(K121:K123)</f>
        <v>10.3490531107</v>
      </c>
      <c r="L120" s="96">
        <f>SUM(H120:K120)</f>
        <v>48.003666537299999</v>
      </c>
      <c r="M120" s="75"/>
      <c r="N120" s="150" t="s">
        <v>490</v>
      </c>
      <c r="O120" s="29">
        <f>O121+O122</f>
        <v>5.5141288986823259E-2</v>
      </c>
      <c r="P120" s="28">
        <f t="shared" ref="P120:R120" si="30">P121+P122</f>
        <v>8.659475909889423</v>
      </c>
      <c r="Q120" s="28">
        <f t="shared" si="30"/>
        <v>18.376980061860618</v>
      </c>
      <c r="R120" s="28">
        <f t="shared" si="30"/>
        <v>18.495508139104587</v>
      </c>
      <c r="S120" s="142">
        <f t="shared" si="29"/>
        <v>45.587105399841448</v>
      </c>
      <c r="T120" s="270"/>
      <c r="U120" s="147" t="s">
        <v>23</v>
      </c>
      <c r="Z120" s="8">
        <v>4.2305206480000006</v>
      </c>
      <c r="AA120" s="8">
        <v>19.795656405000003</v>
      </c>
      <c r="AB120" s="8">
        <v>24.574041262200002</v>
      </c>
      <c r="AC120" s="8">
        <v>12.94662080449999</v>
      </c>
      <c r="AD120" s="96">
        <v>61.546839119699996</v>
      </c>
    </row>
    <row r="121" spans="3:30" x14ac:dyDescent="0.25">
      <c r="C121" s="149" t="s">
        <v>24</v>
      </c>
      <c r="D121" t="s">
        <v>410</v>
      </c>
      <c r="E121" t="s">
        <v>411</v>
      </c>
      <c r="F121" t="s">
        <v>412</v>
      </c>
      <c r="G121" t="s">
        <v>413</v>
      </c>
      <c r="H121" s="16">
        <f>VLOOKUP(D121,Résultats!$B$2:$AX$476,'T energie vecteurs'!W5,FALSE)</f>
        <v>1.2231599310000001</v>
      </c>
      <c r="I121" s="16">
        <f>VLOOKUP(E121,Résultats!$B$2:$AX$476,'T energie vecteurs'!W5,FALSE)</f>
        <v>7.0515600210000002</v>
      </c>
      <c r="J121" s="16">
        <f>VLOOKUP(F121,Résultats!$B$2:$AX$476,'T energie vecteurs'!W5,FALSE)</f>
        <v>21.54432516</v>
      </c>
      <c r="K121" s="16">
        <f>VLOOKUP(G121,Résultats!$B$2:$AX$476,'T energie vecteurs'!W5,FALSE)</f>
        <v>7.426871845</v>
      </c>
      <c r="L121" s="95">
        <f t="shared" si="28"/>
        <v>37.245916956999999</v>
      </c>
      <c r="M121" s="16"/>
      <c r="N121" s="149" t="s">
        <v>491</v>
      </c>
      <c r="O121" s="143">
        <f>'[2]Bilan 2050 AMS'!$U$46/11.63</f>
        <v>5.5141288986823259E-2</v>
      </c>
      <c r="P121" s="30">
        <f>SUM('[2]Bilan 2050 AMS'!$U$41:$U$43)/11.63</f>
        <v>0.24326850906629924</v>
      </c>
      <c r="Q121" s="30">
        <f>'[2]Bilan 2050 AMS'!$U$13/11.63</f>
        <v>18.376980061860618</v>
      </c>
      <c r="R121" s="30">
        <f>('[2]Bilan 2050 AMS'!$U$22+'[2]Bilan 2050 AMS'!$U$30+SUM('[2]Bilan 2050 AMS'!$U$36:$U$40)+SUM('[2]Bilan 2050 AMS'!$U$44:$U$45)+'[2]Bilan 2050 AMS'!$U$47)/11.63</f>
        <v>11.543053292700122</v>
      </c>
      <c r="S121" s="95">
        <f t="shared" si="29"/>
        <v>30.218443152613862</v>
      </c>
      <c r="T121" s="270"/>
      <c r="U121" s="149" t="s">
        <v>24</v>
      </c>
      <c r="V121" t="s">
        <v>410</v>
      </c>
      <c r="W121" t="s">
        <v>411</v>
      </c>
      <c r="X121" t="s">
        <v>412</v>
      </c>
      <c r="Y121" t="s">
        <v>413</v>
      </c>
      <c r="Z121" s="16">
        <v>2.8638575990000001</v>
      </c>
      <c r="AA121" s="16">
        <v>12.656246680000001</v>
      </c>
      <c r="AB121" s="16">
        <v>24.01525599</v>
      </c>
      <c r="AC121" s="16">
        <v>9.2090445639999903</v>
      </c>
      <c r="AD121" s="95">
        <v>48.74440483299999</v>
      </c>
    </row>
    <row r="122" spans="3:30" x14ac:dyDescent="0.25">
      <c r="C122" s="149" t="s">
        <v>47</v>
      </c>
      <c r="D122" t="s">
        <v>414</v>
      </c>
      <c r="E122" t="s">
        <v>415</v>
      </c>
      <c r="F122" t="s">
        <v>416</v>
      </c>
      <c r="G122" t="s">
        <v>417</v>
      </c>
      <c r="H122" s="16">
        <f>VLOOKUP(D122,Résultats!$B$2:$AX$476,'T energie vecteurs'!W5,FALSE)</f>
        <v>0.98577637799999995</v>
      </c>
      <c r="I122" s="16">
        <f>VLOOKUP(E122,Résultats!$B$2:$AX$476,'T energie vecteurs'!W5,FALSE)</f>
        <v>2.7021361229999998</v>
      </c>
      <c r="J122" s="16">
        <f>VLOOKUP(F122,Résultats!$B$2:$AX$476,'T energie vecteurs'!W5,FALSE)</f>
        <v>0</v>
      </c>
      <c r="K122" s="16">
        <f>VLOOKUP(G122,Résultats!$B$2:$AX$476,'T energie vecteurs'!W5,FALSE)</f>
        <v>2.457849269</v>
      </c>
      <c r="L122" s="95">
        <f t="shared" si="28"/>
        <v>6.14576177</v>
      </c>
      <c r="M122" s="16"/>
      <c r="N122" s="149" t="s">
        <v>47</v>
      </c>
      <c r="O122" s="22">
        <f>'[2]Bilan 2050 AMS'!$E$52/11.63</f>
        <v>0</v>
      </c>
      <c r="P122" s="16">
        <f>('[2]Bilan 2050 AMS'!$E$54+'[2]Bilan 2050 AMS'!$E$56)/11.63</f>
        <v>8.416207400823124</v>
      </c>
      <c r="Q122" s="16">
        <v>0</v>
      </c>
      <c r="R122" s="16">
        <f>('[2]Bilan 2050 AMS'!$E$53+'[2]Bilan 2050 AMS'!$E$55+'[2]Bilan 2050 AMS'!$E$57)/11.63</f>
        <v>6.9524548464044633</v>
      </c>
      <c r="S122" s="95">
        <f t="shared" si="29"/>
        <v>15.368662247227586</v>
      </c>
      <c r="T122" s="270"/>
      <c r="U122" s="149" t="s">
        <v>47</v>
      </c>
      <c r="V122" t="s">
        <v>414</v>
      </c>
      <c r="W122" t="s">
        <v>415</v>
      </c>
      <c r="X122" t="s">
        <v>416</v>
      </c>
      <c r="Y122" t="s">
        <v>417</v>
      </c>
      <c r="Z122" s="16">
        <v>1.366663049</v>
      </c>
      <c r="AA122" s="16">
        <v>3.610862365</v>
      </c>
      <c r="AB122" s="16">
        <v>0</v>
      </c>
      <c r="AC122" s="16">
        <v>3.2847787980000001</v>
      </c>
      <c r="AD122" s="95">
        <v>8.2623042120000001</v>
      </c>
    </row>
    <row r="123" spans="3:30" x14ac:dyDescent="0.25">
      <c r="C123" s="149" t="s">
        <v>25</v>
      </c>
      <c r="D123" t="s">
        <v>418</v>
      </c>
      <c r="E123" t="s">
        <v>419</v>
      </c>
      <c r="F123" t="s">
        <v>420</v>
      </c>
      <c r="G123" t="s">
        <v>421</v>
      </c>
      <c r="H123" s="16">
        <f>VLOOKUP(D123,Résultats!$B$2:$AX$476,'T energie vecteurs'!W5,FALSE)</f>
        <v>0</v>
      </c>
      <c r="I123" s="16">
        <f>VLOOKUP(E123,Résultats!$B$2:$AX$476,'T energie vecteurs'!W5,FALSE)</f>
        <v>3.6774973630000001</v>
      </c>
      <c r="J123" s="16">
        <f>VLOOKUP(F123,Résultats!$B$2:$AX$476,'T energie vecteurs'!W5,FALSE)</f>
        <v>0.4701584506</v>
      </c>
      <c r="K123" s="16">
        <f>VLOOKUP(G123,Résultats!$B$2:$AX$476,'T energie vecteurs'!W5,FALSE)</f>
        <v>0.46433199670000003</v>
      </c>
      <c r="L123" s="95">
        <f t="shared" si="28"/>
        <v>4.6119878103000005</v>
      </c>
      <c r="M123" s="16"/>
      <c r="N123" s="150" t="s">
        <v>25</v>
      </c>
      <c r="O123" s="29">
        <f>'[2]Bilan 2050 AMS'!$T$46/11.63</f>
        <v>0</v>
      </c>
      <c r="P123" s="28">
        <f>SUM('[2]Bilan 2050 AMS'!$T$41:$T$43)/11.63</f>
        <v>1.6205405671470268</v>
      </c>
      <c r="Q123" s="28">
        <f>'[2]Bilan 2050 AMS'!$T$13/11.63</f>
        <v>0.59590433813600663</v>
      </c>
      <c r="R123" s="28">
        <f>('[2]Bilan 2050 AMS'!$T$22+'[2]Bilan 2050 AMS'!$T$30+SUM('[2]Bilan 2050 AMS'!$T$36:$T$40)+SUM('[2]Bilan 2050 AMS'!$T$44:$T$45)+'[2]Bilan 2050 AMS'!$T$47)/11.63</f>
        <v>0.82592305453866399</v>
      </c>
      <c r="S123" s="142">
        <f t="shared" si="29"/>
        <v>3.0423679598216973</v>
      </c>
      <c r="T123" s="270"/>
      <c r="U123" s="149" t="s">
        <v>25</v>
      </c>
      <c r="V123" t="s">
        <v>418</v>
      </c>
      <c r="W123" t="s">
        <v>419</v>
      </c>
      <c r="X123" t="s">
        <v>420</v>
      </c>
      <c r="Y123" t="s">
        <v>421</v>
      </c>
      <c r="Z123" s="16">
        <v>0</v>
      </c>
      <c r="AA123" s="16">
        <v>3.5285473600000001</v>
      </c>
      <c r="AB123" s="16">
        <v>0.55878527219999996</v>
      </c>
      <c r="AC123" s="16">
        <v>0.45279744249999998</v>
      </c>
      <c r="AD123" s="95">
        <v>4.5401300746999995</v>
      </c>
    </row>
    <row r="124" spans="3:30" x14ac:dyDescent="0.25">
      <c r="C124" s="23" t="s">
        <v>26</v>
      </c>
      <c r="D124" s="10"/>
      <c r="E124" s="10"/>
      <c r="F124" s="10"/>
      <c r="G124" s="10"/>
      <c r="H124" s="9">
        <f>SUM(H115,H118:H120)</f>
        <v>2.2894547184000005</v>
      </c>
      <c r="I124" s="9">
        <f>SUM(I115,I118:I120)</f>
        <v>31.778041596000001</v>
      </c>
      <c r="J124" s="9">
        <f>SUM(J115,J118:J120)</f>
        <v>54.868056795599998</v>
      </c>
      <c r="K124" s="9">
        <f>SUM(K115,K118:K120)</f>
        <v>34.559160404109249</v>
      </c>
      <c r="L124" s="98">
        <f t="shared" si="28"/>
        <v>123.49471351410925</v>
      </c>
      <c r="M124" s="79"/>
      <c r="N124" s="151" t="s">
        <v>26</v>
      </c>
      <c r="O124" s="32">
        <f>O115+O118+O119+O120+O123</f>
        <v>5.5141288986823259E-2</v>
      </c>
      <c r="P124" s="31">
        <f>P115+P118+P119+P120+P123</f>
        <v>12.608954326783392</v>
      </c>
      <c r="Q124" s="31">
        <f>Q115+Q118+Q119+Q120+Q123</f>
        <v>50.175055400076403</v>
      </c>
      <c r="R124" s="31">
        <f>R115+R118+R119+R120+R123</f>
        <v>42.857266726472616</v>
      </c>
      <c r="S124" s="144">
        <f t="shared" si="29"/>
        <v>105.69641774231923</v>
      </c>
      <c r="T124" s="79"/>
      <c r="U124" s="23" t="s">
        <v>26</v>
      </c>
      <c r="V124" s="10"/>
      <c r="W124" s="10"/>
      <c r="X124" s="10"/>
      <c r="Y124" s="10"/>
      <c r="Z124" s="9">
        <v>4.2865422133000006</v>
      </c>
      <c r="AA124" s="9">
        <v>40.374322611000004</v>
      </c>
      <c r="AB124" s="9">
        <v>55.193414315200002</v>
      </c>
      <c r="AC124" s="9">
        <v>36.935501948941358</v>
      </c>
      <c r="AD124" s="98">
        <v>136.78978108844137</v>
      </c>
    </row>
    <row r="125" spans="3:30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O125" s="77"/>
      <c r="P125" s="77"/>
      <c r="Q125" s="77"/>
      <c r="R125" s="78"/>
      <c r="S125" s="45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3:30" x14ac:dyDescent="0.25">
      <c r="C126" s="3"/>
      <c r="D126" s="3"/>
      <c r="E126" s="3"/>
      <c r="F126" s="3">
        <f>0.1/0.028*51.84</f>
        <v>185.14285714285717</v>
      </c>
      <c r="G126" s="3"/>
      <c r="H126" s="3"/>
      <c r="I126" s="3"/>
      <c r="J126" s="3"/>
      <c r="K126" s="3"/>
      <c r="L126" s="3"/>
      <c r="M126" s="3"/>
      <c r="O126" s="3"/>
      <c r="P126" s="3"/>
      <c r="Q126" s="3"/>
      <c r="R126" s="3"/>
      <c r="S126" s="3"/>
      <c r="U126" s="3"/>
      <c r="V126" s="3"/>
      <c r="W126" s="3"/>
      <c r="X126" s="3">
        <v>185.14285714285717</v>
      </c>
      <c r="Y126" s="3"/>
      <c r="Z126" s="3"/>
      <c r="AA126" s="3"/>
      <c r="AB126" s="3"/>
      <c r="AC126" s="3"/>
      <c r="AD126" s="3"/>
    </row>
    <row r="127" spans="3:30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O127" s="3"/>
      <c r="P127" s="3"/>
      <c r="Q127" s="3"/>
      <c r="R127" s="3"/>
      <c r="S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3:30" s="3" customFormat="1" x14ac:dyDescent="0.25">
      <c r="C128" s="60" t="s">
        <v>488</v>
      </c>
      <c r="F128" s="3">
        <f>0.1/0.028*51.84</f>
        <v>185.14285714285717</v>
      </c>
      <c r="N128" s="60" t="s">
        <v>489</v>
      </c>
      <c r="U128" s="60" t="s">
        <v>488</v>
      </c>
      <c r="X128" s="3">
        <v>185.14285714285717</v>
      </c>
    </row>
    <row r="129" spans="3:30" s="3" customFormat="1" ht="31.5" x14ac:dyDescent="0.35">
      <c r="C129" s="145">
        <v>2050</v>
      </c>
      <c r="D129" s="146"/>
      <c r="E129" s="146"/>
      <c r="F129" s="146"/>
      <c r="G129" s="146"/>
      <c r="H129" s="76" t="s">
        <v>36</v>
      </c>
      <c r="I129" s="76" t="s">
        <v>49</v>
      </c>
      <c r="J129" s="76" t="s">
        <v>38</v>
      </c>
      <c r="K129" s="76" t="s">
        <v>48</v>
      </c>
      <c r="L129" s="93" t="s">
        <v>1</v>
      </c>
      <c r="N129" s="145">
        <v>2050</v>
      </c>
      <c r="O129" s="141" t="s">
        <v>36</v>
      </c>
      <c r="P129" s="76" t="s">
        <v>49</v>
      </c>
      <c r="Q129" s="76" t="s">
        <v>38</v>
      </c>
      <c r="R129" s="76" t="s">
        <v>48</v>
      </c>
      <c r="S129" s="93" t="s">
        <v>1</v>
      </c>
      <c r="U129" s="145">
        <v>2050</v>
      </c>
      <c r="V129" s="146"/>
      <c r="W129" s="146"/>
      <c r="X129" s="146"/>
      <c r="Y129" s="146"/>
      <c r="Z129" s="76" t="s">
        <v>36</v>
      </c>
      <c r="AA129" s="76" t="s">
        <v>49</v>
      </c>
      <c r="AB129" s="76" t="s">
        <v>38</v>
      </c>
      <c r="AC129" s="76" t="s">
        <v>48</v>
      </c>
      <c r="AD129" s="93" t="s">
        <v>1</v>
      </c>
    </row>
    <row r="130" spans="3:30" s="3" customFormat="1" x14ac:dyDescent="0.25">
      <c r="C130" s="276" t="s">
        <v>18</v>
      </c>
      <c r="D130" s="277"/>
      <c r="E130" s="277"/>
      <c r="F130" s="277"/>
      <c r="G130" s="277"/>
      <c r="H130" s="278" t="e">
        <f>H115-#REF!</f>
        <v>#REF!</v>
      </c>
      <c r="I130" s="278" t="e">
        <f>I115-#REF!</f>
        <v>#REF!</v>
      </c>
      <c r="J130" s="278" t="e">
        <f>J115-#REF!</f>
        <v>#REF!</v>
      </c>
      <c r="K130" s="278" t="e">
        <f>K115-#REF!</f>
        <v>#REF!</v>
      </c>
      <c r="L130" s="279" t="e">
        <f>L115-#REF!</f>
        <v>#REF!</v>
      </c>
      <c r="N130" s="276" t="s">
        <v>18</v>
      </c>
      <c r="O130" s="285">
        <f>H115-O115</f>
        <v>0</v>
      </c>
      <c r="P130" s="286">
        <f t="shared" ref="P130:S139" si="31">I115-P115</f>
        <v>12.101497989852872</v>
      </c>
      <c r="Q130" s="286">
        <f t="shared" si="31"/>
        <v>0.99716772319483127</v>
      </c>
      <c r="R130" s="286">
        <f t="shared" si="31"/>
        <v>0.76184189821690618</v>
      </c>
      <c r="S130" s="287">
        <f t="shared" si="31"/>
        <v>13.860507611264609</v>
      </c>
      <c r="U130" s="276" t="s">
        <v>18</v>
      </c>
      <c r="V130" s="277"/>
      <c r="W130" s="277"/>
      <c r="X130" s="277"/>
      <c r="Y130" s="277"/>
      <c r="Z130" s="278" t="e">
        <v>#REF!</v>
      </c>
      <c r="AA130" s="278" t="e">
        <v>#REF!</v>
      </c>
      <c r="AB130" s="278" t="e">
        <v>#REF!</v>
      </c>
      <c r="AC130" s="278" t="e">
        <v>#REF!</v>
      </c>
      <c r="AD130" s="279" t="e">
        <v>#REF!</v>
      </c>
    </row>
    <row r="131" spans="3:30" s="3" customFormat="1" x14ac:dyDescent="0.25">
      <c r="C131" s="148" t="s">
        <v>19</v>
      </c>
      <c r="D131" t="s">
        <v>394</v>
      </c>
      <c r="E131" t="s">
        <v>395</v>
      </c>
      <c r="F131" t="s">
        <v>396</v>
      </c>
      <c r="G131" t="s">
        <v>397</v>
      </c>
      <c r="H131" s="34" t="e">
        <f>H116-#REF!</f>
        <v>#REF!</v>
      </c>
      <c r="I131" s="34" t="e">
        <f>I116-#REF!</f>
        <v>#REF!</v>
      </c>
      <c r="J131" s="34" t="e">
        <f>J116-#REF!</f>
        <v>#REF!</v>
      </c>
      <c r="K131" s="34" t="e">
        <f>K116-#REF!</f>
        <v>#REF!</v>
      </c>
      <c r="L131" s="280" t="e">
        <f>L116-#REF!</f>
        <v>#REF!</v>
      </c>
      <c r="N131" s="148" t="s">
        <v>19</v>
      </c>
      <c r="O131" s="288">
        <f t="shared" ref="O131:O139" si="32">H116-O116</f>
        <v>0</v>
      </c>
      <c r="P131" s="34">
        <f t="shared" si="31"/>
        <v>5.0610911850000004</v>
      </c>
      <c r="Q131" s="34">
        <f t="shared" si="31"/>
        <v>3.4076294260000002</v>
      </c>
      <c r="R131" s="34">
        <f t="shared" si="31"/>
        <v>9.2594092500000001E-6</v>
      </c>
      <c r="S131" s="280">
        <f t="shared" si="31"/>
        <v>8.4687298704092502</v>
      </c>
      <c r="U131" s="148" t="s">
        <v>19</v>
      </c>
      <c r="V131" t="s">
        <v>394</v>
      </c>
      <c r="W131" t="s">
        <v>395</v>
      </c>
      <c r="X131" t="s">
        <v>396</v>
      </c>
      <c r="Y131" t="s">
        <v>397</v>
      </c>
      <c r="Z131" s="34" t="e">
        <v>#REF!</v>
      </c>
      <c r="AA131" s="34" t="e">
        <v>#REF!</v>
      </c>
      <c r="AB131" s="34" t="e">
        <v>#REF!</v>
      </c>
      <c r="AC131" s="34" t="e">
        <v>#REF!</v>
      </c>
      <c r="AD131" s="280" t="e">
        <v>#REF!</v>
      </c>
    </row>
    <row r="132" spans="3:30" s="3" customFormat="1" x14ac:dyDescent="0.25">
      <c r="C132" s="149" t="s">
        <v>20</v>
      </c>
      <c r="D132" t="s">
        <v>398</v>
      </c>
      <c r="E132" t="s">
        <v>399</v>
      </c>
      <c r="F132" t="s">
        <v>400</v>
      </c>
      <c r="G132" t="s">
        <v>401</v>
      </c>
      <c r="H132" s="34" t="e">
        <f>H117-#REF!</f>
        <v>#REF!</v>
      </c>
      <c r="I132" s="34" t="e">
        <f>I117-#REF!</f>
        <v>#REF!</v>
      </c>
      <c r="J132" s="34" t="e">
        <f>J117-#REF!</f>
        <v>#REF!</v>
      </c>
      <c r="K132" s="34" t="e">
        <f>K117-#REF!</f>
        <v>#REF!</v>
      </c>
      <c r="L132" s="280" t="e">
        <f>L117-#REF!</f>
        <v>#REF!</v>
      </c>
      <c r="N132" s="149" t="s">
        <v>20</v>
      </c>
      <c r="O132" s="288">
        <f t="shared" si="32"/>
        <v>0</v>
      </c>
      <c r="P132" s="34">
        <f t="shared" si="31"/>
        <v>9.3330604630000007</v>
      </c>
      <c r="Q132" s="34">
        <f t="shared" si="31"/>
        <v>7.727510004</v>
      </c>
      <c r="R132" s="34">
        <f t="shared" si="31"/>
        <v>2.0355606079999999</v>
      </c>
      <c r="S132" s="280">
        <f t="shared" si="31"/>
        <v>19.096131075000002</v>
      </c>
      <c r="U132" s="149" t="s">
        <v>20</v>
      </c>
      <c r="V132" t="s">
        <v>398</v>
      </c>
      <c r="W132" t="s">
        <v>399</v>
      </c>
      <c r="X132" t="s">
        <v>400</v>
      </c>
      <c r="Y132" t="s">
        <v>401</v>
      </c>
      <c r="Z132" s="34" t="e">
        <v>#REF!</v>
      </c>
      <c r="AA132" s="34" t="e">
        <v>#REF!</v>
      </c>
      <c r="AB132" s="34" t="e">
        <v>#REF!</v>
      </c>
      <c r="AC132" s="34" t="e">
        <v>#REF!</v>
      </c>
      <c r="AD132" s="280" t="e">
        <v>#REF!</v>
      </c>
    </row>
    <row r="133" spans="3:30" s="3" customFormat="1" x14ac:dyDescent="0.25">
      <c r="C133" s="276" t="s">
        <v>21</v>
      </c>
      <c r="D133" s="277" t="s">
        <v>402</v>
      </c>
      <c r="E133" s="277" t="s">
        <v>403</v>
      </c>
      <c r="F133" s="277" t="s">
        <v>404</v>
      </c>
      <c r="G133" s="277" t="s">
        <v>405</v>
      </c>
      <c r="H133" s="278" t="e">
        <f>H118-#REF!</f>
        <v>#REF!</v>
      </c>
      <c r="I133" s="278" t="e">
        <f>I118-#REF!</f>
        <v>#REF!</v>
      </c>
      <c r="J133" s="278" t="e">
        <f>J118-#REF!</f>
        <v>#REF!</v>
      </c>
      <c r="K133" s="278" t="e">
        <f>K118-#REF!</f>
        <v>#REF!</v>
      </c>
      <c r="L133" s="279" t="e">
        <f>L118-#REF!</f>
        <v>#REF!</v>
      </c>
      <c r="N133" s="276" t="s">
        <v>21</v>
      </c>
      <c r="O133" s="289">
        <f t="shared" si="32"/>
        <v>8.0518409400000004E-2</v>
      </c>
      <c r="P133" s="286">
        <f t="shared" si="31"/>
        <v>2.4717266750316518</v>
      </c>
      <c r="Q133" s="286">
        <f t="shared" si="31"/>
        <v>1.0583346590979286</v>
      </c>
      <c r="R133" s="286">
        <f t="shared" si="31"/>
        <v>-0.90406915317681502</v>
      </c>
      <c r="S133" s="287">
        <f t="shared" si="31"/>
        <v>2.7065105903527638</v>
      </c>
      <c r="U133" s="276" t="s">
        <v>21</v>
      </c>
      <c r="V133" s="277" t="s">
        <v>402</v>
      </c>
      <c r="W133" s="277" t="s">
        <v>403</v>
      </c>
      <c r="X133" s="277" t="s">
        <v>404</v>
      </c>
      <c r="Y133" s="277" t="s">
        <v>405</v>
      </c>
      <c r="Z133" s="278" t="e">
        <v>#REF!</v>
      </c>
      <c r="AA133" s="278" t="e">
        <v>#REF!</v>
      </c>
      <c r="AB133" s="278" t="e">
        <v>#REF!</v>
      </c>
      <c r="AC133" s="278" t="e">
        <v>#REF!</v>
      </c>
      <c r="AD133" s="279" t="e">
        <v>#REF!</v>
      </c>
    </row>
    <row r="134" spans="3:30" s="3" customFormat="1" x14ac:dyDescent="0.25">
      <c r="C134" s="276" t="s">
        <v>22</v>
      </c>
      <c r="D134" s="277" t="s">
        <v>406</v>
      </c>
      <c r="E134" s="277" t="s">
        <v>407</v>
      </c>
      <c r="F134" s="277" t="s">
        <v>408</v>
      </c>
      <c r="G134" s="277" t="s">
        <v>409</v>
      </c>
      <c r="H134" s="278" t="e">
        <f>H119-#REF!</f>
        <v>#REF!</v>
      </c>
      <c r="I134" s="278" t="e">
        <f>I119-#REF!</f>
        <v>#REF!</v>
      </c>
      <c r="J134" s="278" t="e">
        <f>J119-#REF!</f>
        <v>#REF!</v>
      </c>
      <c r="K134" s="278" t="e">
        <f>K119-#REF!</f>
        <v>#REF!</v>
      </c>
      <c r="L134" s="279" t="e">
        <f>L119-#REF!</f>
        <v>#REF!</v>
      </c>
      <c r="N134" s="276" t="s">
        <v>22</v>
      </c>
      <c r="O134" s="289">
        <f t="shared" si="32"/>
        <v>0</v>
      </c>
      <c r="P134" s="286">
        <f t="shared" si="31"/>
        <v>1.4446855743685354</v>
      </c>
      <c r="Q134" s="286">
        <f t="shared" si="31"/>
        <v>-0.40410019737253045</v>
      </c>
      <c r="R134" s="286">
        <f t="shared" si="31"/>
        <v>0.81649901553979376</v>
      </c>
      <c r="S134" s="287">
        <f t="shared" si="31"/>
        <v>1.8570843925357998</v>
      </c>
      <c r="U134" s="276" t="s">
        <v>22</v>
      </c>
      <c r="V134" s="277" t="s">
        <v>406</v>
      </c>
      <c r="W134" s="277" t="s">
        <v>407</v>
      </c>
      <c r="X134" s="277" t="s">
        <v>408</v>
      </c>
      <c r="Y134" s="277" t="s">
        <v>409</v>
      </c>
      <c r="Z134" s="278" t="e">
        <v>#REF!</v>
      </c>
      <c r="AA134" s="278" t="e">
        <v>#REF!</v>
      </c>
      <c r="AB134" s="278" t="e">
        <v>#REF!</v>
      </c>
      <c r="AC134" s="278" t="e">
        <v>#REF!</v>
      </c>
      <c r="AD134" s="279" t="e">
        <v>#REF!</v>
      </c>
    </row>
    <row r="135" spans="3:30" s="3" customFormat="1" x14ac:dyDescent="0.25">
      <c r="C135" s="276" t="s">
        <v>23</v>
      </c>
      <c r="D135" s="277"/>
      <c r="E135" s="277"/>
      <c r="F135" s="277"/>
      <c r="G135" s="277"/>
      <c r="H135" s="278" t="e">
        <f>H120-#REF!</f>
        <v>#REF!</v>
      </c>
      <c r="I135" s="278" t="e">
        <f>I120-#REF!</f>
        <v>#REF!</v>
      </c>
      <c r="J135" s="278" t="e">
        <f>J120-#REF!</f>
        <v>#REF!</v>
      </c>
      <c r="K135" s="278" t="e">
        <f>K120-#REF!</f>
        <v>#REF!</v>
      </c>
      <c r="L135" s="279" t="e">
        <f>L120-#REF!</f>
        <v>#REF!</v>
      </c>
      <c r="N135" s="276" t="s">
        <v>23</v>
      </c>
      <c r="O135" s="289">
        <f t="shared" si="32"/>
        <v>2.153795020013177</v>
      </c>
      <c r="P135" s="286">
        <f t="shared" si="31"/>
        <v>4.7717175971105767</v>
      </c>
      <c r="Q135" s="286">
        <f t="shared" si="31"/>
        <v>3.6375035487393816</v>
      </c>
      <c r="R135" s="286">
        <f t="shared" si="31"/>
        <v>-8.1464550284045867</v>
      </c>
      <c r="S135" s="287">
        <f t="shared" si="31"/>
        <v>2.4165611374585509</v>
      </c>
      <c r="U135" s="276" t="s">
        <v>23</v>
      </c>
      <c r="V135" s="277"/>
      <c r="W135" s="277"/>
      <c r="X135" s="277"/>
      <c r="Y135" s="277"/>
      <c r="Z135" s="278" t="e">
        <v>#REF!</v>
      </c>
      <c r="AA135" s="278" t="e">
        <v>#REF!</v>
      </c>
      <c r="AB135" s="278" t="e">
        <v>#REF!</v>
      </c>
      <c r="AC135" s="278" t="e">
        <v>#REF!</v>
      </c>
      <c r="AD135" s="279" t="e">
        <v>#REF!</v>
      </c>
    </row>
    <row r="136" spans="3:30" s="3" customFormat="1" x14ac:dyDescent="0.25">
      <c r="C136" s="149" t="s">
        <v>24</v>
      </c>
      <c r="D136" t="s">
        <v>410</v>
      </c>
      <c r="E136" t="s">
        <v>411</v>
      </c>
      <c r="F136" t="s">
        <v>412</v>
      </c>
      <c r="G136" t="s">
        <v>413</v>
      </c>
      <c r="H136" s="34" t="e">
        <f>H121-#REF!</f>
        <v>#REF!</v>
      </c>
      <c r="I136" s="34" t="e">
        <f>I121-#REF!</f>
        <v>#REF!</v>
      </c>
      <c r="J136" s="34" t="e">
        <f>J121-#REF!</f>
        <v>#REF!</v>
      </c>
      <c r="K136" s="34" t="e">
        <f>K121-#REF!</f>
        <v>#REF!</v>
      </c>
      <c r="L136" s="280" t="e">
        <f>L121-#REF!</f>
        <v>#REF!</v>
      </c>
      <c r="N136" s="149" t="s">
        <v>24</v>
      </c>
      <c r="O136" s="288">
        <f t="shared" si="32"/>
        <v>1.1680186420131768</v>
      </c>
      <c r="P136" s="271">
        <f t="shared" si="31"/>
        <v>6.8082915119337013</v>
      </c>
      <c r="Q136" s="271">
        <f t="shared" si="31"/>
        <v>3.167345098139382</v>
      </c>
      <c r="R136" s="271">
        <f t="shared" si="31"/>
        <v>-4.1161814477001224</v>
      </c>
      <c r="S136" s="280">
        <f t="shared" si="31"/>
        <v>7.0274738043861369</v>
      </c>
      <c r="U136" s="149" t="s">
        <v>24</v>
      </c>
      <c r="V136" t="s">
        <v>410</v>
      </c>
      <c r="W136" t="s">
        <v>411</v>
      </c>
      <c r="X136" t="s">
        <v>412</v>
      </c>
      <c r="Y136" t="s">
        <v>413</v>
      </c>
      <c r="Z136" s="34" t="e">
        <v>#REF!</v>
      </c>
      <c r="AA136" s="34" t="e">
        <v>#REF!</v>
      </c>
      <c r="AB136" s="34" t="e">
        <v>#REF!</v>
      </c>
      <c r="AC136" s="34" t="e">
        <v>#REF!</v>
      </c>
      <c r="AD136" s="280" t="e">
        <v>#REF!</v>
      </c>
    </row>
    <row r="137" spans="3:30" s="3" customFormat="1" x14ac:dyDescent="0.25">
      <c r="C137" s="149" t="s">
        <v>47</v>
      </c>
      <c r="D137" t="s">
        <v>414</v>
      </c>
      <c r="E137" t="s">
        <v>415</v>
      </c>
      <c r="F137" t="s">
        <v>416</v>
      </c>
      <c r="G137" t="s">
        <v>417</v>
      </c>
      <c r="H137" s="34" t="e">
        <f>H122-#REF!</f>
        <v>#REF!</v>
      </c>
      <c r="I137" s="34" t="e">
        <f>I122-#REF!</f>
        <v>#REF!</v>
      </c>
      <c r="J137" s="34" t="e">
        <f>J122-#REF!</f>
        <v>#REF!</v>
      </c>
      <c r="K137" s="34" t="e">
        <f>K122-#REF!</f>
        <v>#REF!</v>
      </c>
      <c r="L137" s="280" t="e">
        <f>L122-#REF!</f>
        <v>#REF!</v>
      </c>
      <c r="N137" s="149" t="s">
        <v>47</v>
      </c>
      <c r="O137" s="290">
        <f t="shared" si="32"/>
        <v>0.98577637799999995</v>
      </c>
      <c r="P137" s="34">
        <f t="shared" si="31"/>
        <v>-5.7140712778231242</v>
      </c>
      <c r="Q137" s="34">
        <f t="shared" si="31"/>
        <v>0</v>
      </c>
      <c r="R137" s="34">
        <f t="shared" si="31"/>
        <v>-4.4946055774044638</v>
      </c>
      <c r="S137" s="280">
        <f t="shared" si="31"/>
        <v>-9.2229004772275864</v>
      </c>
      <c r="U137" s="149" t="s">
        <v>47</v>
      </c>
      <c r="V137" t="s">
        <v>414</v>
      </c>
      <c r="W137" t="s">
        <v>415</v>
      </c>
      <c r="X137" t="s">
        <v>416</v>
      </c>
      <c r="Y137" t="s">
        <v>417</v>
      </c>
      <c r="Z137" s="34" t="e">
        <v>#REF!</v>
      </c>
      <c r="AA137" s="34" t="e">
        <v>#REF!</v>
      </c>
      <c r="AB137" s="34" t="e">
        <v>#REF!</v>
      </c>
      <c r="AC137" s="34" t="e">
        <v>#REF!</v>
      </c>
      <c r="AD137" s="280" t="e">
        <v>#REF!</v>
      </c>
    </row>
    <row r="138" spans="3:30" s="3" customFormat="1" x14ac:dyDescent="0.25">
      <c r="C138" s="149" t="s">
        <v>25</v>
      </c>
      <c r="D138" t="s">
        <v>418</v>
      </c>
      <c r="E138" t="s">
        <v>419</v>
      </c>
      <c r="F138" t="s">
        <v>420</v>
      </c>
      <c r="G138" t="s">
        <v>421</v>
      </c>
      <c r="H138" s="34" t="e">
        <f>H123-#REF!</f>
        <v>#REF!</v>
      </c>
      <c r="I138" s="34" t="e">
        <f>I123-#REF!</f>
        <v>#REF!</v>
      </c>
      <c r="J138" s="34" t="e">
        <f>J123-#REF!</f>
        <v>#REF!</v>
      </c>
      <c r="K138" s="34" t="e">
        <f>K123-#REF!</f>
        <v>#REF!</v>
      </c>
      <c r="L138" s="280" t="e">
        <f>L123-#REF!</f>
        <v>#REF!</v>
      </c>
      <c r="N138" s="149" t="s">
        <v>25</v>
      </c>
      <c r="O138" s="288">
        <f t="shared" si="32"/>
        <v>0</v>
      </c>
      <c r="P138" s="271">
        <f t="shared" si="31"/>
        <v>2.0569567958529733</v>
      </c>
      <c r="Q138" s="271">
        <f t="shared" si="31"/>
        <v>-0.12574588753600663</v>
      </c>
      <c r="R138" s="271">
        <f t="shared" si="31"/>
        <v>-0.36159105783866397</v>
      </c>
      <c r="S138" s="280">
        <f t="shared" si="31"/>
        <v>1.5696198504783032</v>
      </c>
      <c r="U138" s="149" t="s">
        <v>25</v>
      </c>
      <c r="V138" t="s">
        <v>418</v>
      </c>
      <c r="W138" t="s">
        <v>419</v>
      </c>
      <c r="X138" t="s">
        <v>420</v>
      </c>
      <c r="Y138" t="s">
        <v>421</v>
      </c>
      <c r="Z138" s="34" t="e">
        <v>#REF!</v>
      </c>
      <c r="AA138" s="34" t="e">
        <v>#REF!</v>
      </c>
      <c r="AB138" s="34" t="e">
        <v>#REF!</v>
      </c>
      <c r="AC138" s="34" t="e">
        <v>#REF!</v>
      </c>
      <c r="AD138" s="280" t="e">
        <v>#REF!</v>
      </c>
    </row>
    <row r="139" spans="3:30" s="3" customFormat="1" x14ac:dyDescent="0.25">
      <c r="C139" s="281" t="s">
        <v>26</v>
      </c>
      <c r="D139" s="282"/>
      <c r="E139" s="282"/>
      <c r="F139" s="282"/>
      <c r="G139" s="282"/>
      <c r="H139" s="283" t="e">
        <f>H124-#REF!</f>
        <v>#REF!</v>
      </c>
      <c r="I139" s="283" t="e">
        <f>I124-#REF!</f>
        <v>#REF!</v>
      </c>
      <c r="J139" s="283" t="e">
        <f>J124-#REF!</f>
        <v>#REF!</v>
      </c>
      <c r="K139" s="283" t="e">
        <f>K124-#REF!</f>
        <v>#REF!</v>
      </c>
      <c r="L139" s="284" t="e">
        <f>L124-#REF!</f>
        <v>#REF!</v>
      </c>
      <c r="N139" s="281" t="s">
        <v>26</v>
      </c>
      <c r="O139" s="291">
        <f t="shared" si="32"/>
        <v>2.2343134294131772</v>
      </c>
      <c r="P139" s="292">
        <f t="shared" si="31"/>
        <v>19.169087269216611</v>
      </c>
      <c r="Q139" s="292">
        <f t="shared" si="31"/>
        <v>4.693001395523595</v>
      </c>
      <c r="R139" s="292">
        <f t="shared" si="31"/>
        <v>-8.2981063223633669</v>
      </c>
      <c r="S139" s="293">
        <f t="shared" si="31"/>
        <v>17.798295771790023</v>
      </c>
      <c r="U139" s="281" t="s">
        <v>26</v>
      </c>
      <c r="V139" s="282"/>
      <c r="W139" s="282"/>
      <c r="X139" s="282"/>
      <c r="Y139" s="282"/>
      <c r="Z139" s="283" t="e">
        <v>#REF!</v>
      </c>
      <c r="AA139" s="283" t="e">
        <v>#REF!</v>
      </c>
      <c r="AB139" s="283" t="e">
        <v>#REF!</v>
      </c>
      <c r="AC139" s="283" t="e">
        <v>#REF!</v>
      </c>
      <c r="AD139" s="284" t="e">
        <v>#REF!</v>
      </c>
    </row>
    <row r="140" spans="3:30" s="3" customFormat="1" x14ac:dyDescent="0.25"/>
    <row r="141" spans="3:30" s="3" customFormat="1" x14ac:dyDescent="0.25"/>
    <row r="142" spans="3:30" s="3" customFormat="1" x14ac:dyDescent="0.25"/>
    <row r="143" spans="3:30" s="3" customFormat="1" x14ac:dyDescent="0.25"/>
    <row r="144" spans="3:30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pans="3:21" s="3" customFormat="1" x14ac:dyDescent="0.25"/>
    <row r="194" spans="3:21" s="3" customFormat="1" x14ac:dyDescent="0.25"/>
    <row r="195" spans="3:21" s="3" customFormat="1" x14ac:dyDescent="0.25"/>
    <row r="196" spans="3:21" s="3" customFormat="1" x14ac:dyDescent="0.25"/>
    <row r="197" spans="3:21" s="3" customFormat="1" x14ac:dyDescent="0.25"/>
    <row r="198" spans="3:21" s="3" customFormat="1" x14ac:dyDescent="0.25"/>
    <row r="199" spans="3:21" s="3" customFormat="1" x14ac:dyDescent="0.25"/>
    <row r="200" spans="3:21" s="3" customFormat="1" x14ac:dyDescent="0.25"/>
    <row r="201" spans="3:21" s="3" customFormat="1" x14ac:dyDescent="0.25"/>
    <row r="202" spans="3:21" s="3" customFormat="1" x14ac:dyDescent="0.25"/>
    <row r="203" spans="3:21" s="3" customFormat="1" x14ac:dyDescent="0.25"/>
    <row r="204" spans="3:21" s="3" customFormat="1" x14ac:dyDescent="0.25">
      <c r="C204" s="3">
        <f>0</f>
        <v>0</v>
      </c>
      <c r="U204" s="3">
        <v>0</v>
      </c>
    </row>
    <row r="205" spans="3:21" s="3" customFormat="1" x14ac:dyDescent="0.25"/>
    <row r="206" spans="3:21" s="3" customFormat="1" x14ac:dyDescent="0.25"/>
    <row r="207" spans="3:21" s="3" customFormat="1" x14ac:dyDescent="0.25"/>
    <row r="208" spans="3:21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  <row r="649" s="3" customFormat="1" x14ac:dyDescent="0.25"/>
    <row r="650" s="3" customFormat="1" x14ac:dyDescent="0.25"/>
    <row r="651" s="3" customFormat="1" x14ac:dyDescent="0.25"/>
    <row r="652" s="3" customFormat="1" x14ac:dyDescent="0.25"/>
    <row r="653" s="3" customFormat="1" x14ac:dyDescent="0.25"/>
    <row r="654" s="3" customFormat="1" x14ac:dyDescent="0.25"/>
    <row r="655" s="3" customFormat="1" x14ac:dyDescent="0.25"/>
    <row r="656" s="3" customFormat="1" x14ac:dyDescent="0.25"/>
    <row r="657" s="3" customFormat="1" x14ac:dyDescent="0.25"/>
    <row r="658" s="3" customFormat="1" x14ac:dyDescent="0.25"/>
    <row r="659" s="3" customFormat="1" x14ac:dyDescent="0.25"/>
    <row r="660" s="3" customFormat="1" x14ac:dyDescent="0.25"/>
    <row r="661" s="3" customFormat="1" x14ac:dyDescent="0.25"/>
    <row r="662" s="3" customFormat="1" x14ac:dyDescent="0.25"/>
    <row r="663" s="3" customFormat="1" x14ac:dyDescent="0.25"/>
    <row r="664" s="3" customFormat="1" x14ac:dyDescent="0.25"/>
    <row r="665" s="3" customFormat="1" x14ac:dyDescent="0.25"/>
    <row r="666" s="3" customFormat="1" x14ac:dyDescent="0.25"/>
    <row r="667" s="3" customFormat="1" x14ac:dyDescent="0.25"/>
    <row r="668" s="3" customFormat="1" x14ac:dyDescent="0.25"/>
    <row r="669" s="3" customFormat="1" x14ac:dyDescent="0.25"/>
    <row r="670" s="3" customFormat="1" x14ac:dyDescent="0.25"/>
    <row r="671" s="3" customFormat="1" x14ac:dyDescent="0.25"/>
    <row r="672" s="3" customFormat="1" x14ac:dyDescent="0.25"/>
    <row r="673" s="3" customFormat="1" x14ac:dyDescent="0.25"/>
    <row r="674" s="3" customFormat="1" x14ac:dyDescent="0.25"/>
    <row r="675" s="3" customFormat="1" x14ac:dyDescent="0.25"/>
    <row r="676" s="3" customFormat="1" x14ac:dyDescent="0.25"/>
    <row r="677" s="3" customFormat="1" x14ac:dyDescent="0.25"/>
    <row r="678" s="3" customFormat="1" x14ac:dyDescent="0.25"/>
    <row r="679" s="3" customFormat="1" x14ac:dyDescent="0.25"/>
    <row r="680" s="3" customFormat="1" x14ac:dyDescent="0.25"/>
    <row r="681" s="3" customFormat="1" x14ac:dyDescent="0.25"/>
    <row r="682" s="3" customFormat="1" x14ac:dyDescent="0.25"/>
    <row r="683" s="3" customFormat="1" x14ac:dyDescent="0.25"/>
    <row r="684" s="3" customFormat="1" x14ac:dyDescent="0.25"/>
    <row r="685" s="3" customFormat="1" x14ac:dyDescent="0.25"/>
    <row r="686" s="3" customFormat="1" x14ac:dyDescent="0.25"/>
    <row r="687" s="3" customFormat="1" x14ac:dyDescent="0.25"/>
    <row r="688" s="3" customFormat="1" x14ac:dyDescent="0.25"/>
    <row r="689" s="3" customFormat="1" x14ac:dyDescent="0.25"/>
    <row r="690" s="3" customFormat="1" x14ac:dyDescent="0.25"/>
    <row r="691" s="3" customFormat="1" x14ac:dyDescent="0.25"/>
    <row r="692" s="3" customFormat="1" x14ac:dyDescent="0.25"/>
    <row r="693" s="3" customFormat="1" x14ac:dyDescent="0.25"/>
    <row r="694" s="3" customFormat="1" x14ac:dyDescent="0.25"/>
    <row r="695" s="3" customFormat="1" x14ac:dyDescent="0.25"/>
    <row r="696" s="3" customFormat="1" x14ac:dyDescent="0.25"/>
    <row r="697" s="3" customFormat="1" x14ac:dyDescent="0.25"/>
    <row r="698" s="3" customFormat="1" x14ac:dyDescent="0.25"/>
    <row r="699" s="3" customFormat="1" x14ac:dyDescent="0.25"/>
    <row r="700" s="3" customFormat="1" x14ac:dyDescent="0.25"/>
    <row r="701" s="3" customFormat="1" x14ac:dyDescent="0.25"/>
    <row r="702" s="3" customFormat="1" x14ac:dyDescent="0.25"/>
    <row r="703" s="3" customFormat="1" x14ac:dyDescent="0.25"/>
    <row r="704" s="3" customFormat="1" x14ac:dyDescent="0.25"/>
    <row r="705" s="3" customFormat="1" x14ac:dyDescent="0.25"/>
    <row r="706" s="3" customFormat="1" x14ac:dyDescent="0.25"/>
    <row r="707" s="3" customFormat="1" x14ac:dyDescent="0.25"/>
    <row r="708" s="3" customFormat="1" x14ac:dyDescent="0.25"/>
    <row r="709" s="3" customFormat="1" x14ac:dyDescent="0.25"/>
    <row r="710" s="3" customFormat="1" x14ac:dyDescent="0.25"/>
    <row r="711" s="3" customFormat="1" x14ac:dyDescent="0.25"/>
    <row r="712" s="3" customFormat="1" x14ac:dyDescent="0.25"/>
    <row r="713" s="3" customFormat="1" x14ac:dyDescent="0.25"/>
    <row r="714" s="3" customFormat="1" x14ac:dyDescent="0.25"/>
    <row r="715" s="3" customFormat="1" x14ac:dyDescent="0.25"/>
    <row r="716" s="3" customFormat="1" x14ac:dyDescent="0.25"/>
    <row r="717" s="3" customFormat="1" x14ac:dyDescent="0.25"/>
    <row r="718" s="3" customFormat="1" x14ac:dyDescent="0.25"/>
    <row r="719" s="3" customFormat="1" x14ac:dyDescent="0.25"/>
    <row r="720" s="3" customFormat="1" x14ac:dyDescent="0.25"/>
    <row r="721" s="3" customFormat="1" x14ac:dyDescent="0.25"/>
    <row r="722" s="3" customFormat="1" x14ac:dyDescent="0.25"/>
    <row r="723" s="3" customFormat="1" x14ac:dyDescent="0.25"/>
    <row r="724" s="3" customFormat="1" x14ac:dyDescent="0.25"/>
    <row r="725" s="3" customFormat="1" x14ac:dyDescent="0.25"/>
    <row r="726" s="3" customFormat="1" x14ac:dyDescent="0.25"/>
    <row r="727" s="3" customFormat="1" x14ac:dyDescent="0.25"/>
    <row r="728" s="3" customFormat="1" x14ac:dyDescent="0.25"/>
    <row r="729" s="3" customFormat="1" x14ac:dyDescent="0.25"/>
    <row r="730" s="3" customFormat="1" x14ac:dyDescent="0.25"/>
    <row r="731" s="3" customFormat="1" x14ac:dyDescent="0.25"/>
    <row r="732" s="3" customFormat="1" x14ac:dyDescent="0.25"/>
    <row r="733" s="3" customFormat="1" x14ac:dyDescent="0.25"/>
    <row r="734" s="3" customFormat="1" x14ac:dyDescent="0.25"/>
    <row r="735" s="3" customFormat="1" x14ac:dyDescent="0.25"/>
    <row r="736" s="3" customFormat="1" x14ac:dyDescent="0.25"/>
    <row r="737" s="3" customFormat="1" x14ac:dyDescent="0.25"/>
    <row r="738" s="3" customFormat="1" x14ac:dyDescent="0.25"/>
    <row r="739" s="3" customFormat="1" x14ac:dyDescent="0.25"/>
    <row r="740" s="3" customFormat="1" x14ac:dyDescent="0.25"/>
    <row r="741" s="3" customFormat="1" x14ac:dyDescent="0.25"/>
    <row r="742" s="3" customFormat="1" x14ac:dyDescent="0.25"/>
    <row r="743" s="3" customFormat="1" x14ac:dyDescent="0.25"/>
    <row r="744" s="3" customFormat="1" x14ac:dyDescent="0.25"/>
    <row r="745" s="3" customFormat="1" x14ac:dyDescent="0.25"/>
    <row r="746" s="3" customFormat="1" x14ac:dyDescent="0.25"/>
    <row r="747" s="3" customFormat="1" x14ac:dyDescent="0.25"/>
    <row r="748" s="3" customFormat="1" x14ac:dyDescent="0.25"/>
    <row r="749" s="3" customFormat="1" x14ac:dyDescent="0.25"/>
    <row r="750" s="3" customFormat="1" x14ac:dyDescent="0.25"/>
    <row r="751" s="3" customFormat="1" x14ac:dyDescent="0.25"/>
    <row r="752" s="3" customFormat="1" x14ac:dyDescent="0.25"/>
    <row r="753" s="3" customFormat="1" x14ac:dyDescent="0.25"/>
    <row r="754" s="3" customFormat="1" x14ac:dyDescent="0.25"/>
    <row r="755" s="3" customFormat="1" x14ac:dyDescent="0.25"/>
    <row r="756" s="3" customFormat="1" x14ac:dyDescent="0.25"/>
    <row r="757" s="3" customFormat="1" x14ac:dyDescent="0.25"/>
    <row r="758" s="3" customFormat="1" x14ac:dyDescent="0.25"/>
    <row r="759" s="3" customFormat="1" x14ac:dyDescent="0.25"/>
    <row r="760" s="3" customFormat="1" x14ac:dyDescent="0.25"/>
    <row r="761" s="3" customFormat="1" x14ac:dyDescent="0.25"/>
    <row r="762" s="3" customFormat="1" x14ac:dyDescent="0.25"/>
    <row r="763" s="3" customFormat="1" x14ac:dyDescent="0.25"/>
    <row r="764" s="3" customFormat="1" x14ac:dyDescent="0.25"/>
    <row r="765" s="3" customFormat="1" x14ac:dyDescent="0.25"/>
    <row r="766" s="3" customFormat="1" x14ac:dyDescent="0.25"/>
    <row r="767" s="3" customFormat="1" x14ac:dyDescent="0.25"/>
    <row r="768" s="3" customFormat="1" x14ac:dyDescent="0.25"/>
    <row r="769" s="3" customFormat="1" x14ac:dyDescent="0.25"/>
    <row r="770" s="3" customFormat="1" x14ac:dyDescent="0.25"/>
    <row r="771" s="3" customFormat="1" x14ac:dyDescent="0.25"/>
    <row r="772" s="3" customFormat="1" x14ac:dyDescent="0.25"/>
    <row r="773" s="3" customFormat="1" x14ac:dyDescent="0.25"/>
    <row r="774" s="3" customFormat="1" x14ac:dyDescent="0.25"/>
    <row r="775" s="3" customFormat="1" x14ac:dyDescent="0.25"/>
    <row r="776" s="3" customFormat="1" x14ac:dyDescent="0.25"/>
    <row r="777" s="3" customFormat="1" x14ac:dyDescent="0.25"/>
    <row r="778" s="3" customFormat="1" x14ac:dyDescent="0.25"/>
    <row r="779" s="3" customFormat="1" x14ac:dyDescent="0.25"/>
    <row r="780" s="3" customFormat="1" x14ac:dyDescent="0.25"/>
    <row r="781" s="3" customFormat="1" x14ac:dyDescent="0.25"/>
    <row r="782" s="3" customFormat="1" x14ac:dyDescent="0.25"/>
    <row r="783" s="3" customFormat="1" x14ac:dyDescent="0.25"/>
    <row r="784" s="3" customFormat="1" x14ac:dyDescent="0.25"/>
    <row r="785" s="3" customFormat="1" x14ac:dyDescent="0.25"/>
    <row r="786" s="3" customFormat="1" x14ac:dyDescent="0.25"/>
    <row r="787" s="3" customFormat="1" x14ac:dyDescent="0.25"/>
    <row r="788" s="3" customFormat="1" x14ac:dyDescent="0.25"/>
    <row r="789" s="3" customFormat="1" x14ac:dyDescent="0.25"/>
    <row r="790" s="3" customFormat="1" x14ac:dyDescent="0.25"/>
    <row r="791" s="3" customFormat="1" x14ac:dyDescent="0.25"/>
    <row r="792" s="3" customFormat="1" x14ac:dyDescent="0.25"/>
    <row r="793" s="3" customFormat="1" x14ac:dyDescent="0.25"/>
    <row r="794" s="3" customFormat="1" x14ac:dyDescent="0.25"/>
    <row r="795" s="3" customFormat="1" x14ac:dyDescent="0.25"/>
    <row r="796" s="3" customFormat="1" x14ac:dyDescent="0.25"/>
    <row r="797" s="3" customFormat="1" x14ac:dyDescent="0.25"/>
    <row r="798" s="3" customFormat="1" x14ac:dyDescent="0.25"/>
    <row r="799" s="3" customFormat="1" x14ac:dyDescent="0.25"/>
    <row r="800" s="3" customFormat="1" x14ac:dyDescent="0.25"/>
    <row r="801" s="3" customFormat="1" x14ac:dyDescent="0.25"/>
    <row r="802" s="3" customFormat="1" x14ac:dyDescent="0.25"/>
    <row r="803" s="3" customFormat="1" x14ac:dyDescent="0.25"/>
    <row r="804" s="3" customFormat="1" x14ac:dyDescent="0.25"/>
    <row r="805" s="3" customFormat="1" x14ac:dyDescent="0.25"/>
    <row r="806" s="3" customFormat="1" x14ac:dyDescent="0.25"/>
    <row r="807" s="3" customFormat="1" x14ac:dyDescent="0.25"/>
    <row r="808" s="3" customFormat="1" x14ac:dyDescent="0.25"/>
    <row r="809" s="3" customFormat="1" x14ac:dyDescent="0.25"/>
    <row r="810" s="3" customFormat="1" x14ac:dyDescent="0.25"/>
    <row r="811" s="3" customFormat="1" x14ac:dyDescent="0.25"/>
    <row r="812" s="3" customFormat="1" x14ac:dyDescent="0.25"/>
    <row r="813" s="3" customFormat="1" x14ac:dyDescent="0.25"/>
    <row r="814" s="3" customFormat="1" x14ac:dyDescent="0.25"/>
    <row r="815" s="3" customFormat="1" x14ac:dyDescent="0.25"/>
    <row r="816" s="3" customFormat="1" x14ac:dyDescent="0.25"/>
    <row r="817" s="3" customFormat="1" x14ac:dyDescent="0.25"/>
    <row r="818" s="3" customFormat="1" x14ac:dyDescent="0.25"/>
    <row r="819" s="3" customFormat="1" x14ac:dyDescent="0.25"/>
    <row r="820" s="3" customFormat="1" x14ac:dyDescent="0.25"/>
    <row r="821" s="3" customFormat="1" x14ac:dyDescent="0.25"/>
    <row r="822" s="3" customFormat="1" x14ac:dyDescent="0.25"/>
    <row r="823" s="3" customFormat="1" x14ac:dyDescent="0.25"/>
    <row r="824" s="3" customFormat="1" x14ac:dyDescent="0.25"/>
    <row r="825" s="3" customFormat="1" x14ac:dyDescent="0.25"/>
    <row r="826" s="3" customFormat="1" x14ac:dyDescent="0.25"/>
    <row r="827" s="3" customFormat="1" x14ac:dyDescent="0.25"/>
    <row r="828" s="3" customFormat="1" x14ac:dyDescent="0.25"/>
    <row r="829" s="3" customFormat="1" x14ac:dyDescent="0.25"/>
    <row r="830" s="3" customFormat="1" x14ac:dyDescent="0.25"/>
    <row r="831" s="3" customFormat="1" x14ac:dyDescent="0.25"/>
    <row r="832" s="3" customFormat="1" x14ac:dyDescent="0.25"/>
    <row r="833" s="3" customFormat="1" x14ac:dyDescent="0.25"/>
    <row r="834" s="3" customFormat="1" x14ac:dyDescent="0.25"/>
    <row r="835" s="3" customFormat="1" x14ac:dyDescent="0.25"/>
    <row r="836" s="3" customFormat="1" x14ac:dyDescent="0.25"/>
    <row r="837" s="3" customFormat="1" x14ac:dyDescent="0.25"/>
    <row r="838" s="3" customFormat="1" x14ac:dyDescent="0.25"/>
    <row r="839" s="3" customFormat="1" x14ac:dyDescent="0.25"/>
    <row r="840" s="3" customFormat="1" x14ac:dyDescent="0.25"/>
    <row r="841" s="3" customFormat="1" x14ac:dyDescent="0.25"/>
    <row r="842" s="3" customFormat="1" x14ac:dyDescent="0.25"/>
    <row r="843" s="3" customFormat="1" x14ac:dyDescent="0.25"/>
    <row r="844" s="3" customFormat="1" x14ac:dyDescent="0.25"/>
    <row r="845" s="3" customFormat="1" x14ac:dyDescent="0.25"/>
    <row r="846" s="3" customFormat="1" x14ac:dyDescent="0.25"/>
    <row r="847" s="3" customFormat="1" x14ac:dyDescent="0.25"/>
    <row r="848" s="3" customFormat="1" x14ac:dyDescent="0.25"/>
    <row r="849" s="3" customFormat="1" x14ac:dyDescent="0.25"/>
    <row r="850" s="3" customFormat="1" x14ac:dyDescent="0.25"/>
    <row r="851" s="3" customFormat="1" x14ac:dyDescent="0.25"/>
    <row r="852" s="3" customFormat="1" x14ac:dyDescent="0.25"/>
    <row r="853" s="3" customFormat="1" x14ac:dyDescent="0.25"/>
    <row r="854" s="3" customFormat="1" x14ac:dyDescent="0.25"/>
    <row r="855" s="3" customFormat="1" x14ac:dyDescent="0.25"/>
    <row r="856" s="3" customFormat="1" x14ac:dyDescent="0.25"/>
    <row r="857" s="3" customFormat="1" x14ac:dyDescent="0.25"/>
    <row r="858" s="3" customFormat="1" x14ac:dyDescent="0.25"/>
    <row r="859" s="3" customFormat="1" x14ac:dyDescent="0.25"/>
    <row r="860" s="3" customFormat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5">
    <tabColor rgb="FF0070C0"/>
    <pageSetUpPr fitToPage="1"/>
  </sheetPr>
  <dimension ref="A1:BD67"/>
  <sheetViews>
    <sheetView showGridLines="0" zoomScaleNormal="100" workbookViewId="0">
      <selection activeCell="BA8" sqref="BA8"/>
    </sheetView>
  </sheetViews>
  <sheetFormatPr baseColWidth="10" defaultRowHeight="15" x14ac:dyDescent="0.25"/>
  <cols>
    <col min="1" max="1" width="15.7109375" customWidth="1"/>
    <col min="2" max="2" width="33.85546875" bestFit="1" customWidth="1"/>
    <col min="3" max="16" width="8.85546875" hidden="1" customWidth="1"/>
    <col min="17" max="17" width="14" customWidth="1"/>
    <col min="18" max="26" width="8.85546875" hidden="1" customWidth="1"/>
    <col min="27" max="27" width="14" customWidth="1"/>
    <col min="28" max="46" width="14" hidden="1" customWidth="1"/>
    <col min="47" max="47" width="14" customWidth="1"/>
    <col min="49" max="49" width="13.42578125" customWidth="1"/>
  </cols>
  <sheetData>
    <row r="1" spans="1:56" s="244" customFormat="1" ht="45" customHeight="1" x14ac:dyDescent="0.25">
      <c r="A1" s="239" t="str">
        <f>Résultats!B1</f>
        <v>SNBC3</v>
      </c>
      <c r="B1" s="240" t="s">
        <v>465</v>
      </c>
      <c r="C1" s="241">
        <v>2006</v>
      </c>
      <c r="D1" s="242">
        <v>2007</v>
      </c>
      <c r="E1" s="242">
        <v>2008</v>
      </c>
      <c r="F1" s="242">
        <v>2009</v>
      </c>
      <c r="G1" s="242">
        <v>2010</v>
      </c>
      <c r="H1" s="242">
        <v>2011</v>
      </c>
      <c r="I1" s="242">
        <v>2012</v>
      </c>
      <c r="J1" s="242">
        <v>2013</v>
      </c>
      <c r="K1" s="242">
        <v>2014</v>
      </c>
      <c r="L1" s="242">
        <v>2015</v>
      </c>
      <c r="M1" s="242">
        <v>2016</v>
      </c>
      <c r="N1" s="242">
        <v>2017</v>
      </c>
      <c r="O1" s="242">
        <v>2018</v>
      </c>
      <c r="P1" s="242">
        <v>2019</v>
      </c>
      <c r="Q1" s="242">
        <v>2020</v>
      </c>
      <c r="R1" s="242">
        <v>2021</v>
      </c>
      <c r="S1" s="242">
        <v>2022</v>
      </c>
      <c r="T1" s="242">
        <v>2023</v>
      </c>
      <c r="U1" s="242">
        <v>2024</v>
      </c>
      <c r="V1" s="242">
        <v>2025</v>
      </c>
      <c r="W1" s="242">
        <v>2026</v>
      </c>
      <c r="X1" s="242">
        <v>2027</v>
      </c>
      <c r="Y1" s="242">
        <v>2028</v>
      </c>
      <c r="Z1" s="242">
        <v>2029</v>
      </c>
      <c r="AA1" s="242">
        <v>2030</v>
      </c>
      <c r="AB1" s="242">
        <v>2031</v>
      </c>
      <c r="AC1" s="242">
        <v>2032</v>
      </c>
      <c r="AD1" s="242">
        <v>2033</v>
      </c>
      <c r="AE1" s="242">
        <v>2034</v>
      </c>
      <c r="AF1" s="242">
        <v>2035</v>
      </c>
      <c r="AG1" s="242">
        <v>2036</v>
      </c>
      <c r="AH1" s="242">
        <v>2037</v>
      </c>
      <c r="AI1" s="242">
        <v>2038</v>
      </c>
      <c r="AJ1" s="242">
        <v>2039</v>
      </c>
      <c r="AK1" s="242">
        <v>2040</v>
      </c>
      <c r="AL1" s="242">
        <v>2041</v>
      </c>
      <c r="AM1" s="242">
        <v>2042</v>
      </c>
      <c r="AN1" s="242">
        <v>2043</v>
      </c>
      <c r="AO1" s="242">
        <v>2044</v>
      </c>
      <c r="AP1" s="242">
        <v>2045</v>
      </c>
      <c r="AQ1" s="242">
        <v>2046</v>
      </c>
      <c r="AR1" s="242">
        <v>2047</v>
      </c>
      <c r="AS1" s="242">
        <v>2048</v>
      </c>
      <c r="AT1" s="242">
        <v>2049</v>
      </c>
      <c r="AU1" s="243">
        <v>2050</v>
      </c>
      <c r="AW1" s="266" t="s">
        <v>493</v>
      </c>
      <c r="AX1" s="242">
        <v>2020</v>
      </c>
      <c r="AY1" s="242">
        <v>2030</v>
      </c>
      <c r="AZ1" s="243">
        <v>2050</v>
      </c>
    </row>
    <row r="2" spans="1:56" x14ac:dyDescent="0.25">
      <c r="B2" s="245" t="s">
        <v>1</v>
      </c>
      <c r="C2" s="246">
        <f t="shared" ref="C2:AU2" si="0">C3+C4+C7</f>
        <v>842942.38378000003</v>
      </c>
      <c r="D2" s="247">
        <f t="shared" si="0"/>
        <v>878459.86135999998</v>
      </c>
      <c r="E2" s="247">
        <f t="shared" si="0"/>
        <v>895073.0687200001</v>
      </c>
      <c r="F2" s="247">
        <f t="shared" si="0"/>
        <v>922447.58224999998</v>
      </c>
      <c r="G2" s="247">
        <f t="shared" si="0"/>
        <v>944843.64842999994</v>
      </c>
      <c r="H2" s="247">
        <f t="shared" si="0"/>
        <v>983088.66249000002</v>
      </c>
      <c r="I2" s="247">
        <f t="shared" si="0"/>
        <v>1023626.67165</v>
      </c>
      <c r="J2" s="247">
        <f t="shared" si="0"/>
        <v>1068215.2634000001</v>
      </c>
      <c r="K2" s="247">
        <f t="shared" si="0"/>
        <v>1124133.98361</v>
      </c>
      <c r="L2" s="247">
        <f t="shared" si="0"/>
        <v>1182712.6366599998</v>
      </c>
      <c r="M2" s="247">
        <f t="shared" si="0"/>
        <v>1185729.0481799999</v>
      </c>
      <c r="N2" s="247">
        <f t="shared" si="0"/>
        <v>1182008.84014</v>
      </c>
      <c r="O2" s="247">
        <f t="shared" si="0"/>
        <v>1177876.28229</v>
      </c>
      <c r="P2" s="247">
        <f t="shared" si="0"/>
        <v>1172095.05476</v>
      </c>
      <c r="Q2" s="247">
        <f t="shared" si="0"/>
        <v>1183810.7605699999</v>
      </c>
      <c r="R2" s="247">
        <f t="shared" si="0"/>
        <v>1190860.21028</v>
      </c>
      <c r="S2" s="247">
        <f t="shared" si="0"/>
        <v>1194312.6880699999</v>
      </c>
      <c r="T2" s="247">
        <f t="shared" si="0"/>
        <v>1197513.6104899999</v>
      </c>
      <c r="U2" s="247">
        <f t="shared" si="0"/>
        <v>1184169.2599599999</v>
      </c>
      <c r="V2" s="247">
        <f t="shared" si="0"/>
        <v>1173023.3433299998</v>
      </c>
      <c r="W2" s="247">
        <f t="shared" si="0"/>
        <v>1175685.98783</v>
      </c>
      <c r="X2" s="247">
        <f t="shared" si="0"/>
        <v>1174480.0262199999</v>
      </c>
      <c r="Y2" s="247">
        <f t="shared" si="0"/>
        <v>1171075.62515</v>
      </c>
      <c r="Z2" s="247">
        <f t="shared" si="0"/>
        <v>1166279.6342500001</v>
      </c>
      <c r="AA2" s="247">
        <f t="shared" si="0"/>
        <v>1160424.4347099999</v>
      </c>
      <c r="AB2" s="247">
        <f t="shared" si="0"/>
        <v>1156502.42349</v>
      </c>
      <c r="AC2" s="247">
        <f t="shared" si="0"/>
        <v>1152740.45331</v>
      </c>
      <c r="AD2" s="247">
        <f t="shared" si="0"/>
        <v>1148994.16634</v>
      </c>
      <c r="AE2" s="247">
        <f t="shared" si="0"/>
        <v>1145464.9002399999</v>
      </c>
      <c r="AF2" s="247">
        <f t="shared" si="0"/>
        <v>1142156.9279800002</v>
      </c>
      <c r="AG2" s="247">
        <f t="shared" si="0"/>
        <v>1138038.3505000002</v>
      </c>
      <c r="AH2" s="247">
        <f t="shared" si="0"/>
        <v>1134960.5563000001</v>
      </c>
      <c r="AI2" s="247">
        <f t="shared" si="0"/>
        <v>1132255.3842569999</v>
      </c>
      <c r="AJ2" s="247">
        <f t="shared" si="0"/>
        <v>1130097.887506</v>
      </c>
      <c r="AK2" s="247">
        <f t="shared" si="0"/>
        <v>1128031.3840370001</v>
      </c>
      <c r="AL2" s="247">
        <f t="shared" si="0"/>
        <v>1125903.6338769998</v>
      </c>
      <c r="AM2" s="247">
        <f t="shared" si="0"/>
        <v>1124176.6390809999</v>
      </c>
      <c r="AN2" s="247">
        <f t="shared" si="0"/>
        <v>1122511.5968559999</v>
      </c>
      <c r="AO2" s="247">
        <f t="shared" si="0"/>
        <v>1120959.698055</v>
      </c>
      <c r="AP2" s="247">
        <f t="shared" si="0"/>
        <v>1117480.3501800001</v>
      </c>
      <c r="AQ2" s="247">
        <f t="shared" si="0"/>
        <v>1114110.9564999999</v>
      </c>
      <c r="AR2" s="247">
        <f t="shared" si="0"/>
        <v>1111304.506023</v>
      </c>
      <c r="AS2" s="247">
        <f t="shared" si="0"/>
        <v>1108997.6916370001</v>
      </c>
      <c r="AT2" s="247">
        <f t="shared" si="0"/>
        <v>1107013.0964569999</v>
      </c>
      <c r="AU2" s="248">
        <f t="shared" si="0"/>
        <v>1104711.805437</v>
      </c>
      <c r="AW2" t="s">
        <v>494</v>
      </c>
      <c r="AX2" s="299">
        <f>Q8/Q7</f>
        <v>0.92268454241954057</v>
      </c>
      <c r="AY2" s="299">
        <f>AA8/AA7</f>
        <v>0.90656364152601931</v>
      </c>
      <c r="AZ2" s="299">
        <f>AU8/AU7</f>
        <v>0.88156461311282364</v>
      </c>
    </row>
    <row r="3" spans="1:56" x14ac:dyDescent="0.25">
      <c r="B3" s="249" t="s">
        <v>466</v>
      </c>
      <c r="C3" s="250">
        <f>Résultats!E286</f>
        <v>13442.05508</v>
      </c>
      <c r="D3" s="251">
        <f>Résultats!F286</f>
        <v>13710.533160000001</v>
      </c>
      <c r="E3" s="251">
        <f>Résultats!G286</f>
        <v>14052.66192</v>
      </c>
      <c r="F3" s="251">
        <f>Résultats!H286</f>
        <v>13551.263650000001</v>
      </c>
      <c r="G3" s="251">
        <f>Résultats!I286</f>
        <v>13076.845429999999</v>
      </c>
      <c r="H3" s="251">
        <f>Résultats!J286</f>
        <v>13351.98919</v>
      </c>
      <c r="I3" s="251">
        <f>Résultats!K286</f>
        <v>13561.70865</v>
      </c>
      <c r="J3" s="251">
        <f>Résultats!L286</f>
        <v>13434.457899999999</v>
      </c>
      <c r="K3" s="251">
        <f>Résultats!M286</f>
        <v>13627.69461</v>
      </c>
      <c r="L3" s="251">
        <f>Résultats!N286</f>
        <v>14042.935359999999</v>
      </c>
      <c r="M3" s="251">
        <f>Résultats!O286</f>
        <v>14305.41008</v>
      </c>
      <c r="N3" s="251">
        <f>Résultats!P286</f>
        <v>14584.650739999999</v>
      </c>
      <c r="O3" s="251">
        <f>Résultats!Q286</f>
        <v>14980.217290000001</v>
      </c>
      <c r="P3" s="251">
        <f>Résultats!R286</f>
        <v>15374.337659999999</v>
      </c>
      <c r="Q3" s="251">
        <f>Résultats!S286</f>
        <v>15036.76384</v>
      </c>
      <c r="R3" s="251">
        <f>Résultats!T286</f>
        <v>14515.149369999999</v>
      </c>
      <c r="S3" s="251">
        <f>Résultats!U286</f>
        <v>14300.75304</v>
      </c>
      <c r="T3" s="251">
        <f>Résultats!V286</f>
        <v>14179.26511</v>
      </c>
      <c r="U3" s="251">
        <f>Résultats!W286</f>
        <v>14017.93411</v>
      </c>
      <c r="V3" s="251">
        <f>Résultats!X286</f>
        <v>13752.02126</v>
      </c>
      <c r="W3" s="251">
        <f>Résultats!Y286</f>
        <v>13522.68807</v>
      </c>
      <c r="X3" s="251">
        <f>Résultats!Z286</f>
        <v>13334.548119999999</v>
      </c>
      <c r="Y3" s="251">
        <f>Résultats!AA286</f>
        <v>13165.62716</v>
      </c>
      <c r="Z3" s="251">
        <f>Résultats!AB286</f>
        <v>13010.21861</v>
      </c>
      <c r="AA3" s="251">
        <f>Résultats!AC286</f>
        <v>12816.875690000001</v>
      </c>
      <c r="AB3" s="251">
        <f>Résultats!AD286</f>
        <v>12375.800219999999</v>
      </c>
      <c r="AC3" s="251">
        <f>Résultats!AE286</f>
        <v>11987.65055</v>
      </c>
      <c r="AD3" s="251">
        <f>Résultats!AF286</f>
        <v>11611.994199999999</v>
      </c>
      <c r="AE3" s="251">
        <f>Résultats!AG286</f>
        <v>11250.492829999999</v>
      </c>
      <c r="AF3" s="251">
        <f>Résultats!AH286</f>
        <v>10897.31761</v>
      </c>
      <c r="AG3" s="251">
        <f>Résultats!AI286</f>
        <v>10566.85223</v>
      </c>
      <c r="AH3" s="251">
        <f>Résultats!AJ286</f>
        <v>10276.06997</v>
      </c>
      <c r="AI3" s="251">
        <f>Résultats!AK286</f>
        <v>9981.6052970000001</v>
      </c>
      <c r="AJ3" s="251">
        <f>Résultats!AL286</f>
        <v>9720.5062859999998</v>
      </c>
      <c r="AK3" s="251">
        <f>Résultats!AM286</f>
        <v>9450.1743569999999</v>
      </c>
      <c r="AL3" s="251">
        <f>Résultats!AN286</f>
        <v>9200.8238070000007</v>
      </c>
      <c r="AM3" s="251">
        <f>Résultats!AO286</f>
        <v>8976.1201110000002</v>
      </c>
      <c r="AN3" s="251">
        <f>Résultats!AP286</f>
        <v>8739.4432359999901</v>
      </c>
      <c r="AO3" s="251">
        <f>Résultats!AQ286</f>
        <v>8509.8856649999998</v>
      </c>
      <c r="AP3" s="251">
        <f>Résultats!AR286</f>
        <v>8283.5776000000005</v>
      </c>
      <c r="AQ3" s="251">
        <f>Résultats!AS286</f>
        <v>8052.9683599999998</v>
      </c>
      <c r="AR3" s="251">
        <f>Résultats!AT286</f>
        <v>7824.5577929999999</v>
      </c>
      <c r="AS3" s="251">
        <f>Résultats!AU286</f>
        <v>7607.1705570000004</v>
      </c>
      <c r="AT3" s="251">
        <f>Résultats!AV286</f>
        <v>7397.0283369999997</v>
      </c>
      <c r="AU3" s="252">
        <f>Résultats!AW286</f>
        <v>7187.3532670000004</v>
      </c>
      <c r="AV3" s="253"/>
      <c r="AW3" t="s">
        <v>495</v>
      </c>
      <c r="AX3" s="299">
        <f>Q5/Q4</f>
        <v>0.634454027360152</v>
      </c>
      <c r="AY3" s="299">
        <f>AA5/AA4</f>
        <v>0.55810147753163331</v>
      </c>
      <c r="AZ3" s="299">
        <f>AU5/AU4</f>
        <v>0.44812276541530632</v>
      </c>
    </row>
    <row r="4" spans="1:56" x14ac:dyDescent="0.25">
      <c r="B4" s="254" t="s">
        <v>467</v>
      </c>
      <c r="C4" s="255">
        <f>Résultats!E292</f>
        <v>248850.0986</v>
      </c>
      <c r="D4" s="256">
        <f>Résultats!F292</f>
        <v>266931.54960000003</v>
      </c>
      <c r="E4" s="256">
        <f>Résultats!G292</f>
        <v>279010.91340000002</v>
      </c>
      <c r="F4" s="256">
        <f>Résultats!H292</f>
        <v>295035.89880000002</v>
      </c>
      <c r="G4" s="256">
        <f>Résultats!I292</f>
        <v>308744.22149999999</v>
      </c>
      <c r="H4" s="256">
        <f>Résultats!J292</f>
        <v>330162.05089999997</v>
      </c>
      <c r="I4" s="256">
        <f>Résultats!K292</f>
        <v>355210.85920000001</v>
      </c>
      <c r="J4" s="256">
        <f>Résultats!L292</f>
        <v>380667.45069999999</v>
      </c>
      <c r="K4" s="256">
        <f>Résultats!M292</f>
        <v>410196.43550000002</v>
      </c>
      <c r="L4" s="256">
        <f>Résultats!N292</f>
        <v>441858.39939999999</v>
      </c>
      <c r="M4" s="256">
        <f>Résultats!O292</f>
        <v>440844.30099999998</v>
      </c>
      <c r="N4" s="256">
        <f>Résultats!P292</f>
        <v>436493.58020000003</v>
      </c>
      <c r="O4" s="256">
        <f>Résultats!Q292</f>
        <v>434389.52529999998</v>
      </c>
      <c r="P4" s="256">
        <f>Résultats!R292</f>
        <v>431638.3309</v>
      </c>
      <c r="Q4" s="256">
        <f>SUM(Q5:Q6)</f>
        <v>438896.71480000002</v>
      </c>
      <c r="R4" s="256">
        <f t="shared" ref="R4:AU4" si="1">SUM(R5:R6)</f>
        <v>342401.16441000003</v>
      </c>
      <c r="S4" s="256">
        <f t="shared" si="1"/>
        <v>344535.46873000002</v>
      </c>
      <c r="T4" s="256">
        <f t="shared" si="1"/>
        <v>345336.82318000001</v>
      </c>
      <c r="U4" s="256">
        <f t="shared" si="1"/>
        <v>328894.25644999999</v>
      </c>
      <c r="V4" s="256">
        <f t="shared" si="1"/>
        <v>316243.42796999996</v>
      </c>
      <c r="W4" s="256">
        <f t="shared" si="1"/>
        <v>321491.69426000002</v>
      </c>
      <c r="X4" s="256">
        <f t="shared" si="1"/>
        <v>323087.95360000001</v>
      </c>
      <c r="Y4" s="256">
        <f t="shared" si="1"/>
        <v>322812.32659000001</v>
      </c>
      <c r="Z4" s="256">
        <f t="shared" si="1"/>
        <v>321166.67884000001</v>
      </c>
      <c r="AA4" s="256">
        <f t="shared" si="1"/>
        <v>455295.2132</v>
      </c>
      <c r="AB4" s="256">
        <f t="shared" si="1"/>
        <v>317951.15906999999</v>
      </c>
      <c r="AC4" s="256">
        <f t="shared" si="1"/>
        <v>316888.06135999999</v>
      </c>
      <c r="AD4" s="256">
        <f t="shared" si="1"/>
        <v>315927.66894</v>
      </c>
      <c r="AE4" s="256">
        <f t="shared" si="1"/>
        <v>315031.48071000003</v>
      </c>
      <c r="AF4" s="256">
        <f t="shared" si="1"/>
        <v>314232.75806999998</v>
      </c>
      <c r="AG4" s="256">
        <f t="shared" si="1"/>
        <v>312427.27296999999</v>
      </c>
      <c r="AH4" s="256">
        <f t="shared" si="1"/>
        <v>311096.80163</v>
      </c>
      <c r="AI4" s="256">
        <f t="shared" si="1"/>
        <v>310118.69116000005</v>
      </c>
      <c r="AJ4" s="256">
        <f t="shared" si="1"/>
        <v>309235.49682</v>
      </c>
      <c r="AK4" s="256">
        <f t="shared" si="1"/>
        <v>308481.10388000001</v>
      </c>
      <c r="AL4" s="256">
        <f t="shared" si="1"/>
        <v>307734.70606999996</v>
      </c>
      <c r="AM4" s="256">
        <f t="shared" si="1"/>
        <v>306992.49407000002</v>
      </c>
      <c r="AN4" s="256">
        <f t="shared" si="1"/>
        <v>306336.53492000001</v>
      </c>
      <c r="AO4" s="256">
        <f t="shared" si="1"/>
        <v>305661.68978999997</v>
      </c>
      <c r="AP4" s="256">
        <f t="shared" si="1"/>
        <v>303323.59888000001</v>
      </c>
      <c r="AQ4" s="256">
        <f t="shared" si="1"/>
        <v>301385.48343999998</v>
      </c>
      <c r="AR4" s="256">
        <f t="shared" si="1"/>
        <v>299706.25922999997</v>
      </c>
      <c r="AS4" s="256">
        <f t="shared" si="1"/>
        <v>298164.17817999999</v>
      </c>
      <c r="AT4" s="256">
        <f t="shared" si="1"/>
        <v>296738.81712000002</v>
      </c>
      <c r="AU4" s="256">
        <f t="shared" si="1"/>
        <v>502556.80759999994</v>
      </c>
      <c r="AV4" s="253"/>
      <c r="AW4" t="s">
        <v>496</v>
      </c>
      <c r="AX4" s="299">
        <f>Q10/(Q7+Q4)</f>
        <v>0.8144485391215468</v>
      </c>
      <c r="AY4" s="299">
        <f>AA10/(AA7+AA4)</f>
        <v>0.76831676958711426</v>
      </c>
      <c r="AZ4" s="299">
        <f>AU10/(AU7+AU4)</f>
        <v>0.68309144850275683</v>
      </c>
    </row>
    <row r="5" spans="1:56" x14ac:dyDescent="0.25">
      <c r="B5" s="258" t="s">
        <v>468</v>
      </c>
      <c r="C5" s="259">
        <f>Résultats!E287</f>
        <v>163461.30420000001</v>
      </c>
      <c r="D5" s="212">
        <f>Résultats!F287</f>
        <v>173277.53479999999</v>
      </c>
      <c r="E5" s="212">
        <f>Résultats!G287</f>
        <v>180525.76500000001</v>
      </c>
      <c r="F5" s="212">
        <f>Résultats!H287</f>
        <v>188717.15429999999</v>
      </c>
      <c r="G5" s="212">
        <f>Résultats!I287</f>
        <v>196734.65359999999</v>
      </c>
      <c r="H5" s="212">
        <f>Résultats!J287</f>
        <v>206682.56099999999</v>
      </c>
      <c r="I5" s="212">
        <f>Résultats!K287</f>
        <v>222217.52369999999</v>
      </c>
      <c r="J5" s="212">
        <f>Résultats!L287</f>
        <v>238372.9362</v>
      </c>
      <c r="K5" s="212">
        <f>Résultats!M287</f>
        <v>255664.30350000001</v>
      </c>
      <c r="L5" s="212">
        <f>Résultats!N287</f>
        <v>278757.0601</v>
      </c>
      <c r="M5" s="212">
        <f>Résultats!O287</f>
        <v>280291.60930000001</v>
      </c>
      <c r="N5" s="212">
        <f>Résultats!P287</f>
        <v>275447.27010000002</v>
      </c>
      <c r="O5" s="212">
        <f>Résultats!Q287</f>
        <v>270205.15360000002</v>
      </c>
      <c r="P5" s="212">
        <f>Résultats!R287</f>
        <v>270375.04840000003</v>
      </c>
      <c r="Q5" s="212">
        <f>Résultats!S287</f>
        <v>278459.78830000001</v>
      </c>
      <c r="R5" s="212">
        <f>Résultats!T287</f>
        <v>286653.43410000001</v>
      </c>
      <c r="S5" s="212">
        <f>Résultats!U287</f>
        <v>288764.4007</v>
      </c>
      <c r="T5" s="212">
        <f>Résultats!V287</f>
        <v>289292.3849</v>
      </c>
      <c r="U5" s="212">
        <f>Résultats!W287</f>
        <v>269521.31809999997</v>
      </c>
      <c r="V5" s="212">
        <f>Résultats!X287</f>
        <v>254155.13649999999</v>
      </c>
      <c r="W5" s="212">
        <f>Résultats!Y287</f>
        <v>259339.0931</v>
      </c>
      <c r="X5" s="212">
        <f>Résultats!Z287</f>
        <v>260482.84390000001</v>
      </c>
      <c r="Y5" s="212">
        <f>Résultats!AA287</f>
        <v>259607.63680000001</v>
      </c>
      <c r="Z5" s="212">
        <f>Résultats!AB287</f>
        <v>257236.84469999999</v>
      </c>
      <c r="AA5" s="212">
        <f>Résultats!AC287</f>
        <v>254100.93119999999</v>
      </c>
      <c r="AB5" s="212">
        <f>Résultats!AD287</f>
        <v>253028.383</v>
      </c>
      <c r="AC5" s="212">
        <f>Résultats!AE287</f>
        <v>251689.1134</v>
      </c>
      <c r="AD5" s="212">
        <f>Résultats!AF287</f>
        <v>250508.5208</v>
      </c>
      <c r="AE5" s="212">
        <f>Résultats!AG287</f>
        <v>249398.8272</v>
      </c>
      <c r="AF5" s="212">
        <f>Résultats!AH287</f>
        <v>248401.05720000001</v>
      </c>
      <c r="AG5" s="212">
        <f>Résultats!AI287</f>
        <v>246226.47219999999</v>
      </c>
      <c r="AH5" s="212">
        <f>Résultats!AJ287</f>
        <v>244537.6728</v>
      </c>
      <c r="AI5" s="212">
        <f>Résultats!AK287</f>
        <v>243262.14430000001</v>
      </c>
      <c r="AJ5" s="212">
        <f>Résultats!AL287</f>
        <v>242055.6085</v>
      </c>
      <c r="AK5" s="212">
        <f>Résultats!AM287</f>
        <v>241016.87179999999</v>
      </c>
      <c r="AL5" s="212">
        <f>Résultats!AN287</f>
        <v>239994.27299999999</v>
      </c>
      <c r="AM5" s="212">
        <f>Résultats!AO287</f>
        <v>238936.52230000001</v>
      </c>
      <c r="AN5" s="212">
        <f>Résultats!AP287</f>
        <v>237990.69149999999</v>
      </c>
      <c r="AO5" s="212">
        <f>Résultats!AQ287</f>
        <v>237025.35310000001</v>
      </c>
      <c r="AP5" s="212">
        <f>Résultats!AR287</f>
        <v>234236.0582</v>
      </c>
      <c r="AQ5" s="212">
        <f>Résultats!AS287</f>
        <v>231974.59539999999</v>
      </c>
      <c r="AR5" s="212">
        <f>Résultats!AT287</f>
        <v>229967.2113</v>
      </c>
      <c r="AS5" s="212">
        <f>Résultats!AU287</f>
        <v>228074.8339</v>
      </c>
      <c r="AT5" s="212">
        <f>Résultats!AV287</f>
        <v>226308.44940000001</v>
      </c>
      <c r="AU5" s="260">
        <f>Résultats!AW287</f>
        <v>225207.1464</v>
      </c>
    </row>
    <row r="6" spans="1:56" x14ac:dyDescent="0.25">
      <c r="B6" s="261" t="s">
        <v>469</v>
      </c>
      <c r="C6" s="262">
        <f>Résultats!E290</f>
        <v>47168.088009999999</v>
      </c>
      <c r="D6" s="263">
        <f>Résultats!F290</f>
        <v>48543.65653</v>
      </c>
      <c r="E6" s="263">
        <f>Résultats!G290</f>
        <v>48452.152840000002</v>
      </c>
      <c r="F6" s="263">
        <f>Résultats!H290</f>
        <v>49450.098599999998</v>
      </c>
      <c r="G6" s="263">
        <f>Résultats!I290</f>
        <v>50052.596019999997</v>
      </c>
      <c r="H6" s="263">
        <f>Résultats!J290</f>
        <v>51514.113290000001</v>
      </c>
      <c r="I6" s="263">
        <f>Résultats!K290</f>
        <v>52007.67729</v>
      </c>
      <c r="J6" s="263">
        <f>Résultats!L290</f>
        <v>53048.384639999997</v>
      </c>
      <c r="K6" s="263">
        <f>Résultats!M290</f>
        <v>54980.101699999999</v>
      </c>
      <c r="L6" s="263">
        <f>Résultats!N290</f>
        <v>56253.881390000002</v>
      </c>
      <c r="M6" s="263">
        <f>Résultats!O290</f>
        <v>56474.126409999997</v>
      </c>
      <c r="N6" s="263">
        <f>Résultats!P290</f>
        <v>57059.212699999996</v>
      </c>
      <c r="O6" s="263">
        <f>Résultats!Q290</f>
        <v>57399.56609</v>
      </c>
      <c r="P6" s="263">
        <f>Résultats!R290</f>
        <v>56826.888079999997</v>
      </c>
      <c r="Q6" s="263">
        <f>Résultats!S289</f>
        <v>160436.9265</v>
      </c>
      <c r="R6" s="263">
        <f>Résultats!T290</f>
        <v>55747.730309999999</v>
      </c>
      <c r="S6" s="263">
        <f>Résultats!U290</f>
        <v>55771.068030000002</v>
      </c>
      <c r="T6" s="263">
        <f>Résultats!V290</f>
        <v>56044.438280000002</v>
      </c>
      <c r="U6" s="263">
        <f>Résultats!W290</f>
        <v>59372.938349999997</v>
      </c>
      <c r="V6" s="263">
        <f>Résultats!X290</f>
        <v>62088.291469999996</v>
      </c>
      <c r="W6" s="263">
        <f>Résultats!Y290</f>
        <v>62152.601159999998</v>
      </c>
      <c r="X6" s="263">
        <f>Résultats!Z290</f>
        <v>62605.109700000001</v>
      </c>
      <c r="Y6" s="263">
        <f>Résultats!AA290</f>
        <v>63204.689789999997</v>
      </c>
      <c r="Z6" s="263">
        <f>Résultats!AB290</f>
        <v>63929.834139999999</v>
      </c>
      <c r="AA6" s="263">
        <f>Résultats!AC289</f>
        <v>201194.28200000001</v>
      </c>
      <c r="AB6" s="263">
        <f>Résultats!AD290</f>
        <v>64922.77607</v>
      </c>
      <c r="AC6" s="263">
        <f>Résultats!AE290</f>
        <v>65198.947959999998</v>
      </c>
      <c r="AD6" s="263">
        <f>Résultats!AF290</f>
        <v>65419.148139999998</v>
      </c>
      <c r="AE6" s="263">
        <f>Résultats!AG290</f>
        <v>65632.653510000004</v>
      </c>
      <c r="AF6" s="263">
        <f>Résultats!AH290</f>
        <v>65831.700870000001</v>
      </c>
      <c r="AG6" s="263">
        <f>Résultats!AI290</f>
        <v>66200.800770000002</v>
      </c>
      <c r="AH6" s="263">
        <f>Résultats!AJ290</f>
        <v>66559.128830000001</v>
      </c>
      <c r="AI6" s="263">
        <f>Résultats!AK290</f>
        <v>66856.546860000002</v>
      </c>
      <c r="AJ6" s="263">
        <f>Résultats!AL290</f>
        <v>67179.888319999998</v>
      </c>
      <c r="AK6" s="263">
        <f>Résultats!AM290</f>
        <v>67464.232080000002</v>
      </c>
      <c r="AL6" s="263">
        <f>Résultats!AN290</f>
        <v>67740.433069999999</v>
      </c>
      <c r="AM6" s="263">
        <f>Résultats!AO290</f>
        <v>68055.971770000004</v>
      </c>
      <c r="AN6" s="263">
        <f>Résultats!AP290</f>
        <v>68345.843420000005</v>
      </c>
      <c r="AO6" s="263">
        <f>Résultats!AQ290</f>
        <v>68636.336689999996</v>
      </c>
      <c r="AP6" s="263">
        <f>Résultats!AR290</f>
        <v>69087.540680000006</v>
      </c>
      <c r="AQ6" s="263">
        <f>Résultats!AS290</f>
        <v>69410.888040000005</v>
      </c>
      <c r="AR6" s="263">
        <f>Résultats!AT290</f>
        <v>69739.047930000001</v>
      </c>
      <c r="AS6" s="263">
        <f>Résultats!AU290</f>
        <v>70089.344280000005</v>
      </c>
      <c r="AT6" s="263">
        <f>Résultats!AV290</f>
        <v>70430.367719999995</v>
      </c>
      <c r="AU6" s="264">
        <f>Résultats!AW289</f>
        <v>277349.66119999997</v>
      </c>
      <c r="AV6" s="253"/>
      <c r="BB6" t="s">
        <v>506</v>
      </c>
    </row>
    <row r="7" spans="1:56" x14ac:dyDescent="0.25">
      <c r="B7" s="258" t="s">
        <v>470</v>
      </c>
      <c r="C7" s="259">
        <f>Résultats!E291</f>
        <v>580650.23010000004</v>
      </c>
      <c r="D7" s="212">
        <f>Résultats!F291</f>
        <v>597817.77859999996</v>
      </c>
      <c r="E7" s="212">
        <f>Résultats!G291</f>
        <v>602009.49340000004</v>
      </c>
      <c r="F7" s="212">
        <f>Résultats!H291</f>
        <v>613860.41980000003</v>
      </c>
      <c r="G7" s="212">
        <f>Résultats!I291</f>
        <v>623022.58149999997</v>
      </c>
      <c r="H7" s="212">
        <f>Résultats!J291</f>
        <v>639574.62239999999</v>
      </c>
      <c r="I7" s="212">
        <f>Résultats!K291</f>
        <v>654854.10380000004</v>
      </c>
      <c r="J7" s="212">
        <f>Résultats!L291</f>
        <v>674113.35479999997</v>
      </c>
      <c r="K7" s="212">
        <f>Résultats!M291</f>
        <v>700309.85349999997</v>
      </c>
      <c r="L7" s="212">
        <f>Résultats!N291</f>
        <v>726811.30189999996</v>
      </c>
      <c r="M7" s="212">
        <f>Résultats!O291</f>
        <v>730579.3371</v>
      </c>
      <c r="N7" s="212">
        <f>Résultats!P291</f>
        <v>730930.60919999995</v>
      </c>
      <c r="O7" s="212">
        <f>Résultats!Q291</f>
        <v>728506.53969999996</v>
      </c>
      <c r="P7" s="212">
        <f>Résultats!R291</f>
        <v>725082.38619999995</v>
      </c>
      <c r="Q7" s="212">
        <f>SUM(Q8:Q9)</f>
        <v>729877.28192999994</v>
      </c>
      <c r="R7" s="212">
        <f t="shared" ref="R7:AU7" si="2">SUM(R8:R9)</f>
        <v>833943.89650000003</v>
      </c>
      <c r="S7" s="212">
        <f t="shared" si="2"/>
        <v>835476.46629999997</v>
      </c>
      <c r="T7" s="212">
        <f t="shared" si="2"/>
        <v>837997.52220000001</v>
      </c>
      <c r="U7" s="212">
        <f t="shared" si="2"/>
        <v>841257.06939999992</v>
      </c>
      <c r="V7" s="212">
        <f t="shared" si="2"/>
        <v>843027.89409999992</v>
      </c>
      <c r="W7" s="212">
        <f t="shared" si="2"/>
        <v>840671.60550000006</v>
      </c>
      <c r="X7" s="212">
        <f t="shared" si="2"/>
        <v>838057.52449999994</v>
      </c>
      <c r="Y7" s="212">
        <f t="shared" si="2"/>
        <v>835097.67139999999</v>
      </c>
      <c r="Z7" s="212">
        <f t="shared" si="2"/>
        <v>832102.73680000007</v>
      </c>
      <c r="AA7" s="212">
        <f t="shared" si="2"/>
        <v>692312.34581999993</v>
      </c>
      <c r="AB7" s="212">
        <f t="shared" si="2"/>
        <v>826175.46419999993</v>
      </c>
      <c r="AC7" s="212">
        <f t="shared" si="2"/>
        <v>823864.74139999994</v>
      </c>
      <c r="AD7" s="212">
        <f t="shared" si="2"/>
        <v>821454.50320000004</v>
      </c>
      <c r="AE7" s="212">
        <f t="shared" si="2"/>
        <v>819182.92669999995</v>
      </c>
      <c r="AF7" s="212">
        <f t="shared" si="2"/>
        <v>817026.85230000003</v>
      </c>
      <c r="AG7" s="212">
        <f t="shared" si="2"/>
        <v>815044.22530000005</v>
      </c>
      <c r="AH7" s="212">
        <f t="shared" si="2"/>
        <v>813587.68469999998</v>
      </c>
      <c r="AI7" s="212">
        <f t="shared" si="2"/>
        <v>812155.08779999998</v>
      </c>
      <c r="AJ7" s="212">
        <f t="shared" si="2"/>
        <v>811141.88439999998</v>
      </c>
      <c r="AK7" s="212">
        <f t="shared" si="2"/>
        <v>810100.10580000002</v>
      </c>
      <c r="AL7" s="212">
        <f t="shared" si="2"/>
        <v>808968.10399999993</v>
      </c>
      <c r="AM7" s="212">
        <f t="shared" si="2"/>
        <v>808208.02489999996</v>
      </c>
      <c r="AN7" s="212">
        <f t="shared" si="2"/>
        <v>807435.61869999999</v>
      </c>
      <c r="AO7" s="212">
        <f t="shared" si="2"/>
        <v>806788.12260000012</v>
      </c>
      <c r="AP7" s="212">
        <f t="shared" si="2"/>
        <v>805873.17369999993</v>
      </c>
      <c r="AQ7" s="212">
        <f t="shared" si="2"/>
        <v>804672.50469999993</v>
      </c>
      <c r="AR7" s="212">
        <f t="shared" si="2"/>
        <v>803773.68900000001</v>
      </c>
      <c r="AS7" s="212">
        <f t="shared" si="2"/>
        <v>803226.34290000005</v>
      </c>
      <c r="AT7" s="212">
        <f t="shared" si="2"/>
        <v>802877.25099999993</v>
      </c>
      <c r="AU7" s="212">
        <f t="shared" si="2"/>
        <v>594967.64457</v>
      </c>
      <c r="AW7" t="s">
        <v>502</v>
      </c>
      <c r="AX7" s="312">
        <f>Q3/Q2</f>
        <v>1.270199962767686E-2</v>
      </c>
      <c r="AY7" s="312">
        <f>AA3/AA2</f>
        <v>1.1044989494040642E-2</v>
      </c>
      <c r="AZ7" s="312">
        <f>AU3/AU2</f>
        <v>6.5060889470234633E-3</v>
      </c>
      <c r="BB7" s="312">
        <f>[4]Trafic!$H$27/([4]Trafic!$H$30-[4]Trafic!$H$29)</f>
        <v>9.6732536609177803E-3</v>
      </c>
      <c r="BC7" s="312">
        <f>[4]Trafic!$J$27/([4]Trafic!$J$30-[4]Trafic!$J$29)</f>
        <v>1.4577967949865439E-2</v>
      </c>
      <c r="BD7" s="312">
        <f>[4]Trafic!$N$27/([4]Trafic!$N$30-[4]Trafic!$N$29)</f>
        <v>6.5864876836073186E-3</v>
      </c>
    </row>
    <row r="8" spans="1:56" x14ac:dyDescent="0.25">
      <c r="B8" s="258" t="s">
        <v>471</v>
      </c>
      <c r="C8" s="259">
        <f>Résultats!E288</f>
        <v>533482.14110000001</v>
      </c>
      <c r="D8" s="212">
        <f>Résultats!F288</f>
        <v>549274.12509999995</v>
      </c>
      <c r="E8" s="212">
        <f>Résultats!G288</f>
        <v>553559.43290000001</v>
      </c>
      <c r="F8" s="212">
        <f>Résultats!H288</f>
        <v>564412.47609999997</v>
      </c>
      <c r="G8" s="212">
        <f>Résultats!I288</f>
        <v>572972.37199999997</v>
      </c>
      <c r="H8" s="212">
        <f>Résultats!J288</f>
        <v>588063.14240000001</v>
      </c>
      <c r="I8" s="212">
        <f>Résultats!K288</f>
        <v>602854.77960000001</v>
      </c>
      <c r="J8" s="212">
        <f>Résultats!L288</f>
        <v>621076.00870000001</v>
      </c>
      <c r="K8" s="212">
        <f>Résultats!M288</f>
        <v>645341.38549999997</v>
      </c>
      <c r="L8" s="212">
        <f>Résultats!N288</f>
        <v>670575.74569999997</v>
      </c>
      <c r="M8" s="212">
        <f>Résultats!O288</f>
        <v>674123.67969999998</v>
      </c>
      <c r="N8" s="212">
        <f>Résultats!P288</f>
        <v>673892.83959999995</v>
      </c>
      <c r="O8" s="212">
        <f>Résultats!Q288</f>
        <v>671131.00300000003</v>
      </c>
      <c r="P8" s="212">
        <f>Résultats!R288</f>
        <v>668280.28940000001</v>
      </c>
      <c r="Q8" s="212">
        <f>Résultats!S288</f>
        <v>673446.48589999997</v>
      </c>
      <c r="R8" s="212">
        <f>Résultats!T288</f>
        <v>675366.71530000004</v>
      </c>
      <c r="S8" s="212">
        <f>Résultats!U288</f>
        <v>676919.7807</v>
      </c>
      <c r="T8" s="212">
        <f>Résultats!V288</f>
        <v>678695.5318</v>
      </c>
      <c r="U8" s="212">
        <f>Résultats!W288</f>
        <v>668428.92779999995</v>
      </c>
      <c r="V8" s="212">
        <f>Résultats!X288</f>
        <v>658402.76119999995</v>
      </c>
      <c r="W8" s="212">
        <f>Résultats!Y288</f>
        <v>654039.59790000005</v>
      </c>
      <c r="X8" s="212">
        <f>Résultats!Z288</f>
        <v>648437.36289999995</v>
      </c>
      <c r="Y8" s="212">
        <f>Résultats!AA288</f>
        <v>641984.89040000003</v>
      </c>
      <c r="Z8" s="212">
        <f>Résultats!AB288</f>
        <v>635020.59010000003</v>
      </c>
      <c r="AA8" s="212">
        <f>Résultats!AC288</f>
        <v>627625.20129999996</v>
      </c>
      <c r="AB8" s="212">
        <f>Résultats!AD288</f>
        <v>621920.29779999994</v>
      </c>
      <c r="AC8" s="212">
        <f>Résultats!AE288</f>
        <v>616315.46429999999</v>
      </c>
      <c r="AD8" s="212">
        <f>Résultats!AF288</f>
        <v>610614.6973</v>
      </c>
      <c r="AE8" s="212">
        <f>Résultats!AG288</f>
        <v>605009.47320000001</v>
      </c>
      <c r="AF8" s="212">
        <f>Résultats!AH288</f>
        <v>599487.03410000005</v>
      </c>
      <c r="AG8" s="212">
        <f>Résultats!AI288</f>
        <v>593906.23849999998</v>
      </c>
      <c r="AH8" s="212">
        <f>Résultats!AJ288</f>
        <v>588745.61699999997</v>
      </c>
      <c r="AI8" s="212">
        <f>Résultats!AK288</f>
        <v>583646.277</v>
      </c>
      <c r="AJ8" s="212">
        <f>Résultats!AL288</f>
        <v>578818.4706</v>
      </c>
      <c r="AK8" s="212">
        <f>Résultats!AM288</f>
        <v>573964.78509999998</v>
      </c>
      <c r="AL8" s="212">
        <f>Résultats!AN288</f>
        <v>569042.19019999995</v>
      </c>
      <c r="AM8" s="212">
        <f>Résultats!AO288</f>
        <v>564361.67779999995</v>
      </c>
      <c r="AN8" s="212">
        <f>Résultats!AP288</f>
        <v>559671.0466</v>
      </c>
      <c r="AO8" s="212">
        <f>Résultats!AQ288</f>
        <v>555026.67260000005</v>
      </c>
      <c r="AP8" s="212">
        <f>Résultats!AR288</f>
        <v>549896.93409999995</v>
      </c>
      <c r="AQ8" s="212">
        <f>Résultats!AS288</f>
        <v>544570.57169999997</v>
      </c>
      <c r="AR8" s="212">
        <f>Résultats!AT288</f>
        <v>539502.12820000004</v>
      </c>
      <c r="AS8" s="212">
        <f>Résultats!AU288</f>
        <v>534679.75959999999</v>
      </c>
      <c r="AT8" s="212">
        <f>Résultats!AV288</f>
        <v>529967.69839999999</v>
      </c>
      <c r="AU8" s="260">
        <f>Résultats!AW288</f>
        <v>524502.42139999999</v>
      </c>
      <c r="AW8" t="s">
        <v>503</v>
      </c>
      <c r="AX8" s="312">
        <f>+Q6/Q2</f>
        <v>0.13552582206868122</v>
      </c>
      <c r="AY8" s="312">
        <f>+AA6/AA2</f>
        <v>0.17337990823183605</v>
      </c>
      <c r="AZ8" s="312">
        <f>+AU6/AU2</f>
        <v>0.25106064752361951</v>
      </c>
      <c r="BB8" s="312">
        <f>[4]Trafic!$H$25/[4]Trafic!$H$31</f>
        <v>8.6581998710879085E-2</v>
      </c>
      <c r="BC8" s="312">
        <f>[4]Trafic!$J$25/[4]Trafic!$J$31</f>
        <v>0.14233557304995703</v>
      </c>
      <c r="BD8" s="312">
        <f>[4]Trafic!$N$25/[4]Trafic!$N$31</f>
        <v>0.18954036770730018</v>
      </c>
    </row>
    <row r="9" spans="1:56" x14ac:dyDescent="0.25">
      <c r="B9" s="261" t="s">
        <v>472</v>
      </c>
      <c r="C9" s="262">
        <f>Résultats!E289</f>
        <v>85388.792600000001</v>
      </c>
      <c r="D9" s="263">
        <f>Résultats!F289</f>
        <v>93689.858619999999</v>
      </c>
      <c r="E9" s="263">
        <f>Résultats!G289</f>
        <v>98525.392359999998</v>
      </c>
      <c r="F9" s="263">
        <f>Résultats!H289</f>
        <v>106396.9813</v>
      </c>
      <c r="G9" s="263">
        <f>Résultats!I289</f>
        <v>112095.4186</v>
      </c>
      <c r="H9" s="263">
        <f>Résultats!J289</f>
        <v>123662.9369</v>
      </c>
      <c r="I9" s="263">
        <f>Résultats!K289</f>
        <v>133190.8278</v>
      </c>
      <c r="J9" s="263">
        <f>Résultats!L289</f>
        <v>142506.45699999999</v>
      </c>
      <c r="K9" s="263">
        <f>Résultats!M289</f>
        <v>154768.04509999999</v>
      </c>
      <c r="L9" s="263">
        <f>Résultats!N289</f>
        <v>163408.98120000001</v>
      </c>
      <c r="M9" s="263">
        <f>Résultats!O289</f>
        <v>160882.40590000001</v>
      </c>
      <c r="N9" s="263">
        <f>Résultats!P289</f>
        <v>161394.30729999999</v>
      </c>
      <c r="O9" s="263">
        <f>Résultats!Q289</f>
        <v>164607.69510000001</v>
      </c>
      <c r="P9" s="263">
        <f>Résultats!R289</f>
        <v>161701.18700000001</v>
      </c>
      <c r="Q9" s="263">
        <f>Résultats!S290</f>
        <v>56430.796029999998</v>
      </c>
      <c r="R9" s="263">
        <f>Résultats!T289</f>
        <v>158577.18119999999</v>
      </c>
      <c r="S9" s="263">
        <f>Résultats!U289</f>
        <v>158556.6856</v>
      </c>
      <c r="T9" s="263">
        <f>Résultats!V289</f>
        <v>159301.99040000001</v>
      </c>
      <c r="U9" s="263">
        <f>Résultats!W289</f>
        <v>172828.1416</v>
      </c>
      <c r="V9" s="263">
        <f>Résultats!X289</f>
        <v>184625.1329</v>
      </c>
      <c r="W9" s="263">
        <f>Résultats!Y289</f>
        <v>186632.00760000001</v>
      </c>
      <c r="X9" s="263">
        <f>Résultats!Z289</f>
        <v>189620.16159999999</v>
      </c>
      <c r="Y9" s="263">
        <f>Résultats!AA289</f>
        <v>193112.78099999999</v>
      </c>
      <c r="Z9" s="263">
        <f>Résultats!AB289</f>
        <v>197082.14670000001</v>
      </c>
      <c r="AA9" s="263">
        <f>Résultats!AC290</f>
        <v>64687.144520000002</v>
      </c>
      <c r="AB9" s="263">
        <f>Résultats!AD289</f>
        <v>204255.16639999999</v>
      </c>
      <c r="AC9" s="263">
        <f>Résultats!AE289</f>
        <v>207549.27710000001</v>
      </c>
      <c r="AD9" s="263">
        <f>Résultats!AF289</f>
        <v>210839.80590000001</v>
      </c>
      <c r="AE9" s="263">
        <f>Résultats!AG289</f>
        <v>214173.4535</v>
      </c>
      <c r="AF9" s="263">
        <f>Résultats!AH289</f>
        <v>217539.81820000001</v>
      </c>
      <c r="AG9" s="263">
        <f>Résultats!AI289</f>
        <v>221137.98680000001</v>
      </c>
      <c r="AH9" s="263">
        <f>Résultats!AJ289</f>
        <v>224842.06770000001</v>
      </c>
      <c r="AI9" s="263">
        <f>Résultats!AK289</f>
        <v>228508.81080000001</v>
      </c>
      <c r="AJ9" s="263">
        <f>Résultats!AL289</f>
        <v>232323.41380000001</v>
      </c>
      <c r="AK9" s="263">
        <f>Résultats!AM289</f>
        <v>236135.32070000001</v>
      </c>
      <c r="AL9" s="263">
        <f>Résultats!AN289</f>
        <v>239925.91380000001</v>
      </c>
      <c r="AM9" s="263">
        <f>Résultats!AO289</f>
        <v>243846.34710000001</v>
      </c>
      <c r="AN9" s="263">
        <f>Résultats!AP289</f>
        <v>247764.57209999999</v>
      </c>
      <c r="AO9" s="263">
        <f>Résultats!AQ289</f>
        <v>251761.45</v>
      </c>
      <c r="AP9" s="263">
        <f>Résultats!AR289</f>
        <v>255976.2396</v>
      </c>
      <c r="AQ9" s="263">
        <f>Résultats!AS289</f>
        <v>260101.93299999999</v>
      </c>
      <c r="AR9" s="263">
        <f>Résultats!AT289</f>
        <v>264271.56079999998</v>
      </c>
      <c r="AS9" s="263">
        <f>Résultats!AU289</f>
        <v>268546.5833</v>
      </c>
      <c r="AT9" s="263">
        <f>Résultats!AV289</f>
        <v>272909.5526</v>
      </c>
      <c r="AU9" s="264">
        <f>Résultats!AW290</f>
        <v>70465.223169999997</v>
      </c>
      <c r="AW9" t="s">
        <v>504</v>
      </c>
      <c r="AX9" s="312">
        <f>Q9/Q2</f>
        <v>4.7668764222778992E-2</v>
      </c>
      <c r="AY9" s="312">
        <f>AA9/AA2</f>
        <v>5.5744383335193971E-2</v>
      </c>
      <c r="AZ9" s="312">
        <f>AU9/AU2</f>
        <v>6.3786068749510177E-2</v>
      </c>
      <c r="BB9" s="312">
        <f>[4]Trafic!$H$26/[4]Trafic!$H$31</f>
        <v>5.0587052351781035E-2</v>
      </c>
      <c r="BC9" s="312">
        <f>[4]Trafic!$J$26/[4]Trafic!$J$31</f>
        <v>7.6007847942966056E-2</v>
      </c>
      <c r="BD9" s="312">
        <f>[4]Trafic!$N$26/[4]Trafic!$N$31</f>
        <v>9.8293993125704568E-2</v>
      </c>
    </row>
    <row r="10" spans="1:56" x14ac:dyDescent="0.25">
      <c r="B10" s="249" t="s">
        <v>473</v>
      </c>
      <c r="C10" s="250">
        <f t="shared" ref="C10:AU10" si="3">C5+C8</f>
        <v>696943.44530000002</v>
      </c>
      <c r="D10" s="251">
        <f t="shared" si="3"/>
        <v>722551.65989999997</v>
      </c>
      <c r="E10" s="251">
        <f t="shared" si="3"/>
        <v>734085.19790000003</v>
      </c>
      <c r="F10" s="251">
        <f t="shared" si="3"/>
        <v>753129.63039999991</v>
      </c>
      <c r="G10" s="251">
        <f t="shared" si="3"/>
        <v>769707.02559999994</v>
      </c>
      <c r="H10" s="251">
        <f t="shared" si="3"/>
        <v>794745.7034</v>
      </c>
      <c r="I10" s="251">
        <f t="shared" si="3"/>
        <v>825072.30330000003</v>
      </c>
      <c r="J10" s="251">
        <f t="shared" si="3"/>
        <v>859448.9449</v>
      </c>
      <c r="K10" s="251">
        <f t="shared" si="3"/>
        <v>901005.68900000001</v>
      </c>
      <c r="L10" s="251">
        <f t="shared" si="3"/>
        <v>949332.80579999997</v>
      </c>
      <c r="M10" s="251">
        <f t="shared" si="3"/>
        <v>954415.28899999999</v>
      </c>
      <c r="N10" s="251">
        <f t="shared" si="3"/>
        <v>949340.10969999991</v>
      </c>
      <c r="O10" s="251">
        <f t="shared" si="3"/>
        <v>941336.1566000001</v>
      </c>
      <c r="P10" s="251">
        <f t="shared" si="3"/>
        <v>938655.3378000001</v>
      </c>
      <c r="Q10" s="251">
        <f>Q5+Q8</f>
        <v>951906.27419999999</v>
      </c>
      <c r="R10" s="251">
        <f t="shared" si="3"/>
        <v>962020.14939999999</v>
      </c>
      <c r="S10" s="251">
        <f t="shared" si="3"/>
        <v>965684.1814</v>
      </c>
      <c r="T10" s="251">
        <f t="shared" si="3"/>
        <v>967987.91669999994</v>
      </c>
      <c r="U10" s="251">
        <f t="shared" si="3"/>
        <v>937950.24589999998</v>
      </c>
      <c r="V10" s="251">
        <f t="shared" si="3"/>
        <v>912557.89769999997</v>
      </c>
      <c r="W10" s="251">
        <f t="shared" si="3"/>
        <v>913378.69100000011</v>
      </c>
      <c r="X10" s="251">
        <f t="shared" si="3"/>
        <v>908920.20679999993</v>
      </c>
      <c r="Y10" s="251">
        <f t="shared" si="3"/>
        <v>901592.52720000001</v>
      </c>
      <c r="Z10" s="251">
        <f t="shared" si="3"/>
        <v>892257.43480000005</v>
      </c>
      <c r="AA10" s="251">
        <f t="shared" si="3"/>
        <v>881726.13249999995</v>
      </c>
      <c r="AB10" s="251">
        <f t="shared" si="3"/>
        <v>874948.68079999997</v>
      </c>
      <c r="AC10" s="251">
        <f t="shared" si="3"/>
        <v>868004.57770000002</v>
      </c>
      <c r="AD10" s="251">
        <f t="shared" si="3"/>
        <v>861123.21809999994</v>
      </c>
      <c r="AE10" s="251">
        <f t="shared" si="3"/>
        <v>854408.30040000007</v>
      </c>
      <c r="AF10" s="251">
        <f t="shared" si="3"/>
        <v>847888.09130000009</v>
      </c>
      <c r="AG10" s="251">
        <f t="shared" si="3"/>
        <v>840132.71069999994</v>
      </c>
      <c r="AH10" s="251">
        <f t="shared" si="3"/>
        <v>833283.28979999991</v>
      </c>
      <c r="AI10" s="251">
        <f t="shared" si="3"/>
        <v>826908.42130000005</v>
      </c>
      <c r="AJ10" s="251">
        <f t="shared" si="3"/>
        <v>820874.07909999997</v>
      </c>
      <c r="AK10" s="251">
        <f t="shared" si="3"/>
        <v>814981.65689999994</v>
      </c>
      <c r="AL10" s="251">
        <f t="shared" si="3"/>
        <v>809036.46319999988</v>
      </c>
      <c r="AM10" s="251">
        <f t="shared" si="3"/>
        <v>803298.20010000002</v>
      </c>
      <c r="AN10" s="251">
        <f t="shared" si="3"/>
        <v>797661.73809999996</v>
      </c>
      <c r="AO10" s="251">
        <f t="shared" si="3"/>
        <v>792052.02570000011</v>
      </c>
      <c r="AP10" s="251">
        <f t="shared" si="3"/>
        <v>784132.99229999993</v>
      </c>
      <c r="AQ10" s="251">
        <f t="shared" si="3"/>
        <v>776545.16709999996</v>
      </c>
      <c r="AR10" s="251">
        <f t="shared" si="3"/>
        <v>769469.3395</v>
      </c>
      <c r="AS10" s="251">
        <f t="shared" si="3"/>
        <v>762754.59349999996</v>
      </c>
      <c r="AT10" s="251">
        <f t="shared" si="3"/>
        <v>756276.14780000004</v>
      </c>
      <c r="AU10" s="252">
        <f t="shared" si="3"/>
        <v>749709.56779999996</v>
      </c>
      <c r="AW10" t="s">
        <v>505</v>
      </c>
      <c r="AX10" s="312">
        <f>1-SUM(AX7:AX9)</f>
        <v>0.80410341408086294</v>
      </c>
      <c r="AY10" s="312">
        <f>1-SUM(AY7:AY9)</f>
        <v>0.75983071893892928</v>
      </c>
      <c r="AZ10" s="312">
        <f t="shared" ref="AZ10" si="4">1-SUM(AZ7:AZ9)</f>
        <v>0.67864719477984681</v>
      </c>
      <c r="BB10" s="312">
        <f>([4]Trafic!$H$23+[4]Trafic!$H$28)/[4]Trafic!$H$30</f>
        <v>0.84698145105670741</v>
      </c>
      <c r="BC10" s="312">
        <f>([4]Trafic!$J$23+[4]Trafic!$J$28)/[4]Trafic!$J$30</f>
        <v>0.75252158630631349</v>
      </c>
      <c r="BD10" s="312">
        <f>([4]Trafic!$N$23+[4]Trafic!$N$28)/[4]Trafic!$N$30</f>
        <v>0.6858880697768327</v>
      </c>
    </row>
    <row r="11" spans="1:56" x14ac:dyDescent="0.25"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5"/>
      <c r="AL11" s="265"/>
      <c r="AM11" s="265"/>
      <c r="AN11" s="265"/>
      <c r="AO11" s="265"/>
      <c r="AP11" s="265"/>
      <c r="AQ11" s="265"/>
      <c r="AR11" s="265"/>
      <c r="AS11" s="265"/>
      <c r="AT11" s="265"/>
      <c r="AU11" s="265"/>
    </row>
    <row r="12" spans="1:56" s="244" customFormat="1" ht="45" customHeight="1" x14ac:dyDescent="0.25">
      <c r="A12" s="239" t="s">
        <v>474</v>
      </c>
      <c r="B12" s="240" t="s">
        <v>465</v>
      </c>
      <c r="C12" s="242">
        <v>2006</v>
      </c>
      <c r="D12" s="242">
        <v>2007</v>
      </c>
      <c r="E12" s="242">
        <v>2008</v>
      </c>
      <c r="F12" s="242">
        <v>2009</v>
      </c>
      <c r="G12" s="242">
        <v>2010</v>
      </c>
      <c r="H12" s="242">
        <v>2011</v>
      </c>
      <c r="I12" s="242">
        <v>2012</v>
      </c>
      <c r="J12" s="242">
        <v>2013</v>
      </c>
      <c r="K12" s="242">
        <v>2014</v>
      </c>
      <c r="L12" s="242">
        <v>2015</v>
      </c>
      <c r="M12" s="242">
        <v>2016</v>
      </c>
      <c r="N12" s="242">
        <v>2017</v>
      </c>
      <c r="O12" s="242">
        <v>2018</v>
      </c>
      <c r="P12" s="242">
        <v>2019</v>
      </c>
      <c r="Q12" s="242">
        <v>2020</v>
      </c>
      <c r="R12" s="242">
        <v>2021</v>
      </c>
      <c r="S12" s="242">
        <v>2022</v>
      </c>
      <c r="T12" s="242">
        <v>2023</v>
      </c>
      <c r="U12" s="242">
        <v>2024</v>
      </c>
      <c r="V12" s="242">
        <v>2025</v>
      </c>
      <c r="W12" s="242">
        <v>2026</v>
      </c>
      <c r="X12" s="242">
        <v>2027</v>
      </c>
      <c r="Y12" s="242">
        <v>2028</v>
      </c>
      <c r="Z12" s="242">
        <v>2029</v>
      </c>
      <c r="AA12" s="242">
        <v>2030</v>
      </c>
      <c r="AB12" s="242">
        <v>2031</v>
      </c>
      <c r="AC12" s="242">
        <v>2032</v>
      </c>
      <c r="AD12" s="242">
        <v>2033</v>
      </c>
      <c r="AE12" s="242">
        <v>2034</v>
      </c>
      <c r="AF12" s="242">
        <v>2035</v>
      </c>
      <c r="AG12" s="242">
        <v>2036</v>
      </c>
      <c r="AH12" s="242">
        <v>2037</v>
      </c>
      <c r="AI12" s="242">
        <v>2038</v>
      </c>
      <c r="AJ12" s="242">
        <v>2039</v>
      </c>
      <c r="AK12" s="242">
        <v>2040</v>
      </c>
      <c r="AL12" s="242">
        <v>2041</v>
      </c>
      <c r="AM12" s="242">
        <v>2042</v>
      </c>
      <c r="AN12" s="242">
        <v>2043</v>
      </c>
      <c r="AO12" s="242">
        <v>2044</v>
      </c>
      <c r="AP12" s="242">
        <v>2045</v>
      </c>
      <c r="AQ12" s="242">
        <v>2046</v>
      </c>
      <c r="AR12" s="242">
        <v>2047</v>
      </c>
      <c r="AS12" s="242">
        <v>2048</v>
      </c>
      <c r="AT12" s="242">
        <v>2049</v>
      </c>
      <c r="AU12" s="243">
        <v>2050</v>
      </c>
      <c r="AW12" s="266" t="s">
        <v>493</v>
      </c>
      <c r="AX12" s="242">
        <v>2020</v>
      </c>
      <c r="AY12" s="242">
        <v>2030</v>
      </c>
      <c r="AZ12" s="243">
        <v>2050</v>
      </c>
    </row>
    <row r="13" spans="1:56" x14ac:dyDescent="0.25">
      <c r="B13" s="245" t="s">
        <v>1</v>
      </c>
      <c r="C13" s="246">
        <f t="shared" ref="C13:AU13" si="5">C14+C15+C18</f>
        <v>842942.38378000003</v>
      </c>
      <c r="D13" s="247">
        <f t="shared" si="5"/>
        <v>878459.86135999998</v>
      </c>
      <c r="E13" s="247">
        <f t="shared" si="5"/>
        <v>895073.0687200001</v>
      </c>
      <c r="F13" s="247">
        <f t="shared" si="5"/>
        <v>922447.58224999998</v>
      </c>
      <c r="G13" s="247">
        <f t="shared" si="5"/>
        <v>944843.64842999994</v>
      </c>
      <c r="H13" s="247">
        <f t="shared" si="5"/>
        <v>983088.66249000002</v>
      </c>
      <c r="I13" s="247">
        <f t="shared" si="5"/>
        <v>1023626.67165</v>
      </c>
      <c r="J13" s="247">
        <f t="shared" si="5"/>
        <v>1068215.2634000001</v>
      </c>
      <c r="K13" s="247">
        <f t="shared" si="5"/>
        <v>1124133.98361</v>
      </c>
      <c r="L13" s="247">
        <f t="shared" si="5"/>
        <v>1182712.6366599998</v>
      </c>
      <c r="M13" s="247">
        <f t="shared" si="5"/>
        <v>1185729.0481799999</v>
      </c>
      <c r="N13" s="247">
        <f t="shared" si="5"/>
        <v>1182008.84014</v>
      </c>
      <c r="O13" s="247">
        <f t="shared" si="5"/>
        <v>1177876.28229</v>
      </c>
      <c r="P13" s="247">
        <f t="shared" si="5"/>
        <v>1172095.05476</v>
      </c>
      <c r="Q13" s="247">
        <f t="shared" si="5"/>
        <v>1183264.0770399999</v>
      </c>
      <c r="R13" s="247">
        <f t="shared" si="5"/>
        <v>1192355.0696699999</v>
      </c>
      <c r="S13" s="247">
        <f t="shared" si="5"/>
        <v>1196485.3647400001</v>
      </c>
      <c r="T13" s="247">
        <f t="shared" si="5"/>
        <v>1200308.78085</v>
      </c>
      <c r="U13" s="247">
        <f t="shared" si="5"/>
        <v>1204024.8375300001</v>
      </c>
      <c r="V13" s="247">
        <f t="shared" si="5"/>
        <v>1207078.3172299999</v>
      </c>
      <c r="W13" s="247">
        <f t="shared" si="5"/>
        <v>1205240.9818599999</v>
      </c>
      <c r="X13" s="247">
        <f t="shared" si="5"/>
        <v>1205367.4831300001</v>
      </c>
      <c r="Y13" s="247">
        <f t="shared" si="5"/>
        <v>1207064.60574</v>
      </c>
      <c r="Z13" s="247">
        <f t="shared" si="5"/>
        <v>1209533.59066</v>
      </c>
      <c r="AA13" s="247">
        <f t="shared" si="5"/>
        <v>1212303.9354300001</v>
      </c>
      <c r="AB13" s="247">
        <f t="shared" si="5"/>
        <v>1215423.9503800001</v>
      </c>
      <c r="AC13" s="247">
        <f t="shared" si="5"/>
        <v>1221254.5213600001</v>
      </c>
      <c r="AD13" s="247">
        <f t="shared" si="5"/>
        <v>1226467.5699700001</v>
      </c>
      <c r="AE13" s="247">
        <f t="shared" si="5"/>
        <v>1231436.5281199999</v>
      </c>
      <c r="AF13" s="247">
        <f t="shared" si="5"/>
        <v>1238871.3674399999</v>
      </c>
      <c r="AG13" s="247">
        <f t="shared" si="5"/>
        <v>1243188.5943100001</v>
      </c>
      <c r="AH13" s="247">
        <f t="shared" si="5"/>
        <v>1248231.87827</v>
      </c>
      <c r="AI13" s="247">
        <f t="shared" si="5"/>
        <v>1253652.3965499999</v>
      </c>
      <c r="AJ13" s="247">
        <f t="shared" si="5"/>
        <v>1259366.22979</v>
      </c>
      <c r="AK13" s="247">
        <f t="shared" si="5"/>
        <v>1265226.02657</v>
      </c>
      <c r="AL13" s="247">
        <f t="shared" si="5"/>
        <v>1271433.8044699999</v>
      </c>
      <c r="AM13" s="247">
        <f t="shared" si="5"/>
        <v>1277365.4579400001</v>
      </c>
      <c r="AN13" s="247">
        <f t="shared" si="5"/>
        <v>1283177.89671</v>
      </c>
      <c r="AO13" s="247">
        <f t="shared" si="5"/>
        <v>1288904.2293499999</v>
      </c>
      <c r="AP13" s="247">
        <f t="shared" si="5"/>
        <v>1294566.2292500001</v>
      </c>
      <c r="AQ13" s="247">
        <f t="shared" si="5"/>
        <v>1300387.8426600001</v>
      </c>
      <c r="AR13" s="247">
        <f t="shared" si="5"/>
        <v>1306098.3939999999</v>
      </c>
      <c r="AS13" s="247">
        <f t="shared" si="5"/>
        <v>1311736.2670800001</v>
      </c>
      <c r="AT13" s="247">
        <f t="shared" si="5"/>
        <v>1317310.8765199999</v>
      </c>
      <c r="AU13" s="248">
        <f t="shared" si="5"/>
        <v>1322882.9659600002</v>
      </c>
      <c r="AW13" t="s">
        <v>494</v>
      </c>
      <c r="AX13" s="299">
        <f>Q19/Q18</f>
        <v>0.92272325632133589</v>
      </c>
      <c r="AY13" s="299">
        <f>AA19/AA18</f>
        <v>0.91217426281877445</v>
      </c>
      <c r="AZ13" s="299">
        <f>AU19/AU18</f>
        <v>0.89747798463823381</v>
      </c>
    </row>
    <row r="14" spans="1:56" x14ac:dyDescent="0.25">
      <c r="B14" s="249" t="s">
        <v>466</v>
      </c>
      <c r="C14" s="250">
        <f>Résultats!E294</f>
        <v>13442.05508</v>
      </c>
      <c r="D14" s="251">
        <f>Résultats!F294</f>
        <v>13710.533160000001</v>
      </c>
      <c r="E14" s="251">
        <f>Résultats!G294</f>
        <v>14052.66192</v>
      </c>
      <c r="F14" s="251">
        <f>Résultats!H294</f>
        <v>13551.263650000001</v>
      </c>
      <c r="G14" s="251">
        <f>Résultats!I294</f>
        <v>13076.845429999999</v>
      </c>
      <c r="H14" s="251">
        <f>Résultats!J294</f>
        <v>13351.98919</v>
      </c>
      <c r="I14" s="251">
        <f>Résultats!K294</f>
        <v>13561.70865</v>
      </c>
      <c r="J14" s="251">
        <f>Résultats!L294</f>
        <v>13434.457899999999</v>
      </c>
      <c r="K14" s="251">
        <f>Résultats!M294</f>
        <v>13627.69461</v>
      </c>
      <c r="L14" s="251">
        <f>Résultats!N294</f>
        <v>14042.935359999999</v>
      </c>
      <c r="M14" s="251">
        <f>Résultats!O294</f>
        <v>14305.41008</v>
      </c>
      <c r="N14" s="251">
        <f>Résultats!P294</f>
        <v>14584.650739999999</v>
      </c>
      <c r="O14" s="251">
        <f>Résultats!Q294</f>
        <v>14980.217290000001</v>
      </c>
      <c r="P14" s="251">
        <f>Résultats!R294</f>
        <v>15374.337659999999</v>
      </c>
      <c r="Q14" s="251">
        <f>Résultats!S294</f>
        <v>15036.76384</v>
      </c>
      <c r="R14" s="251">
        <f>Résultats!T294</f>
        <v>14515.149369999999</v>
      </c>
      <c r="S14" s="251">
        <f>Résultats!U294</f>
        <v>14300.75304</v>
      </c>
      <c r="T14" s="251">
        <f>Résultats!V294</f>
        <v>14173.723550000001</v>
      </c>
      <c r="U14" s="251">
        <f>Résultats!W294</f>
        <v>14388.514230000001</v>
      </c>
      <c r="V14" s="251">
        <f>Résultats!X294</f>
        <v>14543.536330000001</v>
      </c>
      <c r="W14" s="251">
        <f>Résultats!Y294</f>
        <v>14675.235259999999</v>
      </c>
      <c r="X14" s="251">
        <f>Résultats!Z294</f>
        <v>14791.179529999999</v>
      </c>
      <c r="Y14" s="251">
        <f>Résultats!AA294</f>
        <v>14965.08704</v>
      </c>
      <c r="Z14" s="251">
        <f>Résultats!AB294</f>
        <v>15165.885259999999</v>
      </c>
      <c r="AA14" s="251">
        <f>Résultats!AC294</f>
        <v>15371.58303</v>
      </c>
      <c r="AB14" s="251">
        <f>Résultats!AD294</f>
        <v>15596.31978</v>
      </c>
      <c r="AC14" s="251">
        <f>Résultats!AE294</f>
        <v>15844.830260000001</v>
      </c>
      <c r="AD14" s="251">
        <f>Résultats!AF294</f>
        <v>16125.548570000001</v>
      </c>
      <c r="AE14" s="251">
        <f>Résultats!AG294</f>
        <v>16426.07042</v>
      </c>
      <c r="AF14" s="251">
        <f>Résultats!AH294</f>
        <v>16750.465240000001</v>
      </c>
      <c r="AG14" s="251">
        <f>Résultats!AI294</f>
        <v>17114.692910000002</v>
      </c>
      <c r="AH14" s="251">
        <f>Résultats!AJ294</f>
        <v>17505.190170000002</v>
      </c>
      <c r="AI14" s="251">
        <f>Résultats!AK294</f>
        <v>17905.03285</v>
      </c>
      <c r="AJ14" s="251">
        <f>Résultats!AL294</f>
        <v>18327.256290000001</v>
      </c>
      <c r="AK14" s="251">
        <f>Résultats!AM294</f>
        <v>18763.412469999999</v>
      </c>
      <c r="AL14" s="251">
        <f>Résultats!AN294</f>
        <v>19212.624370000001</v>
      </c>
      <c r="AM14" s="251">
        <f>Résultats!AO294</f>
        <v>19663.854240000001</v>
      </c>
      <c r="AN14" s="251">
        <f>Résultats!AP294</f>
        <v>20123.214510000002</v>
      </c>
      <c r="AO14" s="251">
        <f>Résultats!AQ294</f>
        <v>20586.85255</v>
      </c>
      <c r="AP14" s="251">
        <f>Résultats!AR294</f>
        <v>21055.56465</v>
      </c>
      <c r="AQ14" s="251">
        <f>Résultats!AS294</f>
        <v>21527.535059999998</v>
      </c>
      <c r="AR14" s="251">
        <f>Résultats!AT294</f>
        <v>22009.2556</v>
      </c>
      <c r="AS14" s="251">
        <f>Résultats!AU294</f>
        <v>22499.731380000001</v>
      </c>
      <c r="AT14" s="251">
        <f>Résultats!AV294</f>
        <v>23014.711019999999</v>
      </c>
      <c r="AU14" s="252">
        <f>Résultats!AW294</f>
        <v>23522.359359999999</v>
      </c>
      <c r="AW14" t="s">
        <v>495</v>
      </c>
      <c r="AX14" s="299">
        <f>Q16/Q15</f>
        <v>0.63520090518519989</v>
      </c>
      <c r="AY14" s="299">
        <f>AA16/AA15</f>
        <v>0.63970119197053643</v>
      </c>
      <c r="AZ14" s="299">
        <f>AU16/AU15</f>
        <v>0.66883456816201614</v>
      </c>
    </row>
    <row r="15" spans="1:56" x14ac:dyDescent="0.25">
      <c r="B15" s="254" t="s">
        <v>467</v>
      </c>
      <c r="C15" s="255">
        <f>Résultats!E300</f>
        <v>248850.0986</v>
      </c>
      <c r="D15" s="256">
        <f>Résultats!F300</f>
        <v>266931.54960000003</v>
      </c>
      <c r="E15" s="256">
        <f>Résultats!G300</f>
        <v>279010.91340000002</v>
      </c>
      <c r="F15" s="256">
        <f>Résultats!H300</f>
        <v>295035.89880000002</v>
      </c>
      <c r="G15" s="256">
        <f>Résultats!I300</f>
        <v>308744.22149999999</v>
      </c>
      <c r="H15" s="256">
        <f>Résultats!J300</f>
        <v>330162.05089999997</v>
      </c>
      <c r="I15" s="256">
        <f>Résultats!K300</f>
        <v>355210.85920000001</v>
      </c>
      <c r="J15" s="256">
        <f>Résultats!L300</f>
        <v>380667.45069999999</v>
      </c>
      <c r="K15" s="256">
        <f>Résultats!M300</f>
        <v>410196.43550000002</v>
      </c>
      <c r="L15" s="256">
        <f>Résultats!N300</f>
        <v>441858.39939999999</v>
      </c>
      <c r="M15" s="256">
        <f>Résultats!O300</f>
        <v>440844.30099999998</v>
      </c>
      <c r="N15" s="256">
        <f>Résultats!P300</f>
        <v>436493.58020000003</v>
      </c>
      <c r="O15" s="256">
        <f>Résultats!Q300</f>
        <v>434389.52529999998</v>
      </c>
      <c r="P15" s="256">
        <f>Résultats!R300</f>
        <v>431638.3309</v>
      </c>
      <c r="Q15" s="256">
        <f>Résultats!S300</f>
        <v>438380.65409999999</v>
      </c>
      <c r="R15" s="256">
        <f>Résultats!T300</f>
        <v>444622.17629999999</v>
      </c>
      <c r="S15" s="256">
        <f>Résultats!U300</f>
        <v>446706.93729999999</v>
      </c>
      <c r="T15" s="256">
        <f>Résultats!V300</f>
        <v>447974.54940000002</v>
      </c>
      <c r="U15" s="256">
        <f>Résultats!W300</f>
        <v>449489.3431</v>
      </c>
      <c r="V15" s="256">
        <f>Résultats!X300</f>
        <v>450889.54619999998</v>
      </c>
      <c r="W15" s="256">
        <f>Résultats!Y300</f>
        <v>448682.5466</v>
      </c>
      <c r="X15" s="256">
        <f>Résultats!Z300</f>
        <v>448065.78950000001</v>
      </c>
      <c r="Y15" s="256">
        <f>Résultats!AA300</f>
        <v>448280.97110000002</v>
      </c>
      <c r="Z15" s="256">
        <f>Résultats!AB300</f>
        <v>448972.46610000002</v>
      </c>
      <c r="AA15" s="256">
        <f>Résultats!AC300</f>
        <v>449914.87089999998</v>
      </c>
      <c r="AB15" s="256">
        <f>Résultats!AD300</f>
        <v>451045.5735</v>
      </c>
      <c r="AC15" s="256">
        <f>Résultats!AE300</f>
        <v>454172.60060000001</v>
      </c>
      <c r="AD15" s="256">
        <f>Résultats!AF300</f>
        <v>456679.23019999999</v>
      </c>
      <c r="AE15" s="256">
        <f>Résultats!AG300</f>
        <v>458946.16529999999</v>
      </c>
      <c r="AF15" s="256">
        <f>Résultats!AH300</f>
        <v>463016.09379999997</v>
      </c>
      <c r="AG15" s="256">
        <f>Résultats!AI300</f>
        <v>464474.77110000001</v>
      </c>
      <c r="AH15" s="256">
        <f>Résultats!AJ300</f>
        <v>466391.2022</v>
      </c>
      <c r="AI15" s="256">
        <f>Résultats!AK300</f>
        <v>468550.44179999997</v>
      </c>
      <c r="AJ15" s="256">
        <f>Résultats!AL300</f>
        <v>470853.76809999999</v>
      </c>
      <c r="AK15" s="256">
        <f>Résultats!AM300</f>
        <v>473247.69099999999</v>
      </c>
      <c r="AL15" s="256">
        <f>Résultats!AN300</f>
        <v>475848.77789999999</v>
      </c>
      <c r="AM15" s="256">
        <f>Résultats!AO300</f>
        <v>478249.02600000001</v>
      </c>
      <c r="AN15" s="256">
        <f>Résultats!AP300</f>
        <v>480551.16869999998</v>
      </c>
      <c r="AO15" s="256">
        <f>Résultats!AQ300</f>
        <v>482794.98</v>
      </c>
      <c r="AP15" s="256">
        <f>Résultats!AR300</f>
        <v>484996.12609999999</v>
      </c>
      <c r="AQ15" s="256">
        <f>Résultats!AS300</f>
        <v>487314.3786</v>
      </c>
      <c r="AR15" s="256">
        <f>Résultats!AT300</f>
        <v>489529.4866</v>
      </c>
      <c r="AS15" s="256">
        <f>Résultats!AU300</f>
        <v>491692.91230000003</v>
      </c>
      <c r="AT15" s="256">
        <f>Résultats!AV300</f>
        <v>493831.28139999998</v>
      </c>
      <c r="AU15" s="257">
        <f>Résultats!AW300</f>
        <v>495954.56050000002</v>
      </c>
      <c r="AW15" t="s">
        <v>496</v>
      </c>
      <c r="AX15" s="299">
        <f>Q21/(Q18+Q15)</f>
        <v>0.81482966837382453</v>
      </c>
      <c r="AY15" s="299">
        <f>AA21/(AA18+AA15)</f>
        <v>0.80975436728449146</v>
      </c>
      <c r="AZ15" s="299">
        <f>AU21/(AU18+AU15)</f>
        <v>0.81020679559826214</v>
      </c>
    </row>
    <row r="16" spans="1:56" x14ac:dyDescent="0.25">
      <c r="B16" s="258" t="s">
        <v>468</v>
      </c>
      <c r="C16" s="259">
        <f>Résultats!E295</f>
        <v>163461.30420000001</v>
      </c>
      <c r="D16" s="212">
        <f>Résultats!F295</f>
        <v>173277.53479999999</v>
      </c>
      <c r="E16" s="212">
        <f>Résultats!G295</f>
        <v>180525.76500000001</v>
      </c>
      <c r="F16" s="212">
        <f>Résultats!H295</f>
        <v>188717.15429999999</v>
      </c>
      <c r="G16" s="212">
        <f>Résultats!I295</f>
        <v>196734.65359999999</v>
      </c>
      <c r="H16" s="212">
        <f>Résultats!J295</f>
        <v>206682.56099999999</v>
      </c>
      <c r="I16" s="212">
        <f>Résultats!K295</f>
        <v>222217.52369999999</v>
      </c>
      <c r="J16" s="212">
        <f>Résultats!L295</f>
        <v>238372.9362</v>
      </c>
      <c r="K16" s="212">
        <f>Résultats!M295</f>
        <v>255664.30350000001</v>
      </c>
      <c r="L16" s="212">
        <f>Résultats!N295</f>
        <v>278757.0601</v>
      </c>
      <c r="M16" s="212">
        <f>Résultats!O295</f>
        <v>280291.60930000001</v>
      </c>
      <c r="N16" s="212">
        <f>Résultats!P295</f>
        <v>275447.27010000002</v>
      </c>
      <c r="O16" s="212">
        <f>Résultats!Q295</f>
        <v>270205.15360000002</v>
      </c>
      <c r="P16" s="212">
        <f>Résultats!R295</f>
        <v>270375.04840000003</v>
      </c>
      <c r="Q16" s="212">
        <f>Résultats!S295</f>
        <v>278459.78830000001</v>
      </c>
      <c r="R16" s="212">
        <f>Résultats!T295</f>
        <v>286653.43410000001</v>
      </c>
      <c r="S16" s="212">
        <f>Résultats!U295</f>
        <v>288764.4007</v>
      </c>
      <c r="T16" s="212">
        <f>Résultats!V295</f>
        <v>289300.82490000001</v>
      </c>
      <c r="U16" s="212">
        <f>Résultats!W295</f>
        <v>290661.15509999997</v>
      </c>
      <c r="V16" s="212">
        <f>Résultats!X295</f>
        <v>292087.1545</v>
      </c>
      <c r="W16" s="212">
        <f>Résultats!Y295</f>
        <v>288437.58980000002</v>
      </c>
      <c r="X16" s="212">
        <f>Résultats!Z295</f>
        <v>287181.56599999999</v>
      </c>
      <c r="Y16" s="212">
        <f>Résultats!AA295</f>
        <v>286872.0368</v>
      </c>
      <c r="Z16" s="212">
        <f>Résultats!AB295</f>
        <v>287162.24540000001</v>
      </c>
      <c r="AA16" s="212">
        <f>Résultats!AC295</f>
        <v>287811.07919999998</v>
      </c>
      <c r="AB16" s="212">
        <f>Résultats!AD295</f>
        <v>288665.94469999999</v>
      </c>
      <c r="AC16" s="212">
        <f>Résultats!AE295</f>
        <v>292348.92910000001</v>
      </c>
      <c r="AD16" s="212">
        <f>Résultats!AF295</f>
        <v>295040.58289999998</v>
      </c>
      <c r="AE16" s="212">
        <f>Résultats!AG295</f>
        <v>297351.80829999998</v>
      </c>
      <c r="AF16" s="212">
        <f>Résultats!AH295</f>
        <v>302268.49170000001</v>
      </c>
      <c r="AG16" s="212">
        <f>Résultats!AI295</f>
        <v>303218.32990000001</v>
      </c>
      <c r="AH16" s="212">
        <f>Résultats!AJ295</f>
        <v>304806.24690000003</v>
      </c>
      <c r="AI16" s="212">
        <f>Résultats!AK295</f>
        <v>306740.4423</v>
      </c>
      <c r="AJ16" s="212">
        <f>Résultats!AL295</f>
        <v>308849.45819999999</v>
      </c>
      <c r="AK16" s="212">
        <f>Résultats!AM295</f>
        <v>311086.6972</v>
      </c>
      <c r="AL16" s="212">
        <f>Résultats!AN295</f>
        <v>313601.77610000002</v>
      </c>
      <c r="AM16" s="212">
        <f>Résultats!AO295</f>
        <v>315838.83049999998</v>
      </c>
      <c r="AN16" s="212">
        <f>Résultats!AP295</f>
        <v>317929.07049999997</v>
      </c>
      <c r="AO16" s="212">
        <f>Résultats!AQ295</f>
        <v>319942.23670000001</v>
      </c>
      <c r="AP16" s="212">
        <f>Résultats!AR295</f>
        <v>321902.1067</v>
      </c>
      <c r="AQ16" s="212">
        <f>Résultats!AS295</f>
        <v>324053.36369999999</v>
      </c>
      <c r="AR16" s="212">
        <f>Résultats!AT295</f>
        <v>326047.91960000002</v>
      </c>
      <c r="AS16" s="212">
        <f>Résultats!AU295</f>
        <v>327969.9068</v>
      </c>
      <c r="AT16" s="212">
        <f>Résultats!AV295</f>
        <v>329862.58240000001</v>
      </c>
      <c r="AU16" s="260">
        <f>Résultats!AW295</f>
        <v>331711.55430000002</v>
      </c>
    </row>
    <row r="17" spans="1:49" x14ac:dyDescent="0.25">
      <c r="B17" s="261" t="s">
        <v>469</v>
      </c>
      <c r="C17" s="262">
        <f>Résultats!E298</f>
        <v>47168.088009999999</v>
      </c>
      <c r="D17" s="263">
        <f>Résultats!F298</f>
        <v>48543.65653</v>
      </c>
      <c r="E17" s="263">
        <f>Résultats!G298</f>
        <v>48452.152840000002</v>
      </c>
      <c r="F17" s="263">
        <f>Résultats!H298</f>
        <v>49450.098599999998</v>
      </c>
      <c r="G17" s="263">
        <f>Résultats!I298</f>
        <v>50052.596019999997</v>
      </c>
      <c r="H17" s="263">
        <f>Résultats!J298</f>
        <v>51514.113290000001</v>
      </c>
      <c r="I17" s="263">
        <f>Résultats!K298</f>
        <v>52007.67729</v>
      </c>
      <c r="J17" s="263">
        <f>Résultats!L298</f>
        <v>53048.384639999997</v>
      </c>
      <c r="K17" s="263">
        <f>Résultats!M298</f>
        <v>54980.101699999999</v>
      </c>
      <c r="L17" s="263">
        <f>Résultats!N298</f>
        <v>56253.881390000002</v>
      </c>
      <c r="M17" s="263">
        <f>Résultats!O298</f>
        <v>56474.126409999997</v>
      </c>
      <c r="N17" s="263">
        <f>Résultats!P298</f>
        <v>57059.212699999996</v>
      </c>
      <c r="O17" s="263">
        <f>Résultats!Q298</f>
        <v>57399.56609</v>
      </c>
      <c r="P17" s="263">
        <f>Résultats!R298</f>
        <v>56826.888079999997</v>
      </c>
      <c r="Q17" s="263">
        <f>Résultats!S297</f>
        <v>160436.9265</v>
      </c>
      <c r="R17" s="263">
        <f>Résultats!T298</f>
        <v>55747.730309999999</v>
      </c>
      <c r="S17" s="263">
        <f>Résultats!U298</f>
        <v>55771.068030000002</v>
      </c>
      <c r="T17" s="263">
        <f>Résultats!V298</f>
        <v>56036.84736</v>
      </c>
      <c r="U17" s="263">
        <f>Résultats!W298</f>
        <v>56117.054530000001</v>
      </c>
      <c r="V17" s="263">
        <f>Résultats!X298</f>
        <v>56129.790820000002</v>
      </c>
      <c r="W17" s="263">
        <f>Résultats!Y298</f>
        <v>56600.768279999997</v>
      </c>
      <c r="X17" s="263">
        <f>Résultats!Z298</f>
        <v>56828.529640000001</v>
      </c>
      <c r="Y17" s="263">
        <f>Résultats!AA298</f>
        <v>57026.430529999998</v>
      </c>
      <c r="Z17" s="263">
        <f>Résultats!AB298</f>
        <v>57184.286540000001</v>
      </c>
      <c r="AA17" s="263">
        <f>Résultats!AC297</f>
        <v>162753.77359999999</v>
      </c>
      <c r="AB17" s="263">
        <f>Résultats!AD298</f>
        <v>57415.700539999998</v>
      </c>
      <c r="AC17" s="263">
        <f>Résultats!AE298</f>
        <v>57270.762459999998</v>
      </c>
      <c r="AD17" s="263">
        <f>Résultats!AF298</f>
        <v>57241.98343</v>
      </c>
      <c r="AE17" s="263">
        <f>Résultats!AG298</f>
        <v>57255.748760000002</v>
      </c>
      <c r="AF17" s="263">
        <f>Résultats!AH298</f>
        <v>57037.382850000002</v>
      </c>
      <c r="AG17" s="263">
        <f>Résultats!AI298</f>
        <v>57226.332520000004</v>
      </c>
      <c r="AH17" s="263">
        <f>Résultats!AJ298</f>
        <v>57367.700819999998</v>
      </c>
      <c r="AI17" s="263">
        <f>Résultats!AK298</f>
        <v>57483.242429999998</v>
      </c>
      <c r="AJ17" s="263">
        <f>Résultats!AL298</f>
        <v>57593.278989999999</v>
      </c>
      <c r="AK17" s="263">
        <f>Résultats!AM298</f>
        <v>57692.899060000003</v>
      </c>
      <c r="AL17" s="263">
        <f>Résultats!AN298</f>
        <v>57775.782059999998</v>
      </c>
      <c r="AM17" s="263">
        <f>Résultats!AO298</f>
        <v>57882.507319999997</v>
      </c>
      <c r="AN17" s="263">
        <f>Résultats!AP298</f>
        <v>58003.316440000002</v>
      </c>
      <c r="AO17" s="263">
        <f>Résultats!AQ298</f>
        <v>58129.579010000001</v>
      </c>
      <c r="AP17" s="263">
        <f>Résultats!AR298</f>
        <v>58259.001980000001</v>
      </c>
      <c r="AQ17" s="263">
        <f>Résultats!AS298</f>
        <v>58370.647770000003</v>
      </c>
      <c r="AR17" s="263">
        <f>Résultats!AT298</f>
        <v>58498.793100000003</v>
      </c>
      <c r="AS17" s="263">
        <f>Résultats!AU298</f>
        <v>58631.838109999997</v>
      </c>
      <c r="AT17" s="263">
        <f>Résultats!AV298</f>
        <v>58760.586459999999</v>
      </c>
      <c r="AU17" s="264">
        <f>Résultats!AW297</f>
        <v>165030.88889999999</v>
      </c>
      <c r="AW17" s="253"/>
    </row>
    <row r="18" spans="1:49" x14ac:dyDescent="0.25">
      <c r="B18" s="258" t="s">
        <v>470</v>
      </c>
      <c r="C18" s="259">
        <f>Résultats!E299</f>
        <v>580650.23010000004</v>
      </c>
      <c r="D18" s="212">
        <f>Résultats!F299</f>
        <v>597817.77859999996</v>
      </c>
      <c r="E18" s="212">
        <f>Résultats!G299</f>
        <v>602009.49340000004</v>
      </c>
      <c r="F18" s="212">
        <f>Résultats!H299</f>
        <v>613860.41980000003</v>
      </c>
      <c r="G18" s="212">
        <f>Résultats!I299</f>
        <v>623022.58149999997</v>
      </c>
      <c r="H18" s="212">
        <f>Résultats!J299</f>
        <v>639574.62239999999</v>
      </c>
      <c r="I18" s="212">
        <f>Résultats!K299</f>
        <v>654854.10380000004</v>
      </c>
      <c r="J18" s="212">
        <f>Résultats!L299</f>
        <v>674113.35479999997</v>
      </c>
      <c r="K18" s="212">
        <f>Résultats!M299</f>
        <v>700309.85349999997</v>
      </c>
      <c r="L18" s="212">
        <f>Résultats!N299</f>
        <v>726811.30189999996</v>
      </c>
      <c r="M18" s="212">
        <f>Résultats!O299</f>
        <v>730579.3371</v>
      </c>
      <c r="N18" s="212">
        <f>Résultats!P299</f>
        <v>730930.60919999995</v>
      </c>
      <c r="O18" s="212">
        <f>Résultats!Q299</f>
        <v>728506.53969999996</v>
      </c>
      <c r="P18" s="212">
        <f>Résultats!R299</f>
        <v>725082.38619999995</v>
      </c>
      <c r="Q18" s="212">
        <f>Résultats!S299</f>
        <v>729846.65910000005</v>
      </c>
      <c r="R18" s="212">
        <f>Résultats!T299</f>
        <v>733217.74399999995</v>
      </c>
      <c r="S18" s="212">
        <f>Résultats!U299</f>
        <v>735477.67440000002</v>
      </c>
      <c r="T18" s="212">
        <f>Résultats!V299</f>
        <v>738160.50789999997</v>
      </c>
      <c r="U18" s="212">
        <f>Résultats!W299</f>
        <v>740146.98019999999</v>
      </c>
      <c r="V18" s="212">
        <f>Résultats!X299</f>
        <v>741645.23470000003</v>
      </c>
      <c r="W18" s="212">
        <f>Résultats!Y299</f>
        <v>741883.2</v>
      </c>
      <c r="X18" s="212">
        <f>Résultats!Z299</f>
        <v>742510.51410000003</v>
      </c>
      <c r="Y18" s="212">
        <f>Résultats!AA299</f>
        <v>743818.54760000005</v>
      </c>
      <c r="Z18" s="212">
        <f>Résultats!AB299</f>
        <v>745395.23930000002</v>
      </c>
      <c r="AA18" s="212">
        <f>Résultats!AC299</f>
        <v>747017.48149999999</v>
      </c>
      <c r="AB18" s="212">
        <f>Résultats!AD299</f>
        <v>748782.05709999998</v>
      </c>
      <c r="AC18" s="212">
        <f>Résultats!AE299</f>
        <v>751237.09050000005</v>
      </c>
      <c r="AD18" s="212">
        <f>Résultats!AF299</f>
        <v>753662.79119999998</v>
      </c>
      <c r="AE18" s="212">
        <f>Résultats!AG299</f>
        <v>756064.29240000003</v>
      </c>
      <c r="AF18" s="212">
        <f>Résultats!AH299</f>
        <v>759104.80839999998</v>
      </c>
      <c r="AG18" s="212">
        <f>Résultats!AI299</f>
        <v>761599.13029999996</v>
      </c>
      <c r="AH18" s="212">
        <f>Résultats!AJ299</f>
        <v>764335.48589999997</v>
      </c>
      <c r="AI18" s="212">
        <f>Résultats!AK299</f>
        <v>767196.92189999996</v>
      </c>
      <c r="AJ18" s="212">
        <f>Résultats!AL299</f>
        <v>770185.20539999998</v>
      </c>
      <c r="AK18" s="212">
        <f>Résultats!AM299</f>
        <v>773214.92310000001</v>
      </c>
      <c r="AL18" s="212">
        <f>Résultats!AN299</f>
        <v>776372.40220000001</v>
      </c>
      <c r="AM18" s="212">
        <f>Résultats!AO299</f>
        <v>779452.57770000002</v>
      </c>
      <c r="AN18" s="212">
        <f>Résultats!AP299</f>
        <v>782503.5135</v>
      </c>
      <c r="AO18" s="212">
        <f>Résultats!AQ299</f>
        <v>785522.39679999999</v>
      </c>
      <c r="AP18" s="212">
        <f>Résultats!AR299</f>
        <v>788514.53850000002</v>
      </c>
      <c r="AQ18" s="212">
        <f>Résultats!AS299</f>
        <v>791545.929</v>
      </c>
      <c r="AR18" s="212">
        <f>Résultats!AT299</f>
        <v>794559.65179999999</v>
      </c>
      <c r="AS18" s="212">
        <f>Résultats!AU299</f>
        <v>797543.62340000004</v>
      </c>
      <c r="AT18" s="212">
        <f>Résultats!AV299</f>
        <v>800464.88410000002</v>
      </c>
      <c r="AU18" s="260">
        <f>Résultats!AW299</f>
        <v>803406.04610000004</v>
      </c>
    </row>
    <row r="19" spans="1:49" x14ac:dyDescent="0.25">
      <c r="B19" s="258" t="s">
        <v>471</v>
      </c>
      <c r="C19" s="259">
        <f>Résultats!E296</f>
        <v>533482.14110000001</v>
      </c>
      <c r="D19" s="212">
        <f>Résultats!F296</f>
        <v>549274.12509999995</v>
      </c>
      <c r="E19" s="212">
        <f>Résultats!G296</f>
        <v>553559.43290000001</v>
      </c>
      <c r="F19" s="212">
        <f>Résultats!H296</f>
        <v>564412.47609999997</v>
      </c>
      <c r="G19" s="212">
        <f>Résultats!I296</f>
        <v>572972.37199999997</v>
      </c>
      <c r="H19" s="212">
        <f>Résultats!J296</f>
        <v>588063.14240000001</v>
      </c>
      <c r="I19" s="212">
        <f>Résultats!K296</f>
        <v>602854.77960000001</v>
      </c>
      <c r="J19" s="212">
        <f>Résultats!L296</f>
        <v>621076.00870000001</v>
      </c>
      <c r="K19" s="212">
        <f>Résultats!M296</f>
        <v>645341.38549999997</v>
      </c>
      <c r="L19" s="212">
        <f>Résultats!N296</f>
        <v>670575.74569999997</v>
      </c>
      <c r="M19" s="212">
        <f>Résultats!O296</f>
        <v>674123.67969999998</v>
      </c>
      <c r="N19" s="212">
        <f>Résultats!P296</f>
        <v>673892.83959999995</v>
      </c>
      <c r="O19" s="212">
        <f>Résultats!Q296</f>
        <v>671131.00300000003</v>
      </c>
      <c r="P19" s="212">
        <f>Résultats!R296</f>
        <v>668280.28940000001</v>
      </c>
      <c r="Q19" s="212">
        <f>Résultats!S296</f>
        <v>673446.48589999997</v>
      </c>
      <c r="R19" s="212">
        <f>Résultats!T296</f>
        <v>675366.71530000004</v>
      </c>
      <c r="S19" s="212">
        <f>Résultats!U296</f>
        <v>676919.7807</v>
      </c>
      <c r="T19" s="212">
        <f>Résultats!V296</f>
        <v>678647.71950000001</v>
      </c>
      <c r="U19" s="212">
        <f>Résultats!W296</f>
        <v>679864.47409999999</v>
      </c>
      <c r="V19" s="212">
        <f>Résultats!X296</f>
        <v>680660.65720000002</v>
      </c>
      <c r="W19" s="212">
        <f>Résultats!Y296</f>
        <v>679747.96620000002</v>
      </c>
      <c r="X19" s="212">
        <f>Résultats!Z296</f>
        <v>679463.34479999996</v>
      </c>
      <c r="Y19" s="212">
        <f>Résultats!AA296</f>
        <v>679882.39080000005</v>
      </c>
      <c r="Z19" s="212">
        <f>Résultats!AB296</f>
        <v>680605.64670000004</v>
      </c>
      <c r="AA19" s="212">
        <f>Résultats!AC296</f>
        <v>681410.12049999996</v>
      </c>
      <c r="AB19" s="212">
        <f>Résultats!AD296</f>
        <v>682360.43700000003</v>
      </c>
      <c r="AC19" s="212">
        <f>Résultats!AE296</f>
        <v>684247.34</v>
      </c>
      <c r="AD19" s="212">
        <f>Résultats!AF296</f>
        <v>685984.54189999995</v>
      </c>
      <c r="AE19" s="212">
        <f>Résultats!AG296</f>
        <v>687651.29669999995</v>
      </c>
      <c r="AF19" s="212">
        <f>Résultats!AH296</f>
        <v>690176.69440000004</v>
      </c>
      <c r="AG19" s="212">
        <f>Résultats!AI296</f>
        <v>691750.8983</v>
      </c>
      <c r="AH19" s="212">
        <f>Résultats!AJ296</f>
        <v>693606.62170000002</v>
      </c>
      <c r="AI19" s="212">
        <f>Résultats!AK296</f>
        <v>695606.63419999997</v>
      </c>
      <c r="AJ19" s="212">
        <f>Résultats!AL296</f>
        <v>697731.97400000005</v>
      </c>
      <c r="AK19" s="212">
        <f>Résultats!AM296</f>
        <v>699903.51379999996</v>
      </c>
      <c r="AL19" s="212">
        <f>Résultats!AN296</f>
        <v>702211.98560000001</v>
      </c>
      <c r="AM19" s="212">
        <f>Résultats!AO296</f>
        <v>704415.80359999998</v>
      </c>
      <c r="AN19" s="212">
        <f>Résultats!AP296</f>
        <v>706571.96389999997</v>
      </c>
      <c r="AO19" s="212">
        <f>Résultats!AQ296</f>
        <v>708686.46539999999</v>
      </c>
      <c r="AP19" s="212">
        <f>Résultats!AR296</f>
        <v>710766.88580000005</v>
      </c>
      <c r="AQ19" s="212">
        <f>Résultats!AS296</f>
        <v>712898.56929999997</v>
      </c>
      <c r="AR19" s="212">
        <f>Résultats!AT296</f>
        <v>714991.67810000002</v>
      </c>
      <c r="AS19" s="212">
        <f>Résultats!AU296</f>
        <v>717046.14370000002</v>
      </c>
      <c r="AT19" s="212">
        <f>Résultats!AV296</f>
        <v>719039.23529999994</v>
      </c>
      <c r="AU19" s="260">
        <f>Résultats!AW296</f>
        <v>721039.23910000001</v>
      </c>
    </row>
    <row r="20" spans="1:49" x14ac:dyDescent="0.25">
      <c r="B20" s="261" t="s">
        <v>472</v>
      </c>
      <c r="C20" s="262">
        <f>Résultats!E297</f>
        <v>85388.792600000001</v>
      </c>
      <c r="D20" s="263">
        <f>Résultats!F297</f>
        <v>93689.858619999999</v>
      </c>
      <c r="E20" s="263">
        <f>Résultats!G297</f>
        <v>98525.392359999998</v>
      </c>
      <c r="F20" s="263">
        <f>Résultats!H297</f>
        <v>106396.9813</v>
      </c>
      <c r="G20" s="263">
        <f>Résultats!I297</f>
        <v>112095.4186</v>
      </c>
      <c r="H20" s="263">
        <f>Résultats!J297</f>
        <v>123662.9369</v>
      </c>
      <c r="I20" s="263">
        <f>Résultats!K297</f>
        <v>133190.8278</v>
      </c>
      <c r="J20" s="263">
        <f>Résultats!L297</f>
        <v>142506.45699999999</v>
      </c>
      <c r="K20" s="263">
        <f>Résultats!M297</f>
        <v>154768.04509999999</v>
      </c>
      <c r="L20" s="263">
        <f>Résultats!N297</f>
        <v>163408.98120000001</v>
      </c>
      <c r="M20" s="263">
        <f>Résultats!O297</f>
        <v>160882.40590000001</v>
      </c>
      <c r="N20" s="263">
        <f>Résultats!P297</f>
        <v>161394.30729999999</v>
      </c>
      <c r="O20" s="263">
        <f>Résultats!Q297</f>
        <v>164607.69510000001</v>
      </c>
      <c r="P20" s="263">
        <f>Résultats!R297</f>
        <v>161701.18700000001</v>
      </c>
      <c r="Q20" s="263">
        <f>Résultats!S298</f>
        <v>56430.796029999998</v>
      </c>
      <c r="R20" s="263">
        <f>Résultats!T297</f>
        <v>158577.18119999999</v>
      </c>
      <c r="S20" s="263">
        <f>Résultats!U297</f>
        <v>158556.6856</v>
      </c>
      <c r="T20" s="263">
        <f>Résultats!V297</f>
        <v>159290.0068</v>
      </c>
      <c r="U20" s="263">
        <f>Résultats!W297</f>
        <v>159447.2611</v>
      </c>
      <c r="V20" s="263">
        <f>Résultats!X297</f>
        <v>159424.70209999999</v>
      </c>
      <c r="W20" s="263">
        <f>Résultats!Y297</f>
        <v>160888.4656</v>
      </c>
      <c r="X20" s="263">
        <f>Résultats!Z297</f>
        <v>161530.44289999999</v>
      </c>
      <c r="Y20" s="263">
        <f>Résultats!AA297</f>
        <v>162056.4339</v>
      </c>
      <c r="Z20" s="263">
        <f>Résultats!AB297</f>
        <v>162458.8309</v>
      </c>
      <c r="AA20" s="263">
        <f>Résultats!AC298</f>
        <v>57303.752379999998</v>
      </c>
      <c r="AB20" s="263">
        <f>Résultats!AD297</f>
        <v>163031.3272</v>
      </c>
      <c r="AC20" s="263">
        <f>Résultats!AE297</f>
        <v>162493.26949999999</v>
      </c>
      <c r="AD20" s="263">
        <f>Résultats!AF297</f>
        <v>162317.44949999999</v>
      </c>
      <c r="AE20" s="263">
        <f>Résultats!AG297</f>
        <v>162279.92249999999</v>
      </c>
      <c r="AF20" s="263">
        <f>Résultats!AH297</f>
        <v>161463.5465</v>
      </c>
      <c r="AG20" s="263">
        <f>Résultats!AI297</f>
        <v>161974.641</v>
      </c>
      <c r="AH20" s="263">
        <f>Résultats!AJ297</f>
        <v>162306.65270000001</v>
      </c>
      <c r="AI20" s="263">
        <f>Résultats!AK297</f>
        <v>162536.32089999999</v>
      </c>
      <c r="AJ20" s="263">
        <f>Résultats!AL297</f>
        <v>162735.8898</v>
      </c>
      <c r="AK20" s="263">
        <f>Résultats!AM297</f>
        <v>162898.3639</v>
      </c>
      <c r="AL20" s="263">
        <f>Résultats!AN297</f>
        <v>162991.43059999999</v>
      </c>
      <c r="AM20" s="263">
        <f>Résultats!AO297</f>
        <v>163160.3652</v>
      </c>
      <c r="AN20" s="263">
        <f>Résultats!AP297</f>
        <v>163377.37760000001</v>
      </c>
      <c r="AO20" s="263">
        <f>Résultats!AQ297</f>
        <v>163612.83540000001</v>
      </c>
      <c r="AP20" s="263">
        <f>Résultats!AR297</f>
        <v>163858.72949999999</v>
      </c>
      <c r="AQ20" s="263">
        <f>Résultats!AS297</f>
        <v>164031.09580000001</v>
      </c>
      <c r="AR20" s="263">
        <f>Résultats!AT297</f>
        <v>164256.38889999999</v>
      </c>
      <c r="AS20" s="263">
        <f>Résultats!AU297</f>
        <v>164502.30420000001</v>
      </c>
      <c r="AT20" s="263">
        <f>Résultats!AV297</f>
        <v>164752.37330000001</v>
      </c>
      <c r="AU20" s="264">
        <f>Résultats!AW298</f>
        <v>58897.124000000003</v>
      </c>
    </row>
    <row r="21" spans="1:49" x14ac:dyDescent="0.25">
      <c r="B21" s="249" t="s">
        <v>473</v>
      </c>
      <c r="C21" s="250">
        <f t="shared" ref="C21:AU21" si="6">C16+C19</f>
        <v>696943.44530000002</v>
      </c>
      <c r="D21" s="251">
        <f t="shared" si="6"/>
        <v>722551.65989999997</v>
      </c>
      <c r="E21" s="251">
        <f t="shared" si="6"/>
        <v>734085.19790000003</v>
      </c>
      <c r="F21" s="251">
        <f t="shared" si="6"/>
        <v>753129.63039999991</v>
      </c>
      <c r="G21" s="251">
        <f t="shared" si="6"/>
        <v>769707.02559999994</v>
      </c>
      <c r="H21" s="251">
        <f t="shared" si="6"/>
        <v>794745.7034</v>
      </c>
      <c r="I21" s="251">
        <f t="shared" si="6"/>
        <v>825072.30330000003</v>
      </c>
      <c r="J21" s="251">
        <f t="shared" si="6"/>
        <v>859448.9449</v>
      </c>
      <c r="K21" s="251">
        <f t="shared" si="6"/>
        <v>901005.68900000001</v>
      </c>
      <c r="L21" s="251">
        <f t="shared" si="6"/>
        <v>949332.80579999997</v>
      </c>
      <c r="M21" s="251">
        <f t="shared" si="6"/>
        <v>954415.28899999999</v>
      </c>
      <c r="N21" s="251">
        <f t="shared" si="6"/>
        <v>949340.10969999991</v>
      </c>
      <c r="O21" s="251">
        <f t="shared" si="6"/>
        <v>941336.1566000001</v>
      </c>
      <c r="P21" s="251">
        <f t="shared" si="6"/>
        <v>938655.3378000001</v>
      </c>
      <c r="Q21" s="251">
        <f t="shared" si="6"/>
        <v>951906.27419999999</v>
      </c>
      <c r="R21" s="251">
        <f t="shared" si="6"/>
        <v>962020.14939999999</v>
      </c>
      <c r="S21" s="251">
        <f t="shared" si="6"/>
        <v>965684.1814</v>
      </c>
      <c r="T21" s="251">
        <f t="shared" si="6"/>
        <v>967948.54440000001</v>
      </c>
      <c r="U21" s="251">
        <f t="shared" si="6"/>
        <v>970525.62919999997</v>
      </c>
      <c r="V21" s="251">
        <f t="shared" si="6"/>
        <v>972747.81169999996</v>
      </c>
      <c r="W21" s="251">
        <f t="shared" si="6"/>
        <v>968185.5560000001</v>
      </c>
      <c r="X21" s="251">
        <f t="shared" si="6"/>
        <v>966644.91079999995</v>
      </c>
      <c r="Y21" s="251">
        <f t="shared" si="6"/>
        <v>966754.42760000005</v>
      </c>
      <c r="Z21" s="251">
        <f t="shared" si="6"/>
        <v>967767.89210000006</v>
      </c>
      <c r="AA21" s="251">
        <f t="shared" si="6"/>
        <v>969221.1997</v>
      </c>
      <c r="AB21" s="251">
        <f t="shared" si="6"/>
        <v>971026.38170000003</v>
      </c>
      <c r="AC21" s="251">
        <f t="shared" si="6"/>
        <v>976596.26909999992</v>
      </c>
      <c r="AD21" s="251">
        <f t="shared" si="6"/>
        <v>981025.12479999987</v>
      </c>
      <c r="AE21" s="251">
        <f t="shared" si="6"/>
        <v>985003.10499999998</v>
      </c>
      <c r="AF21" s="251">
        <f t="shared" si="6"/>
        <v>992445.18610000005</v>
      </c>
      <c r="AG21" s="251">
        <f t="shared" si="6"/>
        <v>994969.22820000001</v>
      </c>
      <c r="AH21" s="251">
        <f t="shared" si="6"/>
        <v>998412.86860000005</v>
      </c>
      <c r="AI21" s="251">
        <f t="shared" si="6"/>
        <v>1002347.0765</v>
      </c>
      <c r="AJ21" s="251">
        <f t="shared" si="6"/>
        <v>1006581.4322</v>
      </c>
      <c r="AK21" s="251">
        <f t="shared" si="6"/>
        <v>1010990.2109999999</v>
      </c>
      <c r="AL21" s="251">
        <f t="shared" si="6"/>
        <v>1015813.7617</v>
      </c>
      <c r="AM21" s="251">
        <f t="shared" si="6"/>
        <v>1020254.6340999999</v>
      </c>
      <c r="AN21" s="251">
        <f t="shared" si="6"/>
        <v>1024501.0344</v>
      </c>
      <c r="AO21" s="251">
        <f t="shared" si="6"/>
        <v>1028628.7021</v>
      </c>
      <c r="AP21" s="251">
        <f t="shared" si="6"/>
        <v>1032668.9925000001</v>
      </c>
      <c r="AQ21" s="251">
        <f t="shared" si="6"/>
        <v>1036951.933</v>
      </c>
      <c r="AR21" s="251">
        <f t="shared" si="6"/>
        <v>1041039.5977</v>
      </c>
      <c r="AS21" s="251">
        <f t="shared" si="6"/>
        <v>1045016.0505</v>
      </c>
      <c r="AT21" s="251">
        <f t="shared" si="6"/>
        <v>1048901.8177</v>
      </c>
      <c r="AU21" s="252">
        <f t="shared" si="6"/>
        <v>1052750.7934000001</v>
      </c>
      <c r="AW21" s="253"/>
    </row>
    <row r="22" spans="1:49" x14ac:dyDescent="0.25"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W22" s="253"/>
    </row>
    <row r="23" spans="1:49" s="244" customFormat="1" ht="45" customHeight="1" x14ac:dyDescent="0.25">
      <c r="A23" s="239" t="str">
        <f>"Ecarts "&amp;Résultats!B1&amp;"  - TEND"</f>
        <v>Ecarts SNBC3  - TEND</v>
      </c>
      <c r="B23" s="266" t="s">
        <v>475</v>
      </c>
      <c r="C23" s="242">
        <v>2006</v>
      </c>
      <c r="D23" s="242">
        <v>2007</v>
      </c>
      <c r="E23" s="242">
        <v>2008</v>
      </c>
      <c r="F23" s="242">
        <v>2009</v>
      </c>
      <c r="G23" s="242">
        <v>2010</v>
      </c>
      <c r="H23" s="242">
        <v>2011</v>
      </c>
      <c r="I23" s="242">
        <v>2012</v>
      </c>
      <c r="J23" s="242">
        <v>2013</v>
      </c>
      <c r="K23" s="242">
        <v>2014</v>
      </c>
      <c r="L23" s="242">
        <v>2015</v>
      </c>
      <c r="M23" s="242">
        <v>2016</v>
      </c>
      <c r="N23" s="242">
        <v>2017</v>
      </c>
      <c r="O23" s="242">
        <v>2018</v>
      </c>
      <c r="P23" s="242">
        <v>2019</v>
      </c>
      <c r="Q23" s="242">
        <v>2020</v>
      </c>
      <c r="R23" s="242">
        <v>2021</v>
      </c>
      <c r="S23" s="242">
        <v>2022</v>
      </c>
      <c r="T23" s="242">
        <v>2023</v>
      </c>
      <c r="U23" s="242">
        <v>2024</v>
      </c>
      <c r="V23" s="242">
        <v>2025</v>
      </c>
      <c r="W23" s="242">
        <v>2026</v>
      </c>
      <c r="X23" s="242">
        <v>2027</v>
      </c>
      <c r="Y23" s="242">
        <v>2028</v>
      </c>
      <c r="Z23" s="242">
        <v>2029</v>
      </c>
      <c r="AA23" s="242">
        <v>2030</v>
      </c>
      <c r="AB23" s="242">
        <v>2031</v>
      </c>
      <c r="AC23" s="242">
        <v>2032</v>
      </c>
      <c r="AD23" s="242">
        <v>2033</v>
      </c>
      <c r="AE23" s="242">
        <v>2034</v>
      </c>
      <c r="AF23" s="242">
        <v>2035</v>
      </c>
      <c r="AG23" s="242">
        <v>2036</v>
      </c>
      <c r="AH23" s="242">
        <v>2037</v>
      </c>
      <c r="AI23" s="242">
        <v>2038</v>
      </c>
      <c r="AJ23" s="242">
        <v>2039</v>
      </c>
      <c r="AK23" s="242">
        <v>2040</v>
      </c>
      <c r="AL23" s="242">
        <v>2041</v>
      </c>
      <c r="AM23" s="242">
        <v>2042</v>
      </c>
      <c r="AN23" s="242">
        <v>2043</v>
      </c>
      <c r="AO23" s="242">
        <v>2044</v>
      </c>
      <c r="AP23" s="242">
        <v>2045</v>
      </c>
      <c r="AQ23" s="242">
        <v>2046</v>
      </c>
      <c r="AR23" s="242">
        <v>2047</v>
      </c>
      <c r="AS23" s="242">
        <v>2048</v>
      </c>
      <c r="AT23" s="242">
        <v>2049</v>
      </c>
      <c r="AU23" s="243">
        <v>2050</v>
      </c>
      <c r="AV23" s="267"/>
    </row>
    <row r="24" spans="1:49" x14ac:dyDescent="0.25">
      <c r="B24" s="245" t="s">
        <v>1</v>
      </c>
      <c r="C24" s="247">
        <f t="shared" ref="C24:AU25" si="7">C2-C13</f>
        <v>0</v>
      </c>
      <c r="D24" s="247">
        <f t="shared" si="7"/>
        <v>0</v>
      </c>
      <c r="E24" s="247">
        <f t="shared" si="7"/>
        <v>0</v>
      </c>
      <c r="F24" s="247">
        <f t="shared" si="7"/>
        <v>0</v>
      </c>
      <c r="G24" s="247">
        <f t="shared" si="7"/>
        <v>0</v>
      </c>
      <c r="H24" s="247">
        <f t="shared" si="7"/>
        <v>0</v>
      </c>
      <c r="I24" s="247">
        <f t="shared" si="7"/>
        <v>0</v>
      </c>
      <c r="J24" s="247">
        <f t="shared" si="7"/>
        <v>0</v>
      </c>
      <c r="K24" s="247">
        <f t="shared" si="7"/>
        <v>0</v>
      </c>
      <c r="L24" s="247">
        <f t="shared" si="7"/>
        <v>0</v>
      </c>
      <c r="M24" s="247">
        <f t="shared" si="7"/>
        <v>0</v>
      </c>
      <c r="N24" s="247">
        <f t="shared" si="7"/>
        <v>0</v>
      </c>
      <c r="O24" s="247">
        <f t="shared" si="7"/>
        <v>0</v>
      </c>
      <c r="P24" s="247">
        <f t="shared" si="7"/>
        <v>0</v>
      </c>
      <c r="Q24" s="247">
        <f t="shared" si="7"/>
        <v>546.68353000003844</v>
      </c>
      <c r="R24" s="247">
        <f t="shared" si="7"/>
        <v>-1494.8593899998814</v>
      </c>
      <c r="S24" s="247">
        <f t="shared" si="7"/>
        <v>-2172.6766700001899</v>
      </c>
      <c r="T24" s="247">
        <f t="shared" si="7"/>
        <v>-2795.1703600001056</v>
      </c>
      <c r="U24" s="247">
        <f t="shared" si="7"/>
        <v>-19855.577570000198</v>
      </c>
      <c r="V24" s="247">
        <f t="shared" si="7"/>
        <v>-34054.973900000099</v>
      </c>
      <c r="W24" s="247">
        <f t="shared" si="7"/>
        <v>-29554.994029999943</v>
      </c>
      <c r="X24" s="247">
        <f t="shared" si="7"/>
        <v>-30887.456910000183</v>
      </c>
      <c r="Y24" s="247">
        <f t="shared" si="7"/>
        <v>-35988.98059000005</v>
      </c>
      <c r="Z24" s="247">
        <f t="shared" si="7"/>
        <v>-43253.956409999868</v>
      </c>
      <c r="AA24" s="247">
        <f t="shared" si="7"/>
        <v>-51879.500720000127</v>
      </c>
      <c r="AB24" s="247">
        <f t="shared" si="7"/>
        <v>-58921.526890000096</v>
      </c>
      <c r="AC24" s="247">
        <f t="shared" si="7"/>
        <v>-68514.068050000118</v>
      </c>
      <c r="AD24" s="247">
        <f t="shared" si="7"/>
        <v>-77473.403630000073</v>
      </c>
      <c r="AE24" s="247">
        <f t="shared" si="7"/>
        <v>-85971.627880000044</v>
      </c>
      <c r="AF24" s="247">
        <f t="shared" si="7"/>
        <v>-96714.43945999979</v>
      </c>
      <c r="AG24" s="247">
        <f t="shared" si="7"/>
        <v>-105150.2438099999</v>
      </c>
      <c r="AH24" s="247">
        <f t="shared" si="7"/>
        <v>-113271.32196999993</v>
      </c>
      <c r="AI24" s="247">
        <f t="shared" si="7"/>
        <v>-121397.01229300001</v>
      </c>
      <c r="AJ24" s="247">
        <f t="shared" si="7"/>
        <v>-129268.34228400001</v>
      </c>
      <c r="AK24" s="247">
        <f t="shared" si="7"/>
        <v>-137194.64253299986</v>
      </c>
      <c r="AL24" s="247">
        <f t="shared" si="7"/>
        <v>-145530.17059300002</v>
      </c>
      <c r="AM24" s="247">
        <f t="shared" si="7"/>
        <v>-153188.81885900022</v>
      </c>
      <c r="AN24" s="247">
        <f t="shared" si="7"/>
        <v>-160666.2998540001</v>
      </c>
      <c r="AO24" s="247">
        <f t="shared" si="7"/>
        <v>-167944.53129499988</v>
      </c>
      <c r="AP24" s="247">
        <f t="shared" si="7"/>
        <v>-177085.87907000002</v>
      </c>
      <c r="AQ24" s="247">
        <f t="shared" si="7"/>
        <v>-186276.88616000023</v>
      </c>
      <c r="AR24" s="247">
        <f t="shared" si="7"/>
        <v>-194793.88797699986</v>
      </c>
      <c r="AS24" s="247">
        <f t="shared" si="7"/>
        <v>-202738.57544300007</v>
      </c>
      <c r="AT24" s="247">
        <f t="shared" si="7"/>
        <v>-210297.78006300004</v>
      </c>
      <c r="AU24" s="247">
        <f t="shared" si="7"/>
        <v>-218171.16052300017</v>
      </c>
      <c r="AV24" s="268"/>
    </row>
    <row r="25" spans="1:49" x14ac:dyDescent="0.25">
      <c r="B25" s="249" t="s">
        <v>466</v>
      </c>
      <c r="C25" s="251">
        <f t="shared" si="7"/>
        <v>0</v>
      </c>
      <c r="D25" s="251">
        <f t="shared" si="7"/>
        <v>0</v>
      </c>
      <c r="E25" s="251">
        <f t="shared" si="7"/>
        <v>0</v>
      </c>
      <c r="F25" s="251">
        <f t="shared" si="7"/>
        <v>0</v>
      </c>
      <c r="G25" s="251">
        <f t="shared" si="7"/>
        <v>0</v>
      </c>
      <c r="H25" s="251">
        <f t="shared" si="7"/>
        <v>0</v>
      </c>
      <c r="I25" s="251">
        <f t="shared" si="7"/>
        <v>0</v>
      </c>
      <c r="J25" s="251">
        <f t="shared" si="7"/>
        <v>0</v>
      </c>
      <c r="K25" s="251">
        <f t="shared" si="7"/>
        <v>0</v>
      </c>
      <c r="L25" s="251">
        <f t="shared" si="7"/>
        <v>0</v>
      </c>
      <c r="M25" s="251">
        <f t="shared" si="7"/>
        <v>0</v>
      </c>
      <c r="N25" s="251">
        <f t="shared" si="7"/>
        <v>0</v>
      </c>
      <c r="O25" s="251">
        <f t="shared" si="7"/>
        <v>0</v>
      </c>
      <c r="P25" s="251">
        <f t="shared" si="7"/>
        <v>0</v>
      </c>
      <c r="Q25" s="251">
        <f t="shared" si="7"/>
        <v>0</v>
      </c>
      <c r="R25" s="251">
        <f t="shared" si="7"/>
        <v>0</v>
      </c>
      <c r="S25" s="251">
        <f t="shared" si="7"/>
        <v>0</v>
      </c>
      <c r="T25" s="251">
        <f t="shared" si="7"/>
        <v>5.541559999999663</v>
      </c>
      <c r="U25" s="251">
        <f t="shared" si="7"/>
        <v>-370.58012000000053</v>
      </c>
      <c r="V25" s="251">
        <f t="shared" si="7"/>
        <v>-791.51507000000129</v>
      </c>
      <c r="W25" s="251">
        <f t="shared" si="7"/>
        <v>-1152.5471899999993</v>
      </c>
      <c r="X25" s="251">
        <f t="shared" si="7"/>
        <v>-1456.63141</v>
      </c>
      <c r="Y25" s="251">
        <f t="shared" si="7"/>
        <v>-1799.4598800000003</v>
      </c>
      <c r="Z25" s="251">
        <f t="shared" si="7"/>
        <v>-2155.6666499999992</v>
      </c>
      <c r="AA25" s="251">
        <f t="shared" si="7"/>
        <v>-2554.707339999999</v>
      </c>
      <c r="AB25" s="251">
        <f t="shared" si="7"/>
        <v>-3220.5195600000006</v>
      </c>
      <c r="AC25" s="251">
        <f t="shared" si="7"/>
        <v>-3857.1797100000003</v>
      </c>
      <c r="AD25" s="251">
        <f t="shared" si="7"/>
        <v>-4513.5543700000017</v>
      </c>
      <c r="AE25" s="251">
        <f t="shared" si="7"/>
        <v>-5175.5775900000008</v>
      </c>
      <c r="AF25" s="251">
        <f t="shared" si="7"/>
        <v>-5853.1476300000013</v>
      </c>
      <c r="AG25" s="251">
        <f t="shared" si="7"/>
        <v>-6547.8406800000012</v>
      </c>
      <c r="AH25" s="251">
        <f t="shared" si="7"/>
        <v>-7229.1202000000012</v>
      </c>
      <c r="AI25" s="251">
        <f t="shared" si="7"/>
        <v>-7923.4275529999995</v>
      </c>
      <c r="AJ25" s="251">
        <f t="shared" si="7"/>
        <v>-8606.7500040000014</v>
      </c>
      <c r="AK25" s="251">
        <f t="shared" si="7"/>
        <v>-9313.2381129999994</v>
      </c>
      <c r="AL25" s="251">
        <f t="shared" si="7"/>
        <v>-10011.800563000001</v>
      </c>
      <c r="AM25" s="251">
        <f t="shared" si="7"/>
        <v>-10687.734129</v>
      </c>
      <c r="AN25" s="251">
        <f t="shared" si="7"/>
        <v>-11383.771274000012</v>
      </c>
      <c r="AO25" s="251">
        <f t="shared" si="7"/>
        <v>-12076.966885</v>
      </c>
      <c r="AP25" s="251">
        <f t="shared" si="7"/>
        <v>-12771.98705</v>
      </c>
      <c r="AQ25" s="251">
        <f t="shared" si="7"/>
        <v>-13474.566699999999</v>
      </c>
      <c r="AR25" s="251">
        <f t="shared" si="7"/>
        <v>-14184.697807</v>
      </c>
      <c r="AS25" s="251">
        <f t="shared" si="7"/>
        <v>-14892.560823</v>
      </c>
      <c r="AT25" s="251">
        <f t="shared" si="7"/>
        <v>-15617.682682999999</v>
      </c>
      <c r="AU25" s="251">
        <f t="shared" si="7"/>
        <v>-16335.006092999998</v>
      </c>
      <c r="AV25" s="268"/>
    </row>
    <row r="26" spans="1:49" x14ac:dyDescent="0.25">
      <c r="B26" s="254" t="s">
        <v>467</v>
      </c>
      <c r="C26" s="256">
        <f t="shared" ref="C26:E26" si="8">SUM(C27:C28)</f>
        <v>0</v>
      </c>
      <c r="D26" s="256">
        <f t="shared" si="8"/>
        <v>0</v>
      </c>
      <c r="E26" s="256">
        <f t="shared" si="8"/>
        <v>0</v>
      </c>
      <c r="F26" s="256">
        <f>SUM(F27:F28)</f>
        <v>0</v>
      </c>
      <c r="G26" s="256">
        <f t="shared" ref="G26:AU26" si="9">SUM(G27:G28)</f>
        <v>0</v>
      </c>
      <c r="H26" s="256">
        <f t="shared" si="9"/>
        <v>0</v>
      </c>
      <c r="I26" s="256">
        <f t="shared" si="9"/>
        <v>0</v>
      </c>
      <c r="J26" s="256">
        <f t="shared" si="9"/>
        <v>0</v>
      </c>
      <c r="K26" s="256">
        <f t="shared" si="9"/>
        <v>0</v>
      </c>
      <c r="L26" s="256">
        <f t="shared" si="9"/>
        <v>0</v>
      </c>
      <c r="M26" s="256">
        <f t="shared" si="9"/>
        <v>0</v>
      </c>
      <c r="N26" s="256">
        <f t="shared" si="9"/>
        <v>0</v>
      </c>
      <c r="O26" s="256">
        <f t="shared" si="9"/>
        <v>0</v>
      </c>
      <c r="P26" s="256">
        <f t="shared" si="9"/>
        <v>0</v>
      </c>
      <c r="Q26" s="256">
        <f t="shared" si="9"/>
        <v>0</v>
      </c>
      <c r="R26" s="256">
        <f t="shared" si="9"/>
        <v>0</v>
      </c>
      <c r="S26" s="256">
        <f t="shared" si="9"/>
        <v>0</v>
      </c>
      <c r="T26" s="256">
        <f t="shared" si="9"/>
        <v>-0.84907999999995809</v>
      </c>
      <c r="U26" s="256">
        <f t="shared" si="9"/>
        <v>-17883.953180000004</v>
      </c>
      <c r="V26" s="256">
        <f t="shared" si="9"/>
        <v>-31973.517350000016</v>
      </c>
      <c r="W26" s="256">
        <f t="shared" si="9"/>
        <v>-23546.663820000016</v>
      </c>
      <c r="X26" s="256">
        <f t="shared" si="9"/>
        <v>-20922.142039999984</v>
      </c>
      <c r="Y26" s="256">
        <f t="shared" si="9"/>
        <v>-21086.140739999995</v>
      </c>
      <c r="Z26" s="256">
        <f t="shared" si="9"/>
        <v>-23179.853100000029</v>
      </c>
      <c r="AA26" s="256">
        <f t="shared" si="9"/>
        <v>4730.3604000000341</v>
      </c>
      <c r="AB26" s="256">
        <f t="shared" si="9"/>
        <v>-28130.486169999989</v>
      </c>
      <c r="AC26" s="256">
        <f t="shared" si="9"/>
        <v>-32731.630200000007</v>
      </c>
      <c r="AD26" s="256">
        <f t="shared" si="9"/>
        <v>-36354.897389999984</v>
      </c>
      <c r="AE26" s="256">
        <f t="shared" si="9"/>
        <v>-39576.076349999974</v>
      </c>
      <c r="AF26" s="256">
        <f t="shared" si="9"/>
        <v>-45073.116480000004</v>
      </c>
      <c r="AG26" s="256">
        <f t="shared" si="9"/>
        <v>-48017.389450000024</v>
      </c>
      <c r="AH26" s="256">
        <f t="shared" si="9"/>
        <v>-51077.146090000024</v>
      </c>
      <c r="AI26" s="256">
        <f t="shared" si="9"/>
        <v>-54104.993569999977</v>
      </c>
      <c r="AJ26" s="256">
        <f t="shared" si="9"/>
        <v>-57207.240369999992</v>
      </c>
      <c r="AK26" s="256">
        <f t="shared" si="9"/>
        <v>-60298.492380000003</v>
      </c>
      <c r="AL26" s="256">
        <f t="shared" si="9"/>
        <v>-63642.852090000029</v>
      </c>
      <c r="AM26" s="256">
        <f t="shared" si="9"/>
        <v>-66728.843749999971</v>
      </c>
      <c r="AN26" s="256">
        <f t="shared" si="9"/>
        <v>-69595.852019999991</v>
      </c>
      <c r="AO26" s="256">
        <f t="shared" si="9"/>
        <v>-72410.125920000006</v>
      </c>
      <c r="AP26" s="256">
        <f t="shared" si="9"/>
        <v>-76837.5098</v>
      </c>
      <c r="AQ26" s="256">
        <f t="shared" si="9"/>
        <v>-81038.528029999987</v>
      </c>
      <c r="AR26" s="256">
        <f t="shared" si="9"/>
        <v>-84840.453470000037</v>
      </c>
      <c r="AS26" s="256">
        <f t="shared" si="9"/>
        <v>-88437.566729999991</v>
      </c>
      <c r="AT26" s="256">
        <f t="shared" si="9"/>
        <v>-91884.351740000013</v>
      </c>
      <c r="AU26" s="256">
        <f t="shared" si="9"/>
        <v>5814.3643999999622</v>
      </c>
      <c r="AV26" s="268"/>
    </row>
    <row r="27" spans="1:49" x14ac:dyDescent="0.25">
      <c r="B27" s="258" t="s">
        <v>468</v>
      </c>
      <c r="C27" s="212">
        <f t="shared" ref="C27:AU28" si="10">C5-C16</f>
        <v>0</v>
      </c>
      <c r="D27" s="212">
        <f t="shared" si="10"/>
        <v>0</v>
      </c>
      <c r="E27" s="212">
        <f t="shared" si="10"/>
        <v>0</v>
      </c>
      <c r="F27" s="212">
        <f t="shared" si="10"/>
        <v>0</v>
      </c>
      <c r="G27" s="212">
        <f t="shared" si="10"/>
        <v>0</v>
      </c>
      <c r="H27" s="212">
        <f t="shared" si="10"/>
        <v>0</v>
      </c>
      <c r="I27" s="212">
        <f t="shared" si="10"/>
        <v>0</v>
      </c>
      <c r="J27" s="212">
        <f t="shared" si="10"/>
        <v>0</v>
      </c>
      <c r="K27" s="212">
        <f t="shared" si="10"/>
        <v>0</v>
      </c>
      <c r="L27" s="212">
        <f t="shared" si="10"/>
        <v>0</v>
      </c>
      <c r="M27" s="212">
        <f t="shared" si="10"/>
        <v>0</v>
      </c>
      <c r="N27" s="212">
        <f t="shared" si="10"/>
        <v>0</v>
      </c>
      <c r="O27" s="212">
        <f t="shared" si="10"/>
        <v>0</v>
      </c>
      <c r="P27" s="212">
        <f t="shared" si="10"/>
        <v>0</v>
      </c>
      <c r="Q27" s="212">
        <f t="shared" si="10"/>
        <v>0</v>
      </c>
      <c r="R27" s="212">
        <f t="shared" si="10"/>
        <v>0</v>
      </c>
      <c r="S27" s="212">
        <f t="shared" si="10"/>
        <v>0</v>
      </c>
      <c r="T27" s="212">
        <f t="shared" si="10"/>
        <v>-8.4400000000023283</v>
      </c>
      <c r="U27" s="212">
        <f t="shared" si="10"/>
        <v>-21139.837</v>
      </c>
      <c r="V27" s="212">
        <f t="shared" si="10"/>
        <v>-37932.018000000011</v>
      </c>
      <c r="W27" s="212">
        <f t="shared" si="10"/>
        <v>-29098.496700000018</v>
      </c>
      <c r="X27" s="212">
        <f t="shared" si="10"/>
        <v>-26698.722099999984</v>
      </c>
      <c r="Y27" s="212">
        <f t="shared" si="10"/>
        <v>-27264.399999999994</v>
      </c>
      <c r="Z27" s="212">
        <f t="shared" si="10"/>
        <v>-29925.400700000027</v>
      </c>
      <c r="AA27" s="212">
        <f t="shared" si="10"/>
        <v>-33710.147999999986</v>
      </c>
      <c r="AB27" s="212">
        <f t="shared" si="10"/>
        <v>-35637.561699999991</v>
      </c>
      <c r="AC27" s="212">
        <f t="shared" si="10"/>
        <v>-40659.815700000006</v>
      </c>
      <c r="AD27" s="212">
        <f t="shared" si="10"/>
        <v>-44532.062099999981</v>
      </c>
      <c r="AE27" s="212">
        <f t="shared" si="10"/>
        <v>-47952.981099999975</v>
      </c>
      <c r="AF27" s="212">
        <f t="shared" si="10"/>
        <v>-53867.434500000003</v>
      </c>
      <c r="AG27" s="212">
        <f t="shared" si="10"/>
        <v>-56991.857700000022</v>
      </c>
      <c r="AH27" s="212">
        <f t="shared" si="10"/>
        <v>-60268.574100000027</v>
      </c>
      <c r="AI27" s="212">
        <f t="shared" si="10"/>
        <v>-63478.297999999981</v>
      </c>
      <c r="AJ27" s="212">
        <f t="shared" si="10"/>
        <v>-66793.849699999992</v>
      </c>
      <c r="AK27" s="212">
        <f t="shared" si="10"/>
        <v>-70069.825400000002</v>
      </c>
      <c r="AL27" s="212">
        <f t="shared" si="10"/>
        <v>-73607.503100000031</v>
      </c>
      <c r="AM27" s="212">
        <f t="shared" si="10"/>
        <v>-76902.30819999997</v>
      </c>
      <c r="AN27" s="212">
        <f t="shared" si="10"/>
        <v>-79938.378999999986</v>
      </c>
      <c r="AO27" s="212">
        <f t="shared" si="10"/>
        <v>-82916.883600000001</v>
      </c>
      <c r="AP27" s="212">
        <f t="shared" si="10"/>
        <v>-87666.048500000004</v>
      </c>
      <c r="AQ27" s="212">
        <f t="shared" si="10"/>
        <v>-92078.768299999996</v>
      </c>
      <c r="AR27" s="212">
        <f t="shared" si="10"/>
        <v>-96080.708300000028</v>
      </c>
      <c r="AS27" s="212">
        <f t="shared" si="10"/>
        <v>-99895.072899999999</v>
      </c>
      <c r="AT27" s="212">
        <f t="shared" si="10"/>
        <v>-103554.133</v>
      </c>
      <c r="AU27" s="212">
        <f t="shared" si="10"/>
        <v>-106504.40790000002</v>
      </c>
      <c r="AV27" s="268"/>
    </row>
    <row r="28" spans="1:49" x14ac:dyDescent="0.25">
      <c r="B28" s="261" t="s">
        <v>469</v>
      </c>
      <c r="C28" s="263">
        <f t="shared" si="10"/>
        <v>0</v>
      </c>
      <c r="D28" s="263">
        <f t="shared" si="10"/>
        <v>0</v>
      </c>
      <c r="E28" s="263">
        <f t="shared" si="10"/>
        <v>0</v>
      </c>
      <c r="F28" s="263">
        <f t="shared" si="10"/>
        <v>0</v>
      </c>
      <c r="G28" s="263">
        <f t="shared" si="10"/>
        <v>0</v>
      </c>
      <c r="H28" s="263">
        <f t="shared" si="10"/>
        <v>0</v>
      </c>
      <c r="I28" s="263">
        <f t="shared" si="10"/>
        <v>0</v>
      </c>
      <c r="J28" s="263">
        <f t="shared" si="10"/>
        <v>0</v>
      </c>
      <c r="K28" s="263">
        <f t="shared" si="10"/>
        <v>0</v>
      </c>
      <c r="L28" s="263">
        <f t="shared" si="10"/>
        <v>0</v>
      </c>
      <c r="M28" s="263">
        <f t="shared" si="10"/>
        <v>0</v>
      </c>
      <c r="N28" s="263">
        <f t="shared" si="10"/>
        <v>0</v>
      </c>
      <c r="O28" s="263">
        <f t="shared" si="10"/>
        <v>0</v>
      </c>
      <c r="P28" s="263">
        <f t="shared" si="10"/>
        <v>0</v>
      </c>
      <c r="Q28" s="263">
        <f t="shared" si="10"/>
        <v>0</v>
      </c>
      <c r="R28" s="263">
        <f t="shared" si="10"/>
        <v>0</v>
      </c>
      <c r="S28" s="263">
        <f t="shared" si="10"/>
        <v>0</v>
      </c>
      <c r="T28" s="263">
        <f t="shared" si="10"/>
        <v>7.5909200000023702</v>
      </c>
      <c r="U28" s="263">
        <f t="shared" si="10"/>
        <v>3255.8838199999955</v>
      </c>
      <c r="V28" s="263">
        <f t="shared" si="10"/>
        <v>5958.5006499999945</v>
      </c>
      <c r="W28" s="263">
        <f t="shared" si="10"/>
        <v>5551.8328800000018</v>
      </c>
      <c r="X28" s="263">
        <f t="shared" si="10"/>
        <v>5776.5800600000002</v>
      </c>
      <c r="Y28" s="263">
        <f t="shared" si="10"/>
        <v>6178.2592599999989</v>
      </c>
      <c r="Z28" s="263">
        <f t="shared" si="10"/>
        <v>6745.5475999999981</v>
      </c>
      <c r="AA28" s="263">
        <f t="shared" si="10"/>
        <v>38440.508400000021</v>
      </c>
      <c r="AB28" s="263">
        <f t="shared" si="10"/>
        <v>7507.0755300000019</v>
      </c>
      <c r="AC28" s="263">
        <f t="shared" si="10"/>
        <v>7928.1854999999996</v>
      </c>
      <c r="AD28" s="263">
        <f t="shared" si="10"/>
        <v>8177.1647099999973</v>
      </c>
      <c r="AE28" s="263">
        <f t="shared" si="10"/>
        <v>8376.9047500000015</v>
      </c>
      <c r="AF28" s="263">
        <f t="shared" si="10"/>
        <v>8794.3180199999988</v>
      </c>
      <c r="AG28" s="263">
        <f t="shared" si="10"/>
        <v>8974.4682499999981</v>
      </c>
      <c r="AH28" s="263">
        <f t="shared" si="10"/>
        <v>9191.4280100000033</v>
      </c>
      <c r="AI28" s="263">
        <f t="shared" si="10"/>
        <v>9373.3044300000038</v>
      </c>
      <c r="AJ28" s="263">
        <f t="shared" si="10"/>
        <v>9586.6093299999993</v>
      </c>
      <c r="AK28" s="263">
        <f t="shared" si="10"/>
        <v>9771.3330199999982</v>
      </c>
      <c r="AL28" s="263">
        <f t="shared" si="10"/>
        <v>9964.6510100000014</v>
      </c>
      <c r="AM28" s="263">
        <f t="shared" si="10"/>
        <v>10173.464450000007</v>
      </c>
      <c r="AN28" s="263">
        <f t="shared" si="10"/>
        <v>10342.526980000002</v>
      </c>
      <c r="AO28" s="263">
        <f t="shared" si="10"/>
        <v>10506.757679999995</v>
      </c>
      <c r="AP28" s="263">
        <f t="shared" si="10"/>
        <v>10828.538700000005</v>
      </c>
      <c r="AQ28" s="263">
        <f t="shared" si="10"/>
        <v>11040.240270000002</v>
      </c>
      <c r="AR28" s="263">
        <f t="shared" si="10"/>
        <v>11240.254829999998</v>
      </c>
      <c r="AS28" s="263">
        <f t="shared" si="10"/>
        <v>11457.506170000008</v>
      </c>
      <c r="AT28" s="263">
        <f t="shared" si="10"/>
        <v>11669.781259999996</v>
      </c>
      <c r="AU28" s="263">
        <f t="shared" si="10"/>
        <v>112318.77229999998</v>
      </c>
      <c r="AV28" s="268"/>
    </row>
    <row r="29" spans="1:49" x14ac:dyDescent="0.25">
      <c r="B29" s="258" t="s">
        <v>470</v>
      </c>
      <c r="C29" s="212">
        <f t="shared" ref="C29:E29" si="11">SUM(C30:C31)</f>
        <v>0</v>
      </c>
      <c r="D29" s="212">
        <f t="shared" si="11"/>
        <v>0</v>
      </c>
      <c r="E29" s="212">
        <f t="shared" si="11"/>
        <v>0</v>
      </c>
      <c r="F29" s="212">
        <f>SUM(F30:F31)</f>
        <v>0</v>
      </c>
      <c r="G29" s="212">
        <f t="shared" ref="G29:AU29" si="12">SUM(G30:G31)</f>
        <v>0</v>
      </c>
      <c r="H29" s="212">
        <f t="shared" si="12"/>
        <v>0</v>
      </c>
      <c r="I29" s="212">
        <f t="shared" si="12"/>
        <v>0</v>
      </c>
      <c r="J29" s="212">
        <f t="shared" si="12"/>
        <v>0</v>
      </c>
      <c r="K29" s="212">
        <f t="shared" si="12"/>
        <v>0</v>
      </c>
      <c r="L29" s="212">
        <f t="shared" si="12"/>
        <v>0</v>
      </c>
      <c r="M29" s="212">
        <f t="shared" si="12"/>
        <v>0</v>
      </c>
      <c r="N29" s="212">
        <f t="shared" si="12"/>
        <v>0</v>
      </c>
      <c r="O29" s="212">
        <f t="shared" si="12"/>
        <v>0</v>
      </c>
      <c r="P29" s="212">
        <f t="shared" si="12"/>
        <v>0</v>
      </c>
      <c r="Q29" s="212">
        <f t="shared" si="12"/>
        <v>0</v>
      </c>
      <c r="R29" s="212">
        <f t="shared" si="12"/>
        <v>0</v>
      </c>
      <c r="S29" s="212">
        <f t="shared" si="12"/>
        <v>0</v>
      </c>
      <c r="T29" s="212">
        <f t="shared" si="12"/>
        <v>59.795899999997346</v>
      </c>
      <c r="U29" s="212">
        <f t="shared" si="12"/>
        <v>1945.3341999999539</v>
      </c>
      <c r="V29" s="212">
        <f t="shared" si="12"/>
        <v>2942.5347999999358</v>
      </c>
      <c r="W29" s="212">
        <f t="shared" si="12"/>
        <v>35.173700000043027</v>
      </c>
      <c r="X29" s="212">
        <f t="shared" si="12"/>
        <v>-2936.2632000000158</v>
      </c>
      <c r="Y29" s="212">
        <f t="shared" si="12"/>
        <v>-6841.1533000000345</v>
      </c>
      <c r="Z29" s="212">
        <f t="shared" si="12"/>
        <v>-10961.7408</v>
      </c>
      <c r="AA29" s="212">
        <f t="shared" si="12"/>
        <v>-46401.52706</v>
      </c>
      <c r="AB29" s="212">
        <f t="shared" si="12"/>
        <v>-19216.300000000105</v>
      </c>
      <c r="AC29" s="212">
        <f t="shared" si="12"/>
        <v>-22875.868099999963</v>
      </c>
      <c r="AD29" s="212">
        <f t="shared" si="12"/>
        <v>-26847.488199999934</v>
      </c>
      <c r="AE29" s="212">
        <f t="shared" si="12"/>
        <v>-30748.292499999923</v>
      </c>
      <c r="AF29" s="212">
        <f t="shared" si="12"/>
        <v>-34613.388599999977</v>
      </c>
      <c r="AG29" s="212">
        <f t="shared" si="12"/>
        <v>-38681.314000000013</v>
      </c>
      <c r="AH29" s="212">
        <f t="shared" si="12"/>
        <v>-42325.58970000004</v>
      </c>
      <c r="AI29" s="212">
        <f t="shared" si="12"/>
        <v>-45987.867299999954</v>
      </c>
      <c r="AJ29" s="212">
        <f t="shared" si="12"/>
        <v>-49325.97940000004</v>
      </c>
      <c r="AK29" s="212">
        <f t="shared" si="12"/>
        <v>-52701.771899999963</v>
      </c>
      <c r="AL29" s="212">
        <f t="shared" si="12"/>
        <v>-56235.312200000044</v>
      </c>
      <c r="AM29" s="212">
        <f t="shared" si="12"/>
        <v>-59368.143900000025</v>
      </c>
      <c r="AN29" s="212">
        <f t="shared" si="12"/>
        <v>-62513.722799999989</v>
      </c>
      <c r="AO29" s="212">
        <f t="shared" si="12"/>
        <v>-65511.178199999937</v>
      </c>
      <c r="AP29" s="212">
        <f t="shared" si="12"/>
        <v>-68752.441600000078</v>
      </c>
      <c r="AQ29" s="212">
        <f t="shared" si="12"/>
        <v>-72257.160400000022</v>
      </c>
      <c r="AR29" s="212">
        <f t="shared" si="12"/>
        <v>-75474.377999999997</v>
      </c>
      <c r="AS29" s="212">
        <f t="shared" si="12"/>
        <v>-78322.10500000004</v>
      </c>
      <c r="AT29" s="212">
        <f t="shared" si="12"/>
        <v>-80914.357599999959</v>
      </c>
      <c r="AU29" s="212">
        <f t="shared" si="12"/>
        <v>-184968.71853000001</v>
      </c>
      <c r="AV29" s="268"/>
    </row>
    <row r="30" spans="1:49" x14ac:dyDescent="0.25">
      <c r="B30" s="258" t="s">
        <v>471</v>
      </c>
      <c r="C30" s="212">
        <f t="shared" ref="C30:AU31" si="13">C8-C19</f>
        <v>0</v>
      </c>
      <c r="D30" s="212">
        <f t="shared" si="13"/>
        <v>0</v>
      </c>
      <c r="E30" s="212">
        <f t="shared" si="13"/>
        <v>0</v>
      </c>
      <c r="F30" s="212">
        <f t="shared" si="13"/>
        <v>0</v>
      </c>
      <c r="G30" s="212">
        <f t="shared" si="13"/>
        <v>0</v>
      </c>
      <c r="H30" s="212">
        <f t="shared" si="13"/>
        <v>0</v>
      </c>
      <c r="I30" s="212">
        <f t="shared" si="13"/>
        <v>0</v>
      </c>
      <c r="J30" s="212">
        <f t="shared" si="13"/>
        <v>0</v>
      </c>
      <c r="K30" s="212">
        <f t="shared" si="13"/>
        <v>0</v>
      </c>
      <c r="L30" s="212">
        <f t="shared" si="13"/>
        <v>0</v>
      </c>
      <c r="M30" s="212">
        <f t="shared" si="13"/>
        <v>0</v>
      </c>
      <c r="N30" s="212">
        <f t="shared" si="13"/>
        <v>0</v>
      </c>
      <c r="O30" s="212">
        <f t="shared" si="13"/>
        <v>0</v>
      </c>
      <c r="P30" s="212">
        <f t="shared" si="13"/>
        <v>0</v>
      </c>
      <c r="Q30" s="212">
        <f t="shared" si="13"/>
        <v>0</v>
      </c>
      <c r="R30" s="212">
        <f t="shared" si="13"/>
        <v>0</v>
      </c>
      <c r="S30" s="212">
        <f t="shared" si="13"/>
        <v>0</v>
      </c>
      <c r="T30" s="212">
        <f t="shared" si="13"/>
        <v>47.812299999990501</v>
      </c>
      <c r="U30" s="212">
        <f t="shared" si="13"/>
        <v>-11435.546300000045</v>
      </c>
      <c r="V30" s="212">
        <f t="shared" si="13"/>
        <v>-22257.896000000066</v>
      </c>
      <c r="W30" s="212">
        <f t="shared" si="13"/>
        <v>-25708.368299999973</v>
      </c>
      <c r="X30" s="212">
        <f t="shared" si="13"/>
        <v>-31025.981900000013</v>
      </c>
      <c r="Y30" s="212">
        <f t="shared" si="13"/>
        <v>-37897.500400000019</v>
      </c>
      <c r="Z30" s="212">
        <f t="shared" si="13"/>
        <v>-45585.056600000011</v>
      </c>
      <c r="AA30" s="212">
        <f t="shared" si="13"/>
        <v>-53784.919200000004</v>
      </c>
      <c r="AB30" s="212">
        <f t="shared" si="13"/>
        <v>-60440.139200000092</v>
      </c>
      <c r="AC30" s="212">
        <f t="shared" si="13"/>
        <v>-67931.875699999975</v>
      </c>
      <c r="AD30" s="212">
        <f t="shared" si="13"/>
        <v>-75369.844599999953</v>
      </c>
      <c r="AE30" s="212">
        <f t="shared" si="13"/>
        <v>-82641.82349999994</v>
      </c>
      <c r="AF30" s="212">
        <f t="shared" si="13"/>
        <v>-90689.660299999989</v>
      </c>
      <c r="AG30" s="212">
        <f t="shared" si="13"/>
        <v>-97844.659800000023</v>
      </c>
      <c r="AH30" s="212">
        <f t="shared" si="13"/>
        <v>-104861.00470000005</v>
      </c>
      <c r="AI30" s="212">
        <f t="shared" si="13"/>
        <v>-111960.35719999997</v>
      </c>
      <c r="AJ30" s="212">
        <f t="shared" si="13"/>
        <v>-118913.50340000005</v>
      </c>
      <c r="AK30" s="212">
        <f t="shared" si="13"/>
        <v>-125938.72869999998</v>
      </c>
      <c r="AL30" s="212">
        <f t="shared" si="13"/>
        <v>-133169.79540000006</v>
      </c>
      <c r="AM30" s="212">
        <f t="shared" si="13"/>
        <v>-140054.12580000004</v>
      </c>
      <c r="AN30" s="212">
        <f t="shared" si="13"/>
        <v>-146900.91729999997</v>
      </c>
      <c r="AO30" s="212">
        <f t="shared" si="13"/>
        <v>-153659.79279999994</v>
      </c>
      <c r="AP30" s="212">
        <f t="shared" si="13"/>
        <v>-160869.95170000009</v>
      </c>
      <c r="AQ30" s="212">
        <f t="shared" si="13"/>
        <v>-168327.9976</v>
      </c>
      <c r="AR30" s="212">
        <f t="shared" si="13"/>
        <v>-175489.54989999998</v>
      </c>
      <c r="AS30" s="212">
        <f t="shared" si="13"/>
        <v>-182366.38410000002</v>
      </c>
      <c r="AT30" s="212">
        <f t="shared" si="13"/>
        <v>-189071.53689999995</v>
      </c>
      <c r="AU30" s="212">
        <f t="shared" si="13"/>
        <v>-196536.81770000001</v>
      </c>
      <c r="AV30" s="268"/>
    </row>
    <row r="31" spans="1:49" x14ac:dyDescent="0.25">
      <c r="B31" s="261" t="s">
        <v>472</v>
      </c>
      <c r="C31" s="263">
        <f t="shared" si="13"/>
        <v>0</v>
      </c>
      <c r="D31" s="263">
        <f t="shared" si="13"/>
        <v>0</v>
      </c>
      <c r="E31" s="263">
        <f t="shared" si="13"/>
        <v>0</v>
      </c>
      <c r="F31" s="263">
        <f t="shared" si="13"/>
        <v>0</v>
      </c>
      <c r="G31" s="263">
        <f t="shared" si="13"/>
        <v>0</v>
      </c>
      <c r="H31" s="263">
        <f t="shared" si="13"/>
        <v>0</v>
      </c>
      <c r="I31" s="263">
        <f t="shared" si="13"/>
        <v>0</v>
      </c>
      <c r="J31" s="263">
        <f t="shared" si="13"/>
        <v>0</v>
      </c>
      <c r="K31" s="263">
        <f t="shared" si="13"/>
        <v>0</v>
      </c>
      <c r="L31" s="263">
        <f t="shared" si="13"/>
        <v>0</v>
      </c>
      <c r="M31" s="263">
        <f t="shared" si="13"/>
        <v>0</v>
      </c>
      <c r="N31" s="263">
        <f t="shared" si="13"/>
        <v>0</v>
      </c>
      <c r="O31" s="263">
        <f t="shared" si="13"/>
        <v>0</v>
      </c>
      <c r="P31" s="263">
        <f t="shared" si="13"/>
        <v>0</v>
      </c>
      <c r="Q31" s="263">
        <f t="shared" si="13"/>
        <v>0</v>
      </c>
      <c r="R31" s="263">
        <f t="shared" si="13"/>
        <v>0</v>
      </c>
      <c r="S31" s="263">
        <f t="shared" si="13"/>
        <v>0</v>
      </c>
      <c r="T31" s="263">
        <f t="shared" si="13"/>
        <v>11.983600000006845</v>
      </c>
      <c r="U31" s="263">
        <f t="shared" si="13"/>
        <v>13380.880499999999</v>
      </c>
      <c r="V31" s="263">
        <f t="shared" si="13"/>
        <v>25200.430800000002</v>
      </c>
      <c r="W31" s="263">
        <f t="shared" si="13"/>
        <v>25743.542000000016</v>
      </c>
      <c r="X31" s="263">
        <f t="shared" si="13"/>
        <v>28089.718699999998</v>
      </c>
      <c r="Y31" s="263">
        <f t="shared" si="13"/>
        <v>31056.347099999984</v>
      </c>
      <c r="Z31" s="263">
        <f t="shared" si="13"/>
        <v>34623.315800000011</v>
      </c>
      <c r="AA31" s="263">
        <f t="shared" si="13"/>
        <v>7383.3921400000036</v>
      </c>
      <c r="AB31" s="263">
        <f t="shared" si="13"/>
        <v>41223.839199999988</v>
      </c>
      <c r="AC31" s="263">
        <f t="shared" si="13"/>
        <v>45056.007600000012</v>
      </c>
      <c r="AD31" s="263">
        <f t="shared" si="13"/>
        <v>48522.356400000019</v>
      </c>
      <c r="AE31" s="263">
        <f t="shared" si="13"/>
        <v>51893.531000000017</v>
      </c>
      <c r="AF31" s="263">
        <f t="shared" si="13"/>
        <v>56076.271700000012</v>
      </c>
      <c r="AG31" s="263">
        <f t="shared" si="13"/>
        <v>59163.34580000001</v>
      </c>
      <c r="AH31" s="263">
        <f t="shared" si="13"/>
        <v>62535.415000000008</v>
      </c>
      <c r="AI31" s="263">
        <f t="shared" si="13"/>
        <v>65972.489900000015</v>
      </c>
      <c r="AJ31" s="263">
        <f t="shared" si="13"/>
        <v>69587.524000000005</v>
      </c>
      <c r="AK31" s="263">
        <f t="shared" si="13"/>
        <v>73236.956800000014</v>
      </c>
      <c r="AL31" s="263">
        <f t="shared" si="13"/>
        <v>76934.483200000017</v>
      </c>
      <c r="AM31" s="263">
        <f t="shared" si="13"/>
        <v>80685.981900000013</v>
      </c>
      <c r="AN31" s="263">
        <f t="shared" si="13"/>
        <v>84387.194499999983</v>
      </c>
      <c r="AO31" s="263">
        <f t="shared" si="13"/>
        <v>88148.614600000001</v>
      </c>
      <c r="AP31" s="263">
        <f t="shared" si="13"/>
        <v>92117.510100000014</v>
      </c>
      <c r="AQ31" s="263">
        <f t="shared" si="13"/>
        <v>96070.83719999998</v>
      </c>
      <c r="AR31" s="263">
        <f t="shared" si="13"/>
        <v>100015.17189999999</v>
      </c>
      <c r="AS31" s="263">
        <f t="shared" si="13"/>
        <v>104044.27909999999</v>
      </c>
      <c r="AT31" s="263">
        <f t="shared" si="13"/>
        <v>108157.17929999999</v>
      </c>
      <c r="AU31" s="263">
        <f t="shared" si="13"/>
        <v>11568.099169999994</v>
      </c>
      <c r="AV31" s="268"/>
    </row>
    <row r="32" spans="1:49" x14ac:dyDescent="0.25">
      <c r="B32" s="249" t="s">
        <v>473</v>
      </c>
      <c r="C32" s="251">
        <f t="shared" ref="C32:E32" si="14">SUM(C27,C30)</f>
        <v>0</v>
      </c>
      <c r="D32" s="251">
        <f t="shared" si="14"/>
        <v>0</v>
      </c>
      <c r="E32" s="251">
        <f t="shared" si="14"/>
        <v>0</v>
      </c>
      <c r="F32" s="251">
        <f>SUM(F27,F30)</f>
        <v>0</v>
      </c>
      <c r="G32" s="251">
        <f t="shared" ref="G32:AU32" si="15">SUM(G27,G30)</f>
        <v>0</v>
      </c>
      <c r="H32" s="251">
        <f t="shared" si="15"/>
        <v>0</v>
      </c>
      <c r="I32" s="251">
        <f t="shared" si="15"/>
        <v>0</v>
      </c>
      <c r="J32" s="251">
        <f t="shared" si="15"/>
        <v>0</v>
      </c>
      <c r="K32" s="251">
        <f t="shared" si="15"/>
        <v>0</v>
      </c>
      <c r="L32" s="251">
        <f t="shared" si="15"/>
        <v>0</v>
      </c>
      <c r="M32" s="251">
        <f t="shared" si="15"/>
        <v>0</v>
      </c>
      <c r="N32" s="251">
        <f t="shared" si="15"/>
        <v>0</v>
      </c>
      <c r="O32" s="251">
        <f t="shared" si="15"/>
        <v>0</v>
      </c>
      <c r="P32" s="251">
        <f t="shared" si="15"/>
        <v>0</v>
      </c>
      <c r="Q32" s="251">
        <f t="shared" si="15"/>
        <v>0</v>
      </c>
      <c r="R32" s="251">
        <f t="shared" si="15"/>
        <v>0</v>
      </c>
      <c r="S32" s="251">
        <f t="shared" si="15"/>
        <v>0</v>
      </c>
      <c r="T32" s="251">
        <f t="shared" si="15"/>
        <v>39.372299999988172</v>
      </c>
      <c r="U32" s="251">
        <f t="shared" si="15"/>
        <v>-32575.383300000045</v>
      </c>
      <c r="V32" s="251">
        <f t="shared" si="15"/>
        <v>-60189.914000000077</v>
      </c>
      <c r="W32" s="251">
        <f t="shared" si="15"/>
        <v>-54806.864999999991</v>
      </c>
      <c r="X32" s="251">
        <f t="shared" si="15"/>
        <v>-57724.703999999998</v>
      </c>
      <c r="Y32" s="251">
        <f t="shared" si="15"/>
        <v>-65161.900400000013</v>
      </c>
      <c r="Z32" s="251">
        <f t="shared" si="15"/>
        <v>-75510.457300000038</v>
      </c>
      <c r="AA32" s="251">
        <f t="shared" si="15"/>
        <v>-87495.06719999999</v>
      </c>
      <c r="AB32" s="251">
        <f t="shared" si="15"/>
        <v>-96077.700900000083</v>
      </c>
      <c r="AC32" s="251">
        <f t="shared" si="15"/>
        <v>-108591.69139999998</v>
      </c>
      <c r="AD32" s="251">
        <f t="shared" si="15"/>
        <v>-119901.90669999993</v>
      </c>
      <c r="AE32" s="251">
        <f t="shared" si="15"/>
        <v>-130594.80459999992</v>
      </c>
      <c r="AF32" s="251">
        <f t="shared" si="15"/>
        <v>-144557.09479999999</v>
      </c>
      <c r="AG32" s="251">
        <f t="shared" si="15"/>
        <v>-154836.51750000005</v>
      </c>
      <c r="AH32" s="251">
        <f t="shared" si="15"/>
        <v>-165129.57880000008</v>
      </c>
      <c r="AI32" s="251">
        <f t="shared" si="15"/>
        <v>-175438.65519999995</v>
      </c>
      <c r="AJ32" s="251">
        <f t="shared" si="15"/>
        <v>-185707.35310000004</v>
      </c>
      <c r="AK32" s="251">
        <f t="shared" si="15"/>
        <v>-196008.55409999998</v>
      </c>
      <c r="AL32" s="251">
        <f t="shared" si="15"/>
        <v>-206777.29850000009</v>
      </c>
      <c r="AM32" s="251">
        <f t="shared" si="15"/>
        <v>-216956.43400000001</v>
      </c>
      <c r="AN32" s="251">
        <f t="shared" si="15"/>
        <v>-226839.29629999996</v>
      </c>
      <c r="AO32" s="251">
        <f t="shared" si="15"/>
        <v>-236576.67639999994</v>
      </c>
      <c r="AP32" s="251">
        <f t="shared" si="15"/>
        <v>-248536.0002000001</v>
      </c>
      <c r="AQ32" s="251">
        <f t="shared" si="15"/>
        <v>-260406.7659</v>
      </c>
      <c r="AR32" s="251">
        <f t="shared" si="15"/>
        <v>-271570.25820000004</v>
      </c>
      <c r="AS32" s="251">
        <f t="shared" si="15"/>
        <v>-282261.45700000005</v>
      </c>
      <c r="AT32" s="251">
        <f t="shared" si="15"/>
        <v>-292625.66989999998</v>
      </c>
      <c r="AU32" s="251">
        <f t="shared" si="15"/>
        <v>-303041.22560000001</v>
      </c>
      <c r="AV32" s="268"/>
    </row>
    <row r="36" spans="1:50" s="244" customFormat="1" ht="45" customHeight="1" x14ac:dyDescent="0.25">
      <c r="A36" s="239" t="str">
        <f>[5]Résultats!B1</f>
        <v>SNBC3</v>
      </c>
      <c r="B36" s="240" t="s">
        <v>497</v>
      </c>
      <c r="C36" s="241">
        <v>2006</v>
      </c>
      <c r="D36" s="242">
        <v>2007</v>
      </c>
      <c r="E36" s="242">
        <v>2008</v>
      </c>
      <c r="F36" s="242">
        <v>2009</v>
      </c>
      <c r="G36" s="242">
        <v>2010</v>
      </c>
      <c r="H36" s="242">
        <v>2011</v>
      </c>
      <c r="I36" s="242">
        <v>2012</v>
      </c>
      <c r="J36" s="242">
        <v>2013</v>
      </c>
      <c r="K36" s="242">
        <v>2014</v>
      </c>
      <c r="L36" s="242">
        <v>2015</v>
      </c>
      <c r="M36" s="242">
        <v>2016</v>
      </c>
      <c r="N36" s="242">
        <v>2017</v>
      </c>
      <c r="O36" s="242">
        <v>2018</v>
      </c>
      <c r="P36" s="242">
        <v>2019</v>
      </c>
      <c r="Q36" s="242">
        <v>2020</v>
      </c>
      <c r="R36" s="242">
        <v>2021</v>
      </c>
      <c r="S36" s="242">
        <v>2022</v>
      </c>
      <c r="T36" s="242">
        <v>2023</v>
      </c>
      <c r="U36" s="242">
        <v>2024</v>
      </c>
      <c r="V36" s="242">
        <v>2025</v>
      </c>
      <c r="W36" s="242">
        <v>2026</v>
      </c>
      <c r="X36" s="242">
        <v>2027</v>
      </c>
      <c r="Y36" s="242">
        <v>2028</v>
      </c>
      <c r="Z36" s="242">
        <v>2029</v>
      </c>
      <c r="AA36" s="242">
        <v>2030</v>
      </c>
      <c r="AB36" s="242">
        <v>2031</v>
      </c>
      <c r="AC36" s="242">
        <v>2032</v>
      </c>
      <c r="AD36" s="242">
        <v>2033</v>
      </c>
      <c r="AE36" s="242">
        <v>2034</v>
      </c>
      <c r="AF36" s="242">
        <v>2035</v>
      </c>
      <c r="AG36" s="242">
        <v>2036</v>
      </c>
      <c r="AH36" s="242">
        <v>2037</v>
      </c>
      <c r="AI36" s="242">
        <v>2038</v>
      </c>
      <c r="AJ36" s="242">
        <v>2039</v>
      </c>
      <c r="AK36" s="242">
        <v>2040</v>
      </c>
      <c r="AL36" s="242">
        <v>2041</v>
      </c>
      <c r="AM36" s="242">
        <v>2042</v>
      </c>
      <c r="AN36" s="242">
        <v>2043</v>
      </c>
      <c r="AO36" s="242">
        <v>2044</v>
      </c>
      <c r="AP36" s="242">
        <v>2045</v>
      </c>
      <c r="AQ36" s="242">
        <v>2046</v>
      </c>
      <c r="AR36" s="242">
        <v>2047</v>
      </c>
      <c r="AS36" s="242">
        <v>2048</v>
      </c>
      <c r="AT36" s="242">
        <v>2049</v>
      </c>
      <c r="AU36" s="243">
        <v>2050</v>
      </c>
      <c r="AW36" s="242" t="s">
        <v>498</v>
      </c>
      <c r="AX36" s="242" t="s">
        <v>499</v>
      </c>
    </row>
    <row r="37" spans="1:50" x14ac:dyDescent="0.25">
      <c r="B37" s="245" t="s">
        <v>500</v>
      </c>
      <c r="C37" s="246">
        <f t="shared" ref="C37:AU37" si="16">C38+C39+C42</f>
        <v>1</v>
      </c>
      <c r="D37" s="247">
        <f t="shared" si="16"/>
        <v>1</v>
      </c>
      <c r="E37" s="247">
        <f t="shared" si="16"/>
        <v>1</v>
      </c>
      <c r="F37" s="247">
        <f t="shared" si="16"/>
        <v>1</v>
      </c>
      <c r="G37" s="247">
        <f t="shared" si="16"/>
        <v>1</v>
      </c>
      <c r="H37" s="247">
        <f t="shared" si="16"/>
        <v>1</v>
      </c>
      <c r="I37" s="247">
        <f t="shared" si="16"/>
        <v>1</v>
      </c>
      <c r="J37" s="247">
        <f t="shared" si="16"/>
        <v>1</v>
      </c>
      <c r="K37" s="247">
        <f t="shared" si="16"/>
        <v>1</v>
      </c>
      <c r="L37" s="247">
        <f t="shared" si="16"/>
        <v>1</v>
      </c>
      <c r="M37" s="247">
        <f t="shared" si="16"/>
        <v>1</v>
      </c>
      <c r="N37" s="247">
        <f t="shared" si="16"/>
        <v>1</v>
      </c>
      <c r="O37" s="247">
        <f t="shared" si="16"/>
        <v>1</v>
      </c>
      <c r="P37" s="247">
        <f t="shared" si="16"/>
        <v>1</v>
      </c>
      <c r="Q37" s="247">
        <f t="shared" si="16"/>
        <v>0.99999999999999989</v>
      </c>
      <c r="R37" s="247">
        <f t="shared" si="16"/>
        <v>1</v>
      </c>
      <c r="S37" s="247">
        <f t="shared" si="16"/>
        <v>1.0000000000000002</v>
      </c>
      <c r="T37" s="247">
        <f t="shared" si="16"/>
        <v>1.0000000000000002</v>
      </c>
      <c r="U37" s="247">
        <f t="shared" si="16"/>
        <v>1</v>
      </c>
      <c r="V37" s="247">
        <f t="shared" si="16"/>
        <v>1</v>
      </c>
      <c r="W37" s="247">
        <f t="shared" si="16"/>
        <v>1</v>
      </c>
      <c r="X37" s="247">
        <f t="shared" si="16"/>
        <v>1</v>
      </c>
      <c r="Y37" s="247">
        <f t="shared" si="16"/>
        <v>1</v>
      </c>
      <c r="Z37" s="247">
        <f t="shared" si="16"/>
        <v>1</v>
      </c>
      <c r="AA37" s="247">
        <f t="shared" si="16"/>
        <v>0.99999999999999989</v>
      </c>
      <c r="AB37" s="247">
        <f t="shared" si="16"/>
        <v>1</v>
      </c>
      <c r="AC37" s="247">
        <f t="shared" si="16"/>
        <v>0.99999999999999978</v>
      </c>
      <c r="AD37" s="247">
        <f t="shared" si="16"/>
        <v>1</v>
      </c>
      <c r="AE37" s="247">
        <f t="shared" si="16"/>
        <v>1</v>
      </c>
      <c r="AF37" s="247">
        <f t="shared" si="16"/>
        <v>0.99999999999999989</v>
      </c>
      <c r="AG37" s="247">
        <f t="shared" si="16"/>
        <v>1</v>
      </c>
      <c r="AH37" s="247">
        <f t="shared" si="16"/>
        <v>1</v>
      </c>
      <c r="AI37" s="247">
        <f t="shared" si="16"/>
        <v>1</v>
      </c>
      <c r="AJ37" s="247">
        <f t="shared" si="16"/>
        <v>0.99999999999999989</v>
      </c>
      <c r="AK37" s="247">
        <f t="shared" si="16"/>
        <v>1</v>
      </c>
      <c r="AL37" s="247">
        <f t="shared" si="16"/>
        <v>1</v>
      </c>
      <c r="AM37" s="247">
        <f t="shared" si="16"/>
        <v>1</v>
      </c>
      <c r="AN37" s="247">
        <f t="shared" si="16"/>
        <v>1</v>
      </c>
      <c r="AO37" s="247">
        <f t="shared" si="16"/>
        <v>1</v>
      </c>
      <c r="AP37" s="247">
        <f t="shared" si="16"/>
        <v>0.99999999999999978</v>
      </c>
      <c r="AQ37" s="247">
        <f t="shared" si="16"/>
        <v>1</v>
      </c>
      <c r="AR37" s="247">
        <f t="shared" si="16"/>
        <v>1</v>
      </c>
      <c r="AS37" s="247">
        <f t="shared" si="16"/>
        <v>1</v>
      </c>
      <c r="AT37" s="247">
        <f t="shared" si="16"/>
        <v>1</v>
      </c>
      <c r="AU37" s="248">
        <f t="shared" si="16"/>
        <v>1</v>
      </c>
    </row>
    <row r="38" spans="1:50" x14ac:dyDescent="0.25">
      <c r="B38" s="249" t="s">
        <v>466</v>
      </c>
      <c r="C38" s="300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  <c r="AA38" s="251"/>
      <c r="AB38" s="251"/>
      <c r="AC38" s="251"/>
      <c r="AD38" s="251"/>
      <c r="AE38" s="251"/>
      <c r="AF38" s="251"/>
      <c r="AG38" s="251"/>
      <c r="AH38" s="251"/>
      <c r="AI38" s="251"/>
      <c r="AJ38" s="251"/>
      <c r="AK38" s="251"/>
      <c r="AL38" s="251"/>
      <c r="AM38" s="251"/>
      <c r="AN38" s="251"/>
      <c r="AO38" s="251"/>
      <c r="AP38" s="251"/>
      <c r="AQ38" s="251"/>
      <c r="AR38" s="251"/>
      <c r="AS38" s="251"/>
      <c r="AT38" s="251"/>
      <c r="AU38" s="252"/>
      <c r="AV38" s="253"/>
      <c r="AW38" s="253"/>
    </row>
    <row r="39" spans="1:50" x14ac:dyDescent="0.25">
      <c r="B39" s="254" t="s">
        <v>467</v>
      </c>
      <c r="C39" s="301">
        <f>C4/(C$2-C$3)</f>
        <v>0.29999999998794452</v>
      </c>
      <c r="D39" s="301">
        <f t="shared" ref="D39:AU45" si="17">D4/(D$2-D$3)</f>
        <v>0.30868084067278267</v>
      </c>
      <c r="E39" s="301">
        <f t="shared" si="17"/>
        <v>0.3166906365011567</v>
      </c>
      <c r="F39" s="301">
        <f t="shared" si="17"/>
        <v>0.32460897108093978</v>
      </c>
      <c r="G39" s="301">
        <f t="shared" si="17"/>
        <v>0.33135353234944559</v>
      </c>
      <c r="H39" s="301">
        <f t="shared" si="17"/>
        <v>0.34046567484806284</v>
      </c>
      <c r="I39" s="301">
        <f t="shared" si="17"/>
        <v>0.35167130057158513</v>
      </c>
      <c r="J39" s="301">
        <f t="shared" si="17"/>
        <v>0.36089721079020903</v>
      </c>
      <c r="K39" s="301">
        <f t="shared" si="17"/>
        <v>0.36937785905686121</v>
      </c>
      <c r="L39" s="301">
        <f t="shared" si="17"/>
        <v>0.37808663894382427</v>
      </c>
      <c r="M39" s="301">
        <f t="shared" si="17"/>
        <v>0.37633208573034344</v>
      </c>
      <c r="N39" s="301">
        <f t="shared" si="17"/>
        <v>0.37389458276030479</v>
      </c>
      <c r="O39" s="301">
        <f t="shared" si="17"/>
        <v>0.37354114299114083</v>
      </c>
      <c r="P39" s="301">
        <f t="shared" si="17"/>
        <v>0.37315691205233625</v>
      </c>
      <c r="Q39" s="301">
        <f t="shared" si="17"/>
        <v>0.37551889075898914</v>
      </c>
      <c r="R39" s="301">
        <f t="shared" si="17"/>
        <v>0.29107204661965808</v>
      </c>
      <c r="S39" s="301">
        <f t="shared" si="17"/>
        <v>0.29197625761407303</v>
      </c>
      <c r="T39" s="301">
        <f t="shared" si="17"/>
        <v>0.29183368549072514</v>
      </c>
      <c r="U39" s="301">
        <f t="shared" si="17"/>
        <v>0.2810698489881987</v>
      </c>
      <c r="V39" s="301">
        <f t="shared" si="17"/>
        <v>0.27279500661270079</v>
      </c>
      <c r="W39" s="301">
        <f t="shared" si="17"/>
        <v>0.27663211729917103</v>
      </c>
      <c r="X39" s="301">
        <f t="shared" si="17"/>
        <v>0.27824933196887075</v>
      </c>
      <c r="Y39" s="301">
        <f t="shared" si="17"/>
        <v>0.27878878941400065</v>
      </c>
      <c r="Z39" s="301">
        <f t="shared" si="17"/>
        <v>0.27848365220174548</v>
      </c>
      <c r="AA39" s="301">
        <f t="shared" si="17"/>
        <v>0.39673424039555782</v>
      </c>
      <c r="AB39" s="301">
        <f t="shared" si="17"/>
        <v>0.27789857573742294</v>
      </c>
      <c r="AC39" s="301">
        <f t="shared" si="17"/>
        <v>0.27778854506717282</v>
      </c>
      <c r="AD39" s="301">
        <f t="shared" si="17"/>
        <v>0.27776738257254185</v>
      </c>
      <c r="AE39" s="301">
        <f t="shared" si="17"/>
        <v>0.27775302328364915</v>
      </c>
      <c r="AF39" s="301">
        <f t="shared" si="17"/>
        <v>0.27777245398801442</v>
      </c>
      <c r="AG39" s="301">
        <f t="shared" si="17"/>
        <v>0.27710436445567849</v>
      </c>
      <c r="AH39" s="301">
        <f t="shared" si="17"/>
        <v>0.27660806689452222</v>
      </c>
      <c r="AI39" s="301">
        <f t="shared" si="17"/>
        <v>0.27633069307507474</v>
      </c>
      <c r="AJ39" s="301">
        <f t="shared" si="17"/>
        <v>0.27601012123546054</v>
      </c>
      <c r="AK39" s="301">
        <f t="shared" si="17"/>
        <v>0.27577890743243333</v>
      </c>
      <c r="AL39" s="301">
        <f t="shared" si="17"/>
        <v>0.27557439928955652</v>
      </c>
      <c r="AM39" s="301">
        <f t="shared" si="17"/>
        <v>0.27528008537293236</v>
      </c>
      <c r="AN39" s="301">
        <f t="shared" si="17"/>
        <v>0.27504416762830719</v>
      </c>
      <c r="AO39" s="301">
        <f t="shared" si="17"/>
        <v>0.27476447601111359</v>
      </c>
      <c r="AP39" s="301">
        <f t="shared" si="17"/>
        <v>0.27346238862061151</v>
      </c>
      <c r="AQ39" s="301">
        <f t="shared" si="17"/>
        <v>0.27248615051985137</v>
      </c>
      <c r="AR39" s="301">
        <f t="shared" si="17"/>
        <v>0.27160100164097567</v>
      </c>
      <c r="AS39" s="301">
        <f t="shared" si="17"/>
        <v>0.27071612881471557</v>
      </c>
      <c r="AT39" s="301">
        <f t="shared" si="17"/>
        <v>0.26985674884446781</v>
      </c>
      <c r="AU39" s="302">
        <f t="shared" si="17"/>
        <v>0.45790032887773596</v>
      </c>
      <c r="AV39" s="253"/>
      <c r="AW39" s="303">
        <f t="shared" ref="AW39:AW44" si="18">AA39-P39</f>
        <v>2.3577328343221571E-2</v>
      </c>
      <c r="AX39" s="303">
        <f t="shared" ref="AX39:AX44" si="19">AU39-P39</f>
        <v>8.4743416825399709E-2</v>
      </c>
    </row>
    <row r="40" spans="1:50" x14ac:dyDescent="0.25">
      <c r="B40" s="258" t="s">
        <v>468</v>
      </c>
      <c r="C40" s="304">
        <f>C5/(C$2-C$3)</f>
        <v>0.1970599631421219</v>
      </c>
      <c r="D40" s="304">
        <f t="shared" si="17"/>
        <v>0.20037891808563998</v>
      </c>
      <c r="E40" s="304">
        <f t="shared" si="17"/>
        <v>0.20490531616140084</v>
      </c>
      <c r="F40" s="304">
        <f t="shared" si="17"/>
        <v>0.20763331354525302</v>
      </c>
      <c r="G40" s="304">
        <f t="shared" si="17"/>
        <v>0.21114151412840151</v>
      </c>
      <c r="H40" s="304">
        <f t="shared" si="17"/>
        <v>0.21313266445483822</v>
      </c>
      <c r="I40" s="304">
        <f t="shared" si="17"/>
        <v>0.22000319963578421</v>
      </c>
      <c r="J40" s="304">
        <f t="shared" si="17"/>
        <v>0.22599286501710994</v>
      </c>
      <c r="K40" s="304">
        <f t="shared" si="17"/>
        <v>0.23022319281975717</v>
      </c>
      <c r="L40" s="304">
        <f t="shared" si="17"/>
        <v>0.2385251023363722</v>
      </c>
      <c r="M40" s="304">
        <f t="shared" si="17"/>
        <v>0.23927433268686749</v>
      </c>
      <c r="N40" s="304">
        <f t="shared" si="17"/>
        <v>0.23594446012084663</v>
      </c>
      <c r="O40" s="304">
        <f t="shared" si="17"/>
        <v>0.23235537700439293</v>
      </c>
      <c r="P40" s="304">
        <f t="shared" si="17"/>
        <v>0.23374272147373129</v>
      </c>
      <c r="Q40" s="304">
        <f t="shared" si="17"/>
        <v>0.23824947259185761</v>
      </c>
      <c r="R40" s="304">
        <f t="shared" si="17"/>
        <v>0.24368141936027676</v>
      </c>
      <c r="S40" s="304">
        <f t="shared" si="17"/>
        <v>0.2447131186793112</v>
      </c>
      <c r="T40" s="304">
        <f t="shared" si="17"/>
        <v>0.24447222885861611</v>
      </c>
      <c r="U40" s="304">
        <f t="shared" si="17"/>
        <v>0.23033031040170743</v>
      </c>
      <c r="V40" s="304">
        <f t="shared" si="17"/>
        <v>0.219236973831268</v>
      </c>
      <c r="W40" s="304">
        <f t="shared" si="17"/>
        <v>0.22315202446468277</v>
      </c>
      <c r="X40" s="304">
        <f t="shared" si="17"/>
        <v>0.22433265151773407</v>
      </c>
      <c r="Y40" s="304">
        <f t="shared" si="17"/>
        <v>0.22420364039575555</v>
      </c>
      <c r="Z40" s="304">
        <f t="shared" si="17"/>
        <v>0.22305008804664081</v>
      </c>
      <c r="AA40" s="304">
        <f t="shared" si="17"/>
        <v>0.221417965752151</v>
      </c>
      <c r="AB40" s="304">
        <f t="shared" si="17"/>
        <v>0.22115417808985677</v>
      </c>
      <c r="AC40" s="304">
        <f t="shared" si="17"/>
        <v>0.22063422749525533</v>
      </c>
      <c r="AD40" s="304">
        <f t="shared" si="17"/>
        <v>0.22025008562308027</v>
      </c>
      <c r="AE40" s="304">
        <f t="shared" si="17"/>
        <v>0.21988684464827679</v>
      </c>
      <c r="AF40" s="304">
        <f t="shared" si="17"/>
        <v>0.21957917963565912</v>
      </c>
      <c r="AG40" s="304">
        <f t="shared" si="17"/>
        <v>0.21838820101245268</v>
      </c>
      <c r="AH40" s="304">
        <f t="shared" si="17"/>
        <v>0.21742779932704506</v>
      </c>
      <c r="AI40" s="304">
        <f t="shared" si="17"/>
        <v>0.21675828916312082</v>
      </c>
      <c r="AJ40" s="304">
        <f t="shared" si="17"/>
        <v>0.21604828208547114</v>
      </c>
      <c r="AK40" s="304">
        <f t="shared" si="17"/>
        <v>0.21546658366355831</v>
      </c>
      <c r="AL40" s="304">
        <f t="shared" si="17"/>
        <v>0.21491328833045212</v>
      </c>
      <c r="AM40" s="304">
        <f t="shared" si="17"/>
        <v>0.21425431412162718</v>
      </c>
      <c r="AN40" s="304">
        <f t="shared" si="17"/>
        <v>0.21367987224898632</v>
      </c>
      <c r="AO40" s="304">
        <f t="shared" si="17"/>
        <v>0.2130661091045285</v>
      </c>
      <c r="AP40" s="304">
        <f t="shared" si="17"/>
        <v>0.2111762889961942</v>
      </c>
      <c r="AQ40" s="304">
        <f t="shared" si="17"/>
        <v>0.20973095252455942</v>
      </c>
      <c r="AR40" s="304">
        <f t="shared" si="17"/>
        <v>0.20840180346627157</v>
      </c>
      <c r="AS40" s="304">
        <f t="shared" si="17"/>
        <v>0.2070789874570145</v>
      </c>
      <c r="AT40" s="304">
        <f t="shared" si="17"/>
        <v>0.20580678653315496</v>
      </c>
      <c r="AU40" s="305">
        <f t="shared" si="17"/>
        <v>0.20519556166126926</v>
      </c>
      <c r="AW40" s="303">
        <f t="shared" si="18"/>
        <v>-1.2324755721580288E-2</v>
      </c>
      <c r="AX40" s="303">
        <f t="shared" si="19"/>
        <v>-2.8547159812462031E-2</v>
      </c>
    </row>
    <row r="41" spans="1:50" x14ac:dyDescent="0.25">
      <c r="B41" s="261" t="s">
        <v>469</v>
      </c>
      <c r="C41" s="306">
        <f t="shared" ref="C41:R45" si="20">C6/(C$2-C$3)</f>
        <v>5.6863254151957032E-2</v>
      </c>
      <c r="D41" s="306">
        <f t="shared" si="20"/>
        <v>5.6136102043634985E-2</v>
      </c>
      <c r="E41" s="306">
        <f t="shared" si="20"/>
        <v>5.4995494390403028E-2</v>
      </c>
      <c r="F41" s="306">
        <f t="shared" si="20"/>
        <v>5.4406754200709555E-2</v>
      </c>
      <c r="G41" s="306">
        <f t="shared" si="20"/>
        <v>5.371794300767764E-2</v>
      </c>
      <c r="H41" s="306">
        <f t="shared" si="20"/>
        <v>5.3121754295110041E-2</v>
      </c>
      <c r="I41" s="306">
        <f t="shared" si="20"/>
        <v>5.1489438001622874E-2</v>
      </c>
      <c r="J41" s="306">
        <f t="shared" si="20"/>
        <v>5.0293278341231623E-2</v>
      </c>
      <c r="K41" s="306">
        <f t="shared" si="20"/>
        <v>4.9509041276577584E-2</v>
      </c>
      <c r="L41" s="306">
        <f t="shared" si="20"/>
        <v>4.8134970323457989E-2</v>
      </c>
      <c r="M41" s="306">
        <f t="shared" si="20"/>
        <v>4.8209823135888452E-2</v>
      </c>
      <c r="N41" s="306">
        <f t="shared" si="20"/>
        <v>4.887616105447129E-2</v>
      </c>
      <c r="O41" s="306">
        <f t="shared" si="20"/>
        <v>4.9359154113226791E-2</v>
      </c>
      <c r="P41" s="306">
        <f t="shared" si="20"/>
        <v>4.9127578714479994E-2</v>
      </c>
      <c r="Q41" s="306">
        <f t="shared" si="20"/>
        <v>0.13726941816713153</v>
      </c>
      <c r="R41" s="306">
        <f t="shared" si="20"/>
        <v>4.7390627259381299E-2</v>
      </c>
      <c r="S41" s="306">
        <f t="shared" si="17"/>
        <v>4.7263138934761806E-2</v>
      </c>
      <c r="T41" s="306">
        <f t="shared" si="17"/>
        <v>4.7361456632109042E-2</v>
      </c>
      <c r="U41" s="306">
        <f t="shared" si="17"/>
        <v>5.0739538586491273E-2</v>
      </c>
      <c r="V41" s="306">
        <f t="shared" si="17"/>
        <v>5.3558032781432806E-2</v>
      </c>
      <c r="W41" s="306">
        <f t="shared" si="17"/>
        <v>5.3480092834488249E-2</v>
      </c>
      <c r="X41" s="306">
        <f t="shared" si="17"/>
        <v>5.3916680451136664E-2</v>
      </c>
      <c r="Y41" s="306">
        <f t="shared" si="17"/>
        <v>5.4585149018245065E-2</v>
      </c>
      <c r="Z41" s="306">
        <f t="shared" si="17"/>
        <v>5.5433564155104656E-2</v>
      </c>
      <c r="AA41" s="306">
        <f t="shared" si="17"/>
        <v>0.17531627464340679</v>
      </c>
      <c r="AB41" s="306">
        <f t="shared" si="17"/>
        <v>5.6744397647566162E-2</v>
      </c>
      <c r="AC41" s="306">
        <f t="shared" si="17"/>
        <v>5.7154317571917489E-2</v>
      </c>
      <c r="AD41" s="306">
        <f t="shared" si="17"/>
        <v>5.7517296949461574E-2</v>
      </c>
      <c r="AE41" s="306">
        <f t="shared" si="17"/>
        <v>5.7866178635372308E-2</v>
      </c>
      <c r="AF41" s="306">
        <f t="shared" si="17"/>
        <v>5.8193274352355322E-2</v>
      </c>
      <c r="AG41" s="306">
        <f t="shared" si="17"/>
        <v>5.8716163443225798E-2</v>
      </c>
      <c r="AH41" s="306">
        <f t="shared" si="17"/>
        <v>5.9180267567477157E-2</v>
      </c>
      <c r="AI41" s="306">
        <f t="shared" si="17"/>
        <v>5.9572403911953911E-2</v>
      </c>
      <c r="AJ41" s="306">
        <f t="shared" si="17"/>
        <v>5.9961839149989399E-2</v>
      </c>
      <c r="AK41" s="306">
        <f t="shared" si="17"/>
        <v>6.0312323768874986E-2</v>
      </c>
      <c r="AL41" s="306">
        <f t="shared" si="17"/>
        <v>6.0661110959104446E-2</v>
      </c>
      <c r="AM41" s="306">
        <f t="shared" si="17"/>
        <v>6.102577125130515E-2</v>
      </c>
      <c r="AN41" s="306">
        <f t="shared" si="17"/>
        <v>6.1364295379320859E-2</v>
      </c>
      <c r="AO41" s="306">
        <f t="shared" si="17"/>
        <v>6.169836690658511E-2</v>
      </c>
      <c r="AP41" s="306">
        <f t="shared" si="17"/>
        <v>6.2286099624417279E-2</v>
      </c>
      <c r="AQ41" s="306">
        <f t="shared" si="17"/>
        <v>6.2755197995291986E-2</v>
      </c>
      <c r="AR41" s="306">
        <f t="shared" si="17"/>
        <v>6.319919817470411E-2</v>
      </c>
      <c r="AS41" s="306">
        <f t="shared" si="17"/>
        <v>6.3637141357701071E-2</v>
      </c>
      <c r="AT41" s="306">
        <f t="shared" si="17"/>
        <v>6.4049962311312825E-2</v>
      </c>
      <c r="AU41" s="307">
        <f t="shared" si="17"/>
        <v>0.25270476721646667</v>
      </c>
      <c r="AV41" s="253"/>
      <c r="AW41" s="303">
        <f t="shared" si="18"/>
        <v>0.12618869592892679</v>
      </c>
      <c r="AX41" s="303">
        <f t="shared" si="19"/>
        <v>0.20357718850198669</v>
      </c>
    </row>
    <row r="42" spans="1:50" x14ac:dyDescent="0.25">
      <c r="B42" s="258" t="s">
        <v>470</v>
      </c>
      <c r="C42" s="304">
        <f t="shared" si="20"/>
        <v>0.70000000001205542</v>
      </c>
      <c r="D42" s="304">
        <f t="shared" si="17"/>
        <v>0.69131915932721733</v>
      </c>
      <c r="E42" s="304">
        <f t="shared" si="17"/>
        <v>0.6833093634988433</v>
      </c>
      <c r="F42" s="304">
        <f t="shared" si="17"/>
        <v>0.67539102891906033</v>
      </c>
      <c r="G42" s="304">
        <f t="shared" si="17"/>
        <v>0.66864646765055435</v>
      </c>
      <c r="H42" s="304">
        <f t="shared" si="17"/>
        <v>0.65953432515193711</v>
      </c>
      <c r="I42" s="304">
        <f t="shared" si="17"/>
        <v>0.64832869942841498</v>
      </c>
      <c r="J42" s="304">
        <f t="shared" si="17"/>
        <v>0.63910278920979091</v>
      </c>
      <c r="K42" s="304">
        <f t="shared" si="17"/>
        <v>0.63062214094313873</v>
      </c>
      <c r="L42" s="304">
        <f t="shared" si="17"/>
        <v>0.62191336105617578</v>
      </c>
      <c r="M42" s="304">
        <f t="shared" si="17"/>
        <v>0.62366791426965662</v>
      </c>
      <c r="N42" s="304">
        <f t="shared" si="17"/>
        <v>0.62610541723969515</v>
      </c>
      <c r="O42" s="304">
        <f t="shared" si="17"/>
        <v>0.62645885700885917</v>
      </c>
      <c r="P42" s="304">
        <f t="shared" si="17"/>
        <v>0.62684308794766375</v>
      </c>
      <c r="Q42" s="304">
        <f t="shared" si="17"/>
        <v>0.62448110924101075</v>
      </c>
      <c r="R42" s="304">
        <f t="shared" si="17"/>
        <v>0.70892795338034198</v>
      </c>
      <c r="S42" s="304">
        <f t="shared" si="17"/>
        <v>0.70802374238592714</v>
      </c>
      <c r="T42" s="304">
        <f t="shared" si="17"/>
        <v>0.70816631450927503</v>
      </c>
      <c r="U42" s="304">
        <f t="shared" si="17"/>
        <v>0.71893015101180124</v>
      </c>
      <c r="V42" s="304">
        <f t="shared" si="17"/>
        <v>0.72720499338729927</v>
      </c>
      <c r="W42" s="304">
        <f t="shared" si="17"/>
        <v>0.72336788270082897</v>
      </c>
      <c r="X42" s="304">
        <f t="shared" si="17"/>
        <v>0.72175066803112931</v>
      </c>
      <c r="Y42" s="304">
        <f t="shared" si="17"/>
        <v>0.72121121058599935</v>
      </c>
      <c r="Z42" s="304">
        <f t="shared" si="17"/>
        <v>0.72151634779825458</v>
      </c>
      <c r="AA42" s="304">
        <f t="shared" si="17"/>
        <v>0.60326575960444206</v>
      </c>
      <c r="AB42" s="304">
        <f t="shared" si="17"/>
        <v>0.72210142426257717</v>
      </c>
      <c r="AC42" s="304">
        <f t="shared" si="17"/>
        <v>0.72221145493282701</v>
      </c>
      <c r="AD42" s="304">
        <f t="shared" si="17"/>
        <v>0.72223261742745826</v>
      </c>
      <c r="AE42" s="304">
        <f t="shared" si="17"/>
        <v>0.72224697671635085</v>
      </c>
      <c r="AF42" s="304">
        <f t="shared" si="17"/>
        <v>0.72222754601198547</v>
      </c>
      <c r="AG42" s="304">
        <f t="shared" si="17"/>
        <v>0.72289563554432146</v>
      </c>
      <c r="AH42" s="304">
        <f t="shared" si="17"/>
        <v>0.72339193310547778</v>
      </c>
      <c r="AI42" s="304">
        <f t="shared" si="17"/>
        <v>0.72366930692492526</v>
      </c>
      <c r="AJ42" s="304">
        <f t="shared" si="17"/>
        <v>0.72398987876453935</v>
      </c>
      <c r="AK42" s="304">
        <f t="shared" si="17"/>
        <v>0.72422109256756662</v>
      </c>
      <c r="AL42" s="304">
        <f t="shared" si="17"/>
        <v>0.72442560071044348</v>
      </c>
      <c r="AM42" s="304">
        <f t="shared" si="17"/>
        <v>0.72471991462706775</v>
      </c>
      <c r="AN42" s="304">
        <f t="shared" si="17"/>
        <v>0.72495583237169281</v>
      </c>
      <c r="AO42" s="304">
        <f t="shared" si="17"/>
        <v>0.72523552398888647</v>
      </c>
      <c r="AP42" s="304">
        <f t="shared" si="17"/>
        <v>0.72653761137938833</v>
      </c>
      <c r="AQ42" s="304">
        <f t="shared" si="17"/>
        <v>0.72751384948014874</v>
      </c>
      <c r="AR42" s="304">
        <f t="shared" si="17"/>
        <v>0.72839899835902433</v>
      </c>
      <c r="AS42" s="304">
        <f t="shared" si="17"/>
        <v>0.72928387118528437</v>
      </c>
      <c r="AT42" s="304">
        <f t="shared" si="17"/>
        <v>0.73014325115553225</v>
      </c>
      <c r="AU42" s="305">
        <f t="shared" si="17"/>
        <v>0.54209967112226409</v>
      </c>
      <c r="AW42" s="303">
        <f t="shared" si="18"/>
        <v>-2.3577328343221682E-2</v>
      </c>
      <c r="AX42" s="303">
        <f t="shared" si="19"/>
        <v>-8.4743416825399653E-2</v>
      </c>
    </row>
    <row r="43" spans="1:50" x14ac:dyDescent="0.25">
      <c r="B43" s="258" t="s">
        <v>471</v>
      </c>
      <c r="C43" s="304">
        <f t="shared" si="20"/>
        <v>0.64313674466660875</v>
      </c>
      <c r="D43" s="304">
        <f t="shared" si="17"/>
        <v>0.63518306078748799</v>
      </c>
      <c r="E43" s="304">
        <f t="shared" si="17"/>
        <v>0.62831624401370212</v>
      </c>
      <c r="F43" s="304">
        <f t="shared" si="17"/>
        <v>0.62098664561584016</v>
      </c>
      <c r="G43" s="304">
        <f t="shared" si="17"/>
        <v>0.61493108592751611</v>
      </c>
      <c r="H43" s="304">
        <f t="shared" si="17"/>
        <v>0.60641528632595643</v>
      </c>
      <c r="I43" s="304">
        <f t="shared" si="17"/>
        <v>0.59684753128101531</v>
      </c>
      <c r="J43" s="304">
        <f t="shared" si="17"/>
        <v>0.58881997611398518</v>
      </c>
      <c r="K43" s="304">
        <f t="shared" si="17"/>
        <v>0.58112357569908357</v>
      </c>
      <c r="L43" s="304">
        <f t="shared" si="17"/>
        <v>0.57379407111698688</v>
      </c>
      <c r="M43" s="304">
        <f t="shared" si="17"/>
        <v>0.57547385742821477</v>
      </c>
      <c r="N43" s="304">
        <f t="shared" si="17"/>
        <v>0.57724762405886798</v>
      </c>
      <c r="O43" s="304">
        <f t="shared" si="17"/>
        <v>0.57712036629859953</v>
      </c>
      <c r="P43" s="304">
        <f t="shared" si="17"/>
        <v>0.57773694161494504</v>
      </c>
      <c r="Q43" s="304">
        <f t="shared" si="17"/>
        <v>0.57619906652968911</v>
      </c>
      <c r="R43" s="304">
        <f t="shared" si="17"/>
        <v>0.57412296590725531</v>
      </c>
      <c r="S43" s="304">
        <f t="shared" si="17"/>
        <v>0.57365502890679698</v>
      </c>
      <c r="T43" s="304">
        <f t="shared" si="17"/>
        <v>0.57354502930619577</v>
      </c>
      <c r="U43" s="304">
        <f t="shared" si="17"/>
        <v>0.57123289358703422</v>
      </c>
      <c r="V43" s="304">
        <f t="shared" si="17"/>
        <v>0.56794535383170974</v>
      </c>
      <c r="W43" s="304">
        <f t="shared" si="17"/>
        <v>0.56277770777572023</v>
      </c>
      <c r="X43" s="304">
        <f t="shared" si="17"/>
        <v>0.55844627148791715</v>
      </c>
      <c r="Y43" s="304">
        <f t="shared" si="17"/>
        <v>0.55443418876632267</v>
      </c>
      <c r="Z43" s="304">
        <f t="shared" si="17"/>
        <v>0.55062640306610322</v>
      </c>
      <c r="AA43" s="304">
        <f t="shared" si="17"/>
        <v>0.54689880383496325</v>
      </c>
      <c r="AB43" s="304">
        <f t="shared" si="17"/>
        <v>0.54357645836656177</v>
      </c>
      <c r="AC43" s="304">
        <f t="shared" si="17"/>
        <v>0.54027083063820003</v>
      </c>
      <c r="AD43" s="304">
        <f t="shared" si="17"/>
        <v>0.53685974007410386</v>
      </c>
      <c r="AE43" s="304">
        <f t="shared" si="17"/>
        <v>0.53341719982340075</v>
      </c>
      <c r="AF43" s="304">
        <f t="shared" si="17"/>
        <v>0.529928787879138</v>
      </c>
      <c r="AG43" s="304">
        <f t="shared" si="17"/>
        <v>0.52675942532586739</v>
      </c>
      <c r="AH43" s="304">
        <f t="shared" si="17"/>
        <v>0.52347624970017836</v>
      </c>
      <c r="AI43" s="304">
        <f t="shared" si="17"/>
        <v>0.52005694861806284</v>
      </c>
      <c r="AJ43" s="304">
        <f t="shared" si="17"/>
        <v>0.51662812932702518</v>
      </c>
      <c r="AK43" s="304">
        <f t="shared" si="17"/>
        <v>0.51311856495801311</v>
      </c>
      <c r="AL43" s="304">
        <f t="shared" si="17"/>
        <v>0.50957352759265451</v>
      </c>
      <c r="AM43" s="304">
        <f t="shared" si="17"/>
        <v>0.506062961951672</v>
      </c>
      <c r="AN43" s="304">
        <f t="shared" si="17"/>
        <v>0.50250048430547334</v>
      </c>
      <c r="AO43" s="304">
        <f t="shared" si="17"/>
        <v>0.49892288750318931</v>
      </c>
      <c r="AP43" s="304">
        <f t="shared" si="17"/>
        <v>0.49576139030853428</v>
      </c>
      <c r="AQ43" s="304">
        <f t="shared" si="17"/>
        <v>0.49235264112668808</v>
      </c>
      <c r="AR43" s="304">
        <f t="shared" si="17"/>
        <v>0.48890977046331502</v>
      </c>
      <c r="AS43" s="304">
        <f t="shared" si="17"/>
        <v>0.48545883532364559</v>
      </c>
      <c r="AT43" s="304">
        <f t="shared" si="17"/>
        <v>0.48195703370002518</v>
      </c>
      <c r="AU43" s="305">
        <f t="shared" si="17"/>
        <v>0.47789588684148765</v>
      </c>
      <c r="AW43" s="303">
        <f t="shared" si="18"/>
        <v>-3.0838137779981789E-2</v>
      </c>
      <c r="AX43" s="303">
        <f t="shared" si="19"/>
        <v>-9.9841054773457394E-2</v>
      </c>
    </row>
    <row r="44" spans="1:50" x14ac:dyDescent="0.25">
      <c r="B44" s="261" t="s">
        <v>472</v>
      </c>
      <c r="C44" s="306">
        <f t="shared" si="20"/>
        <v>0.10294003467584159</v>
      </c>
      <c r="D44" s="306">
        <f t="shared" si="17"/>
        <v>0.1083433725412867</v>
      </c>
      <c r="E44" s="306">
        <f t="shared" si="17"/>
        <v>0.11183099914547857</v>
      </c>
      <c r="F44" s="306">
        <f t="shared" si="17"/>
        <v>0.11706173644083676</v>
      </c>
      <c r="G44" s="306">
        <f t="shared" si="17"/>
        <v>0.12030415575988278</v>
      </c>
      <c r="H44" s="306">
        <f t="shared" si="17"/>
        <v>0.12752218236645294</v>
      </c>
      <c r="I44" s="306">
        <f t="shared" si="17"/>
        <v>0.13186362529040621</v>
      </c>
      <c r="J44" s="306">
        <f t="shared" si="17"/>
        <v>0.13510528088577356</v>
      </c>
      <c r="K44" s="306">
        <f t="shared" si="17"/>
        <v>0.13936710366527241</v>
      </c>
      <c r="L44" s="306">
        <f t="shared" si="17"/>
        <v>0.13982477770941423</v>
      </c>
      <c r="M44" s="306">
        <f t="shared" si="17"/>
        <v>0.13733921757029297</v>
      </c>
      <c r="N44" s="306">
        <f t="shared" si="17"/>
        <v>0.13824821240251062</v>
      </c>
      <c r="O44" s="306">
        <f t="shared" si="17"/>
        <v>0.14154979112428248</v>
      </c>
      <c r="P44" s="306">
        <f t="shared" si="17"/>
        <v>0.13979276467477736</v>
      </c>
      <c r="Q44" s="306">
        <f t="shared" si="17"/>
        <v>4.8282042711321672E-2</v>
      </c>
      <c r="R44" s="306">
        <f t="shared" si="17"/>
        <v>0.13480498747308672</v>
      </c>
      <c r="S44" s="306">
        <f t="shared" si="17"/>
        <v>0.13436871347913015</v>
      </c>
      <c r="T44" s="306">
        <f t="shared" si="17"/>
        <v>0.13462128520307923</v>
      </c>
      <c r="U44" s="306">
        <f t="shared" si="17"/>
        <v>0.14769725742476714</v>
      </c>
      <c r="V44" s="306">
        <f t="shared" si="17"/>
        <v>0.15925963955558961</v>
      </c>
      <c r="W44" s="306">
        <f t="shared" si="17"/>
        <v>0.16059017492510874</v>
      </c>
      <c r="X44" s="306">
        <f t="shared" si="17"/>
        <v>0.1633043965432121</v>
      </c>
      <c r="Y44" s="306">
        <f t="shared" si="17"/>
        <v>0.16677702181967666</v>
      </c>
      <c r="Z44" s="306">
        <f t="shared" si="17"/>
        <v>0.17088994473215127</v>
      </c>
      <c r="AA44" s="306">
        <f t="shared" si="17"/>
        <v>5.6366955769478914E-2</v>
      </c>
      <c r="AB44" s="306">
        <f t="shared" si="17"/>
        <v>0.17852496589601541</v>
      </c>
      <c r="AC44" s="306">
        <f t="shared" si="17"/>
        <v>0.18194062429462707</v>
      </c>
      <c r="AD44" s="306">
        <f t="shared" si="17"/>
        <v>0.18537287735335439</v>
      </c>
      <c r="AE44" s="306">
        <f t="shared" si="17"/>
        <v>0.18882977689295019</v>
      </c>
      <c r="AF44" s="306">
        <f t="shared" si="17"/>
        <v>0.19229875813284755</v>
      </c>
      <c r="AG44" s="306">
        <f t="shared" si="17"/>
        <v>0.19613621021845398</v>
      </c>
      <c r="AH44" s="306">
        <f t="shared" si="17"/>
        <v>0.19991568340529936</v>
      </c>
      <c r="AI44" s="306">
        <f t="shared" si="17"/>
        <v>0.20361235830686239</v>
      </c>
      <c r="AJ44" s="306">
        <f t="shared" si="17"/>
        <v>0.20736174943751423</v>
      </c>
      <c r="AK44" s="306">
        <f t="shared" si="17"/>
        <v>0.21110252760955353</v>
      </c>
      <c r="AL44" s="306">
        <f t="shared" si="17"/>
        <v>0.21485207311778895</v>
      </c>
      <c r="AM44" s="306">
        <f t="shared" si="17"/>
        <v>0.21865695267539573</v>
      </c>
      <c r="AN44" s="306">
        <f t="shared" si="17"/>
        <v>0.2224553480662195</v>
      </c>
      <c r="AO44" s="306">
        <f t="shared" si="17"/>
        <v>0.22631263648569708</v>
      </c>
      <c r="AP44" s="306">
        <f t="shared" si="17"/>
        <v>0.2307762210708541</v>
      </c>
      <c r="AQ44" s="306">
        <f t="shared" si="17"/>
        <v>0.23516120835346063</v>
      </c>
      <c r="AR44" s="306">
        <f t="shared" si="17"/>
        <v>0.23948922789570931</v>
      </c>
      <c r="AS44" s="306">
        <f t="shared" si="17"/>
        <v>0.24382503586163873</v>
      </c>
      <c r="AT44" s="306">
        <f t="shared" si="17"/>
        <v>0.24818621745550709</v>
      </c>
      <c r="AU44" s="307">
        <f t="shared" si="17"/>
        <v>6.420378428077643E-2</v>
      </c>
      <c r="AW44" s="303">
        <f t="shared" si="18"/>
        <v>-8.3425808905298438E-2</v>
      </c>
      <c r="AX44" s="303">
        <f t="shared" si="19"/>
        <v>-7.5588980394000929E-2</v>
      </c>
    </row>
    <row r="45" spans="1:50" x14ac:dyDescent="0.25">
      <c r="B45" s="249" t="s">
        <v>473</v>
      </c>
      <c r="C45" s="308">
        <f t="shared" si="20"/>
        <v>0.84019670780873068</v>
      </c>
      <c r="D45" s="308">
        <f t="shared" si="17"/>
        <v>0.83556197887312789</v>
      </c>
      <c r="E45" s="308">
        <f t="shared" si="17"/>
        <v>0.83322156017510296</v>
      </c>
      <c r="F45" s="308">
        <f t="shared" si="17"/>
        <v>0.8286199591610931</v>
      </c>
      <c r="G45" s="308">
        <f t="shared" si="17"/>
        <v>0.82607260005591765</v>
      </c>
      <c r="H45" s="308">
        <f t="shared" si="17"/>
        <v>0.81954795078079468</v>
      </c>
      <c r="I45" s="308">
        <f t="shared" si="17"/>
        <v>0.81685073091679949</v>
      </c>
      <c r="J45" s="308">
        <f t="shared" ref="J45:AU45" si="21">J10/(J$2-J$3)</f>
        <v>0.81481284113109509</v>
      </c>
      <c r="K45" s="308">
        <f t="shared" si="21"/>
        <v>0.8113467685188408</v>
      </c>
      <c r="L45" s="308">
        <f t="shared" si="21"/>
        <v>0.81231917345335913</v>
      </c>
      <c r="M45" s="308">
        <f t="shared" si="21"/>
        <v>0.81474819011508226</v>
      </c>
      <c r="N45" s="308">
        <f t="shared" si="21"/>
        <v>0.81319208417971456</v>
      </c>
      <c r="O45" s="308">
        <f t="shared" si="21"/>
        <v>0.80947574330299255</v>
      </c>
      <c r="P45" s="308">
        <f t="shared" si="21"/>
        <v>0.81147966308867636</v>
      </c>
      <c r="Q45" s="308">
        <f t="shared" si="21"/>
        <v>0.8144485391215468</v>
      </c>
      <c r="R45" s="308">
        <f t="shared" si="21"/>
        <v>0.81780438526753196</v>
      </c>
      <c r="S45" s="308">
        <f t="shared" si="21"/>
        <v>0.81836814758610821</v>
      </c>
      <c r="T45" s="308">
        <f t="shared" si="21"/>
        <v>0.81801725816481186</v>
      </c>
      <c r="U45" s="308">
        <f t="shared" si="21"/>
        <v>0.8015632039887417</v>
      </c>
      <c r="V45" s="308">
        <f t="shared" si="21"/>
        <v>0.7871823276629778</v>
      </c>
      <c r="W45" s="308">
        <f t="shared" si="21"/>
        <v>0.78592973224040308</v>
      </c>
      <c r="X45" s="308">
        <f t="shared" si="21"/>
        <v>0.78277892300565122</v>
      </c>
      <c r="Y45" s="308">
        <f t="shared" si="21"/>
        <v>0.77863782916207824</v>
      </c>
      <c r="Z45" s="308">
        <f t="shared" si="21"/>
        <v>0.77367649111274406</v>
      </c>
      <c r="AA45" s="308">
        <f t="shared" si="21"/>
        <v>0.76831676958711426</v>
      </c>
      <c r="AB45" s="308">
        <f t="shared" si="21"/>
        <v>0.76473063645641848</v>
      </c>
      <c r="AC45" s="308">
        <f t="shared" si="21"/>
        <v>0.76090505813345533</v>
      </c>
      <c r="AD45" s="308">
        <f t="shared" si="21"/>
        <v>0.7571098256971841</v>
      </c>
      <c r="AE45" s="308">
        <f t="shared" si="21"/>
        <v>0.75330404447167754</v>
      </c>
      <c r="AF45" s="308">
        <f t="shared" si="21"/>
        <v>0.74950796751479709</v>
      </c>
      <c r="AG45" s="308">
        <f t="shared" si="21"/>
        <v>0.7451476263383201</v>
      </c>
      <c r="AH45" s="308">
        <f t="shared" si="21"/>
        <v>0.7409040490272234</v>
      </c>
      <c r="AI45" s="308">
        <f t="shared" si="21"/>
        <v>0.73681523778118374</v>
      </c>
      <c r="AJ45" s="308">
        <f t="shared" si="21"/>
        <v>0.73267641141249629</v>
      </c>
      <c r="AK45" s="308">
        <f t="shared" si="21"/>
        <v>0.72858514862157131</v>
      </c>
      <c r="AL45" s="308">
        <f t="shared" si="21"/>
        <v>0.7244868159231066</v>
      </c>
      <c r="AM45" s="308">
        <f t="shared" si="21"/>
        <v>0.72031727607329932</v>
      </c>
      <c r="AN45" s="308">
        <f t="shared" si="21"/>
        <v>0.71618035655445966</v>
      </c>
      <c r="AO45" s="308">
        <f t="shared" si="21"/>
        <v>0.71198899660771786</v>
      </c>
      <c r="AP45" s="308">
        <f t="shared" si="21"/>
        <v>0.70693767930472839</v>
      </c>
      <c r="AQ45" s="308">
        <f t="shared" si="21"/>
        <v>0.70208359365124751</v>
      </c>
      <c r="AR45" s="308">
        <f t="shared" si="21"/>
        <v>0.69731157392958654</v>
      </c>
      <c r="AS45" s="308">
        <f t="shared" si="21"/>
        <v>0.69253782278066012</v>
      </c>
      <c r="AT45" s="308">
        <f t="shared" si="21"/>
        <v>0.68776382023318017</v>
      </c>
      <c r="AU45" s="309">
        <f t="shared" si="21"/>
        <v>0.68309144850275683</v>
      </c>
      <c r="AW45" s="310">
        <f>AA45-P45</f>
        <v>-4.3162893501562105E-2</v>
      </c>
      <c r="AX45" s="310">
        <f>AU45-P45</f>
        <v>-0.12838821458591954</v>
      </c>
    </row>
    <row r="46" spans="1:50" x14ac:dyDescent="0.25">
      <c r="C46" s="265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265"/>
      <c r="AH46" s="265"/>
      <c r="AI46" s="265"/>
      <c r="AJ46" s="265"/>
      <c r="AK46" s="265"/>
      <c r="AL46" s="265"/>
      <c r="AM46" s="265"/>
      <c r="AN46" s="265"/>
      <c r="AO46" s="265"/>
      <c r="AP46" s="265"/>
      <c r="AQ46" s="265"/>
      <c r="AR46" s="265"/>
      <c r="AS46" s="265"/>
      <c r="AT46" s="265"/>
      <c r="AU46" s="265"/>
    </row>
    <row r="47" spans="1:50" s="244" customFormat="1" ht="45" customHeight="1" x14ac:dyDescent="0.25">
      <c r="A47" s="239" t="s">
        <v>474</v>
      </c>
      <c r="B47" s="240" t="s">
        <v>497</v>
      </c>
      <c r="C47" s="242">
        <v>2006</v>
      </c>
      <c r="D47" s="242">
        <v>2007</v>
      </c>
      <c r="E47" s="242">
        <v>2008</v>
      </c>
      <c r="F47" s="242">
        <v>2009</v>
      </c>
      <c r="G47" s="242">
        <v>2010</v>
      </c>
      <c r="H47" s="242">
        <v>2011</v>
      </c>
      <c r="I47" s="242">
        <v>2012</v>
      </c>
      <c r="J47" s="242">
        <v>2013</v>
      </c>
      <c r="K47" s="242">
        <v>2014</v>
      </c>
      <c r="L47" s="242">
        <v>2015</v>
      </c>
      <c r="M47" s="242">
        <v>2016</v>
      </c>
      <c r="N47" s="242">
        <v>2017</v>
      </c>
      <c r="O47" s="242">
        <v>2018</v>
      </c>
      <c r="P47" s="242">
        <v>2019</v>
      </c>
      <c r="Q47" s="242">
        <v>2020</v>
      </c>
      <c r="R47" s="242">
        <v>2021</v>
      </c>
      <c r="S47" s="242">
        <v>2022</v>
      </c>
      <c r="T47" s="242">
        <v>2023</v>
      </c>
      <c r="U47" s="242">
        <v>2024</v>
      </c>
      <c r="V47" s="242">
        <v>2025</v>
      </c>
      <c r="W47" s="242">
        <v>2026</v>
      </c>
      <c r="X47" s="242">
        <v>2027</v>
      </c>
      <c r="Y47" s="242">
        <v>2028</v>
      </c>
      <c r="Z47" s="242">
        <v>2029</v>
      </c>
      <c r="AA47" s="242">
        <v>2030</v>
      </c>
      <c r="AB47" s="242">
        <v>2031</v>
      </c>
      <c r="AC47" s="242">
        <v>2032</v>
      </c>
      <c r="AD47" s="242">
        <v>2033</v>
      </c>
      <c r="AE47" s="242">
        <v>2034</v>
      </c>
      <c r="AF47" s="242">
        <v>2035</v>
      </c>
      <c r="AG47" s="242">
        <v>2036</v>
      </c>
      <c r="AH47" s="242">
        <v>2037</v>
      </c>
      <c r="AI47" s="242">
        <v>2038</v>
      </c>
      <c r="AJ47" s="242">
        <v>2039</v>
      </c>
      <c r="AK47" s="242">
        <v>2040</v>
      </c>
      <c r="AL47" s="242">
        <v>2041</v>
      </c>
      <c r="AM47" s="242">
        <v>2042</v>
      </c>
      <c r="AN47" s="242">
        <v>2043</v>
      </c>
      <c r="AO47" s="242">
        <v>2044</v>
      </c>
      <c r="AP47" s="242">
        <v>2045</v>
      </c>
      <c r="AQ47" s="242">
        <v>2046</v>
      </c>
      <c r="AR47" s="242">
        <v>2047</v>
      </c>
      <c r="AS47" s="242">
        <v>2048</v>
      </c>
      <c r="AT47" s="242">
        <v>2049</v>
      </c>
      <c r="AU47" s="243">
        <v>2050</v>
      </c>
      <c r="AW47" s="242" t="s">
        <v>498</v>
      </c>
      <c r="AX47" s="242" t="s">
        <v>499</v>
      </c>
    </row>
    <row r="48" spans="1:50" x14ac:dyDescent="0.25">
      <c r="B48" s="245" t="s">
        <v>1</v>
      </c>
      <c r="C48" s="246">
        <f t="shared" ref="C48:AU48" si="22">C49+C50+C53</f>
        <v>1</v>
      </c>
      <c r="D48" s="247">
        <f t="shared" si="22"/>
        <v>1</v>
      </c>
      <c r="E48" s="247">
        <f t="shared" si="22"/>
        <v>1</v>
      </c>
      <c r="F48" s="247">
        <f t="shared" si="22"/>
        <v>1</v>
      </c>
      <c r="G48" s="247">
        <f t="shared" si="22"/>
        <v>1</v>
      </c>
      <c r="H48" s="247">
        <f t="shared" si="22"/>
        <v>1</v>
      </c>
      <c r="I48" s="247">
        <f t="shared" si="22"/>
        <v>1</v>
      </c>
      <c r="J48" s="247">
        <f t="shared" si="22"/>
        <v>1</v>
      </c>
      <c r="K48" s="247">
        <f t="shared" si="22"/>
        <v>1</v>
      </c>
      <c r="L48" s="247">
        <f t="shared" si="22"/>
        <v>1</v>
      </c>
      <c r="M48" s="247">
        <f t="shared" si="22"/>
        <v>1</v>
      </c>
      <c r="N48" s="247">
        <f t="shared" si="22"/>
        <v>1</v>
      </c>
      <c r="O48" s="247">
        <f t="shared" si="22"/>
        <v>1</v>
      </c>
      <c r="P48" s="247">
        <f t="shared" si="22"/>
        <v>1</v>
      </c>
      <c r="Q48" s="247">
        <f t="shared" si="22"/>
        <v>0.99953225898973674</v>
      </c>
      <c r="R48" s="247">
        <f t="shared" si="22"/>
        <v>1.001270766069986</v>
      </c>
      <c r="S48" s="247">
        <f t="shared" si="22"/>
        <v>1.0018412327922301</v>
      </c>
      <c r="T48" s="247">
        <f t="shared" si="22"/>
        <v>1.0023667967814291</v>
      </c>
      <c r="U48" s="247">
        <f t="shared" si="22"/>
        <v>1.016651690272492</v>
      </c>
      <c r="V48" s="247">
        <f t="shared" si="22"/>
        <v>1.0286934199067437</v>
      </c>
      <c r="W48" s="247">
        <f t="shared" si="22"/>
        <v>1.0244392908000668</v>
      </c>
      <c r="X48" s="247">
        <f t="shared" si="22"/>
        <v>1.0253463722290492</v>
      </c>
      <c r="Y48" s="247">
        <f t="shared" si="22"/>
        <v>1.0295269241731648</v>
      </c>
      <c r="Z48" s="247">
        <f t="shared" si="22"/>
        <v>1.0356363302474234</v>
      </c>
      <c r="AA48" s="247">
        <f t="shared" si="22"/>
        <v>1.0429805406842396</v>
      </c>
      <c r="AB48" s="247">
        <f t="shared" si="22"/>
        <v>1.0486843031156834</v>
      </c>
      <c r="AC48" s="247">
        <f t="shared" si="22"/>
        <v>1.0566791404619524</v>
      </c>
      <c r="AD48" s="247">
        <f t="shared" si="22"/>
        <v>1.0641471715023676</v>
      </c>
      <c r="AE48" s="247">
        <f t="shared" si="22"/>
        <v>1.0712352530193117</v>
      </c>
      <c r="AF48" s="247">
        <f t="shared" si="22"/>
        <v>1.0803186916575955</v>
      </c>
      <c r="AG48" s="247">
        <f t="shared" si="22"/>
        <v>1.0874544529784531</v>
      </c>
      <c r="AH48" s="247">
        <f t="shared" si="22"/>
        <v>1.0942861780871809</v>
      </c>
      <c r="AI48" s="247">
        <f t="shared" si="22"/>
        <v>1.1011104303311396</v>
      </c>
      <c r="AJ48" s="247">
        <f t="shared" si="22"/>
        <v>1.1076972762058166</v>
      </c>
      <c r="AK48" s="247">
        <f t="shared" si="22"/>
        <v>1.1143246492193302</v>
      </c>
      <c r="AL48" s="247">
        <f t="shared" si="22"/>
        <v>1.1213558064043065</v>
      </c>
      <c r="AM48" s="247">
        <f t="shared" si="22"/>
        <v>1.1277806836582307</v>
      </c>
      <c r="AN48" s="247">
        <f t="shared" si="22"/>
        <v>1.1340332743055206</v>
      </c>
      <c r="AO48" s="247">
        <f t="shared" si="22"/>
        <v>1.1401119966707822</v>
      </c>
      <c r="AP48" s="247">
        <f t="shared" si="22"/>
        <v>1.1481377300060156</v>
      </c>
      <c r="AQ48" s="247">
        <f t="shared" si="22"/>
        <v>1.1562326038172672</v>
      </c>
      <c r="AR48" s="247">
        <f t="shared" si="22"/>
        <v>1.1636723806895632</v>
      </c>
      <c r="AS48" s="247">
        <f t="shared" si="22"/>
        <v>1.1705535057953851</v>
      </c>
      <c r="AT48" s="247">
        <f t="shared" si="22"/>
        <v>1.1770437000914713</v>
      </c>
      <c r="AU48" s="248">
        <f t="shared" si="22"/>
        <v>1.1839012825918678</v>
      </c>
    </row>
    <row r="49" spans="1:50" x14ac:dyDescent="0.25">
      <c r="B49" s="249" t="s">
        <v>466</v>
      </c>
      <c r="C49" s="300"/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  <c r="AA49" s="251"/>
      <c r="AB49" s="251"/>
      <c r="AC49" s="251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1"/>
      <c r="AP49" s="251"/>
      <c r="AQ49" s="251"/>
      <c r="AR49" s="251"/>
      <c r="AS49" s="251"/>
      <c r="AT49" s="251"/>
      <c r="AU49" s="252"/>
      <c r="AW49" s="253"/>
    </row>
    <row r="50" spans="1:50" x14ac:dyDescent="0.25">
      <c r="B50" s="254" t="s">
        <v>467</v>
      </c>
      <c r="C50" s="301">
        <f>C15/(C$2-C$3)</f>
        <v>0.29999999998794452</v>
      </c>
      <c r="D50" s="301">
        <f t="shared" ref="D50:AU51" si="23">D15/(D$2-D$3)</f>
        <v>0.30868084067278267</v>
      </c>
      <c r="E50" s="301">
        <f t="shared" si="23"/>
        <v>0.3166906365011567</v>
      </c>
      <c r="F50" s="301">
        <f t="shared" si="23"/>
        <v>0.32460897108093978</v>
      </c>
      <c r="G50" s="301">
        <f t="shared" si="23"/>
        <v>0.33135353234944559</v>
      </c>
      <c r="H50" s="301">
        <f t="shared" si="23"/>
        <v>0.34046567484806284</v>
      </c>
      <c r="I50" s="301">
        <f t="shared" si="23"/>
        <v>0.35167130057158513</v>
      </c>
      <c r="J50" s="301">
        <f t="shared" si="23"/>
        <v>0.36089721079020903</v>
      </c>
      <c r="K50" s="301">
        <f t="shared" si="23"/>
        <v>0.36937785905686121</v>
      </c>
      <c r="L50" s="301">
        <f t="shared" si="23"/>
        <v>0.37808663894382427</v>
      </c>
      <c r="M50" s="301">
        <f t="shared" si="23"/>
        <v>0.37633208573034344</v>
      </c>
      <c r="N50" s="301">
        <f t="shared" si="23"/>
        <v>0.37389458276030479</v>
      </c>
      <c r="O50" s="301">
        <f t="shared" si="23"/>
        <v>0.37354114299114083</v>
      </c>
      <c r="P50" s="301">
        <f t="shared" si="23"/>
        <v>0.37315691205233625</v>
      </c>
      <c r="Q50" s="301">
        <f t="shared" si="23"/>
        <v>0.37507735056264335</v>
      </c>
      <c r="R50" s="301">
        <f t="shared" si="23"/>
        <v>0.37796917849601719</v>
      </c>
      <c r="S50" s="301">
        <f t="shared" si="23"/>
        <v>0.37856137216836133</v>
      </c>
      <c r="T50" s="301">
        <f t="shared" si="23"/>
        <v>0.37856971797446104</v>
      </c>
      <c r="U50" s="301">
        <f t="shared" si="23"/>
        <v>0.38412924309040986</v>
      </c>
      <c r="V50" s="301">
        <f t="shared" si="23"/>
        <v>0.38894220672593688</v>
      </c>
      <c r="W50" s="301">
        <f t="shared" si="23"/>
        <v>0.38607530171763127</v>
      </c>
      <c r="X50" s="301">
        <f t="shared" si="23"/>
        <v>0.38588255989523113</v>
      </c>
      <c r="Y50" s="301">
        <f t="shared" si="23"/>
        <v>0.38714664514354724</v>
      </c>
      <c r="Z50" s="301">
        <f t="shared" si="23"/>
        <v>0.38930406027532205</v>
      </c>
      <c r="AA50" s="301">
        <f t="shared" si="23"/>
        <v>0.39204592838705676</v>
      </c>
      <c r="AB50" s="301">
        <f t="shared" si="23"/>
        <v>0.39422697132147649</v>
      </c>
      <c r="AC50" s="301">
        <f t="shared" si="23"/>
        <v>0.39813410889822037</v>
      </c>
      <c r="AD50" s="301">
        <f t="shared" si="23"/>
        <v>0.40151783752751447</v>
      </c>
      <c r="AE50" s="301">
        <f t="shared" si="23"/>
        <v>0.40463792586448644</v>
      </c>
      <c r="AF50" s="301">
        <f t="shared" si="23"/>
        <v>0.40929251743422684</v>
      </c>
      <c r="AG50" s="301">
        <f t="shared" si="23"/>
        <v>0.41196143034453042</v>
      </c>
      <c r="AH50" s="301">
        <f t="shared" si="23"/>
        <v>0.41468625900753603</v>
      </c>
      <c r="AI50" s="301">
        <f t="shared" si="23"/>
        <v>0.41750101497889491</v>
      </c>
      <c r="AJ50" s="301">
        <f t="shared" si="23"/>
        <v>0.42026354333151428</v>
      </c>
      <c r="AK50" s="301">
        <f t="shared" si="23"/>
        <v>0.42307852742795948</v>
      </c>
      <c r="AL50" s="301">
        <f t="shared" si="23"/>
        <v>0.42611944163565924</v>
      </c>
      <c r="AM50" s="301">
        <f t="shared" si="23"/>
        <v>0.42884577066168444</v>
      </c>
      <c r="AN50" s="301">
        <f t="shared" si="23"/>
        <v>0.43146272524241597</v>
      </c>
      <c r="AO50" s="301">
        <f t="shared" si="23"/>
        <v>0.43399259420320063</v>
      </c>
      <c r="AP50" s="301">
        <f t="shared" si="23"/>
        <v>0.43724985330771865</v>
      </c>
      <c r="AQ50" s="301">
        <f t="shared" si="23"/>
        <v>0.44058664538872078</v>
      </c>
      <c r="AR50" s="301">
        <f t="shared" si="23"/>
        <v>0.44362336387282192</v>
      </c>
      <c r="AS50" s="301">
        <f t="shared" si="23"/>
        <v>0.44642922096138654</v>
      </c>
      <c r="AT50" s="301">
        <f t="shared" si="23"/>
        <v>0.44909427546315983</v>
      </c>
      <c r="AU50" s="302">
        <f t="shared" si="23"/>
        <v>0.45188474800667094</v>
      </c>
      <c r="AW50" s="303">
        <f t="shared" ref="AW50:AW55" si="24">AA50-P50</f>
        <v>1.888901633472051E-2</v>
      </c>
      <c r="AX50" s="303">
        <f t="shared" ref="AX50:AX55" si="25">AU50-P50</f>
        <v>7.8727835954334691E-2</v>
      </c>
    </row>
    <row r="51" spans="1:50" x14ac:dyDescent="0.25">
      <c r="B51" s="258" t="s">
        <v>468</v>
      </c>
      <c r="C51" s="304">
        <f>C16/(C$2-C$3)</f>
        <v>0.1970599631421219</v>
      </c>
      <c r="D51" s="304">
        <f t="shared" si="23"/>
        <v>0.20037891808563998</v>
      </c>
      <c r="E51" s="304">
        <f t="shared" si="23"/>
        <v>0.20490531616140084</v>
      </c>
      <c r="F51" s="304">
        <f t="shared" si="23"/>
        <v>0.20763331354525302</v>
      </c>
      <c r="G51" s="304">
        <f t="shared" si="23"/>
        <v>0.21114151412840151</v>
      </c>
      <c r="H51" s="304">
        <f t="shared" si="23"/>
        <v>0.21313266445483822</v>
      </c>
      <c r="I51" s="304">
        <f t="shared" si="23"/>
        <v>0.22000319963578421</v>
      </c>
      <c r="J51" s="304">
        <f t="shared" si="23"/>
        <v>0.22599286501710994</v>
      </c>
      <c r="K51" s="304">
        <f t="shared" si="23"/>
        <v>0.23022319281975717</v>
      </c>
      <c r="L51" s="304">
        <f t="shared" si="23"/>
        <v>0.2385251023363722</v>
      </c>
      <c r="M51" s="304">
        <f t="shared" si="23"/>
        <v>0.23927433268686749</v>
      </c>
      <c r="N51" s="304">
        <f t="shared" si="23"/>
        <v>0.23594446012084663</v>
      </c>
      <c r="O51" s="304">
        <f t="shared" si="23"/>
        <v>0.23235537700439293</v>
      </c>
      <c r="P51" s="304">
        <f t="shared" si="23"/>
        <v>0.23374272147373129</v>
      </c>
      <c r="Q51" s="304">
        <f t="shared" si="23"/>
        <v>0.23824947259185761</v>
      </c>
      <c r="R51" s="304">
        <f t="shared" si="23"/>
        <v>0.24368141936027676</v>
      </c>
      <c r="S51" s="304">
        <f t="shared" si="23"/>
        <v>0.2447131186793112</v>
      </c>
      <c r="T51" s="304">
        <f t="shared" si="23"/>
        <v>0.24447936124688233</v>
      </c>
      <c r="U51" s="304">
        <f t="shared" si="23"/>
        <v>0.24839621054043007</v>
      </c>
      <c r="V51" s="304">
        <f t="shared" si="23"/>
        <v>0.25195754344931776</v>
      </c>
      <c r="W51" s="304">
        <f t="shared" si="23"/>
        <v>0.24819024130220396</v>
      </c>
      <c r="X51" s="304">
        <f t="shared" si="23"/>
        <v>0.24732608567698131</v>
      </c>
      <c r="Y51" s="304">
        <f t="shared" si="23"/>
        <v>0.24774985732740645</v>
      </c>
      <c r="Z51" s="304">
        <f t="shared" si="23"/>
        <v>0.2489984053211374</v>
      </c>
      <c r="AA51" s="304">
        <f t="shared" si="23"/>
        <v>0.25079224769639574</v>
      </c>
      <c r="AB51" s="304">
        <f t="shared" si="23"/>
        <v>0.25230244522671014</v>
      </c>
      <c r="AC51" s="304">
        <f t="shared" si="23"/>
        <v>0.25627719554374523</v>
      </c>
      <c r="AD51" s="304">
        <f t="shared" si="23"/>
        <v>0.25940320687889556</v>
      </c>
      <c r="AE51" s="304">
        <f t="shared" si="23"/>
        <v>0.26216543041364504</v>
      </c>
      <c r="AF51" s="304">
        <f t="shared" si="23"/>
        <v>0.26719639676796852</v>
      </c>
      <c r="AG51" s="304">
        <f t="shared" si="23"/>
        <v>0.26893658098254392</v>
      </c>
      <c r="AH51" s="304">
        <f t="shared" si="23"/>
        <v>0.27101489404786289</v>
      </c>
      <c r="AI51" s="304">
        <f t="shared" si="23"/>
        <v>0.27332051060148027</v>
      </c>
      <c r="AJ51" s="304">
        <f t="shared" si="23"/>
        <v>0.27566555999522946</v>
      </c>
      <c r="AK51" s="304">
        <f t="shared" si="23"/>
        <v>0.27810828083639511</v>
      </c>
      <c r="AL51" s="304">
        <f t="shared" si="23"/>
        <v>0.28082832179883388</v>
      </c>
      <c r="AM51" s="304">
        <f t="shared" si="23"/>
        <v>0.28321259282743966</v>
      </c>
      <c r="AN51" s="304">
        <f t="shared" si="23"/>
        <v>0.28545252228354051</v>
      </c>
      <c r="AO51" s="304">
        <f t="shared" si="23"/>
        <v>0.28760150178157917</v>
      </c>
      <c r="AP51" s="304">
        <f t="shared" si="23"/>
        <v>0.29021190347611026</v>
      </c>
      <c r="AQ51" s="304">
        <f t="shared" si="23"/>
        <v>0.29298044693383907</v>
      </c>
      <c r="AR51" s="304">
        <f t="shared" si="23"/>
        <v>0.29547244616722418</v>
      </c>
      <c r="AS51" s="304">
        <f t="shared" si="23"/>
        <v>0.29777803651188106</v>
      </c>
      <c r="AT51" s="304">
        <f t="shared" si="23"/>
        <v>0.29997977654506452</v>
      </c>
      <c r="AU51" s="305">
        <f t="shared" si="23"/>
        <v>0.30223614029204326</v>
      </c>
      <c r="AW51" s="303">
        <f t="shared" si="24"/>
        <v>1.7049526222664452E-2</v>
      </c>
      <c r="AX51" s="303">
        <f t="shared" si="25"/>
        <v>6.8493418818311974E-2</v>
      </c>
    </row>
    <row r="52" spans="1:50" x14ac:dyDescent="0.25">
      <c r="B52" s="261" t="s">
        <v>469</v>
      </c>
      <c r="C52" s="306">
        <f t="shared" ref="C52:AU56" si="26">C17/(C$2-C$3)</f>
        <v>5.6863254151957032E-2</v>
      </c>
      <c r="D52" s="306">
        <f t="shared" si="26"/>
        <v>5.6136102043634985E-2</v>
      </c>
      <c r="E52" s="306">
        <f t="shared" si="26"/>
        <v>5.4995494390403028E-2</v>
      </c>
      <c r="F52" s="306">
        <f t="shared" si="26"/>
        <v>5.4406754200709555E-2</v>
      </c>
      <c r="G52" s="306">
        <f t="shared" si="26"/>
        <v>5.371794300767764E-2</v>
      </c>
      <c r="H52" s="306">
        <f t="shared" si="26"/>
        <v>5.3121754295110041E-2</v>
      </c>
      <c r="I52" s="306">
        <f t="shared" si="26"/>
        <v>5.1489438001622874E-2</v>
      </c>
      <c r="J52" s="306">
        <f t="shared" si="26"/>
        <v>5.0293278341231623E-2</v>
      </c>
      <c r="K52" s="306">
        <f t="shared" si="26"/>
        <v>4.9509041276577584E-2</v>
      </c>
      <c r="L52" s="306">
        <f t="shared" si="26"/>
        <v>4.8134970323457989E-2</v>
      </c>
      <c r="M52" s="306">
        <f t="shared" si="26"/>
        <v>4.8209823135888452E-2</v>
      </c>
      <c r="N52" s="306">
        <f t="shared" si="26"/>
        <v>4.887616105447129E-2</v>
      </c>
      <c r="O52" s="306">
        <f t="shared" si="26"/>
        <v>4.9359154113226791E-2</v>
      </c>
      <c r="P52" s="306">
        <f t="shared" si="26"/>
        <v>4.9127578714479994E-2</v>
      </c>
      <c r="Q52" s="306">
        <f t="shared" si="26"/>
        <v>0.13726941816713153</v>
      </c>
      <c r="R52" s="306">
        <f t="shared" si="26"/>
        <v>4.7390627259381299E-2</v>
      </c>
      <c r="S52" s="306">
        <f t="shared" si="26"/>
        <v>4.7263138934761806E-2</v>
      </c>
      <c r="T52" s="306">
        <f t="shared" si="26"/>
        <v>4.7355041775623517E-2</v>
      </c>
      <c r="U52" s="306">
        <f t="shared" si="26"/>
        <v>4.7957091779763164E-2</v>
      </c>
      <c r="V52" s="306">
        <f t="shared" si="26"/>
        <v>4.8418165576436765E-2</v>
      </c>
      <c r="W52" s="306">
        <f t="shared" si="26"/>
        <v>4.8702938986017456E-2</v>
      </c>
      <c r="X52" s="306">
        <f t="shared" si="26"/>
        <v>4.8941782672218978E-2</v>
      </c>
      <c r="Y52" s="306">
        <f t="shared" si="26"/>
        <v>4.9249449982288251E-2</v>
      </c>
      <c r="Z52" s="306">
        <f t="shared" si="26"/>
        <v>4.9584499306491989E-2</v>
      </c>
      <c r="AA52" s="306">
        <f t="shared" si="26"/>
        <v>0.1418200606302939</v>
      </c>
      <c r="AB52" s="306">
        <f t="shared" si="26"/>
        <v>5.0182994934513114E-2</v>
      </c>
      <c r="AC52" s="306">
        <f t="shared" si="26"/>
        <v>5.0204358316224135E-2</v>
      </c>
      <c r="AD52" s="306">
        <f t="shared" si="26"/>
        <v>5.032783600106764E-2</v>
      </c>
      <c r="AE52" s="306">
        <f t="shared" si="26"/>
        <v>5.0480533826707939E-2</v>
      </c>
      <c r="AF52" s="306">
        <f t="shared" si="26"/>
        <v>5.0419357614424891E-2</v>
      </c>
      <c r="AG52" s="306">
        <f t="shared" si="26"/>
        <v>5.0756345156226547E-2</v>
      </c>
      <c r="AH52" s="306">
        <f t="shared" si="26"/>
        <v>5.1007817318791948E-2</v>
      </c>
      <c r="AI52" s="306">
        <f t="shared" si="26"/>
        <v>5.1220338127537068E-2</v>
      </c>
      <c r="AJ52" s="306">
        <f t="shared" si="26"/>
        <v>5.1405249655509459E-2</v>
      </c>
      <c r="AK52" s="306">
        <f t="shared" si="26"/>
        <v>5.1576853393152017E-2</v>
      </c>
      <c r="AL52" s="306">
        <f t="shared" si="26"/>
        <v>5.1737831712251492E-2</v>
      </c>
      <c r="AM52" s="306">
        <f t="shared" si="26"/>
        <v>5.190322846465345E-2</v>
      </c>
      <c r="AN52" s="306">
        <f t="shared" si="26"/>
        <v>5.2078260577333252E-2</v>
      </c>
      <c r="AO52" s="306">
        <f t="shared" si="26"/>
        <v>5.2253664266537776E-2</v>
      </c>
      <c r="AP52" s="306">
        <f t="shared" si="26"/>
        <v>5.2523594929409251E-2</v>
      </c>
      <c r="AQ52" s="306">
        <f t="shared" si="26"/>
        <v>5.2773587276521448E-2</v>
      </c>
      <c r="AR52" s="306">
        <f t="shared" si="26"/>
        <v>5.3013009610036896E-2</v>
      </c>
      <c r="AS52" s="306">
        <f t="shared" si="26"/>
        <v>5.3234376897039991E-2</v>
      </c>
      <c r="AT52" s="306">
        <f t="shared" si="26"/>
        <v>5.3437366153135837E-2</v>
      </c>
      <c r="AU52" s="307">
        <f t="shared" si="26"/>
        <v>0.15036648028543212</v>
      </c>
      <c r="AW52" s="303">
        <f t="shared" si="24"/>
        <v>9.2692481915813904E-2</v>
      </c>
      <c r="AX52" s="303">
        <f t="shared" si="25"/>
        <v>0.10123890157095213</v>
      </c>
    </row>
    <row r="53" spans="1:50" x14ac:dyDescent="0.25">
      <c r="B53" s="258" t="s">
        <v>470</v>
      </c>
      <c r="C53" s="304">
        <f t="shared" si="26"/>
        <v>0.70000000001205542</v>
      </c>
      <c r="D53" s="304">
        <f t="shared" si="26"/>
        <v>0.69131915932721733</v>
      </c>
      <c r="E53" s="304">
        <f t="shared" si="26"/>
        <v>0.6833093634988433</v>
      </c>
      <c r="F53" s="304">
        <f t="shared" si="26"/>
        <v>0.67539102891906033</v>
      </c>
      <c r="G53" s="304">
        <f t="shared" si="26"/>
        <v>0.66864646765055435</v>
      </c>
      <c r="H53" s="304">
        <f t="shared" si="26"/>
        <v>0.65953432515193711</v>
      </c>
      <c r="I53" s="304">
        <f t="shared" si="26"/>
        <v>0.64832869942841498</v>
      </c>
      <c r="J53" s="304">
        <f t="shared" si="26"/>
        <v>0.63910278920979091</v>
      </c>
      <c r="K53" s="304">
        <f t="shared" si="26"/>
        <v>0.63062214094313873</v>
      </c>
      <c r="L53" s="304">
        <f t="shared" si="26"/>
        <v>0.62191336105617578</v>
      </c>
      <c r="M53" s="304">
        <f t="shared" si="26"/>
        <v>0.62366791426965662</v>
      </c>
      <c r="N53" s="304">
        <f t="shared" si="26"/>
        <v>0.62610541723969515</v>
      </c>
      <c r="O53" s="304">
        <f t="shared" si="26"/>
        <v>0.62645885700885917</v>
      </c>
      <c r="P53" s="304">
        <f t="shared" si="26"/>
        <v>0.62684308794766375</v>
      </c>
      <c r="Q53" s="304">
        <f t="shared" si="26"/>
        <v>0.62445490842709339</v>
      </c>
      <c r="R53" s="304">
        <f t="shared" si="26"/>
        <v>0.6233015875739687</v>
      </c>
      <c r="S53" s="304">
        <f t="shared" si="26"/>
        <v>0.62327986062386875</v>
      </c>
      <c r="T53" s="304">
        <f t="shared" si="26"/>
        <v>0.62379707880696822</v>
      </c>
      <c r="U53" s="304">
        <f t="shared" si="26"/>
        <v>0.63252244718208217</v>
      </c>
      <c r="V53" s="304">
        <f t="shared" si="26"/>
        <v>0.63975121318080674</v>
      </c>
      <c r="W53" s="304">
        <f t="shared" si="26"/>
        <v>0.63836398908243552</v>
      </c>
      <c r="X53" s="304">
        <f t="shared" si="26"/>
        <v>0.63946381233381822</v>
      </c>
      <c r="Y53" s="304">
        <f t="shared" si="26"/>
        <v>0.64238027902961747</v>
      </c>
      <c r="Z53" s="304">
        <f t="shared" si="26"/>
        <v>0.64633226997210136</v>
      </c>
      <c r="AA53" s="304">
        <f t="shared" si="26"/>
        <v>0.65093461229718275</v>
      </c>
      <c r="AB53" s="304">
        <f t="shared" si="26"/>
        <v>0.65445733179420695</v>
      </c>
      <c r="AC53" s="304">
        <f t="shared" si="26"/>
        <v>0.65854503156373201</v>
      </c>
      <c r="AD53" s="304">
        <f t="shared" si="26"/>
        <v>0.66262933397485324</v>
      </c>
      <c r="AE53" s="304">
        <f t="shared" si="26"/>
        <v>0.66659732715482523</v>
      </c>
      <c r="AF53" s="304">
        <f t="shared" si="26"/>
        <v>0.67102617422336874</v>
      </c>
      <c r="AG53" s="304">
        <f t="shared" si="26"/>
        <v>0.67549302263392275</v>
      </c>
      <c r="AH53" s="304">
        <f t="shared" si="26"/>
        <v>0.6795999190796449</v>
      </c>
      <c r="AI53" s="304">
        <f t="shared" si="26"/>
        <v>0.68360941535224473</v>
      </c>
      <c r="AJ53" s="304">
        <f t="shared" si="26"/>
        <v>0.68743373287430232</v>
      </c>
      <c r="AK53" s="304">
        <f t="shared" si="26"/>
        <v>0.69124612179137057</v>
      </c>
      <c r="AL53" s="304">
        <f t="shared" si="26"/>
        <v>0.69523636476864736</v>
      </c>
      <c r="AM53" s="304">
        <f t="shared" si="26"/>
        <v>0.6989349129965462</v>
      </c>
      <c r="AN53" s="304">
        <f t="shared" si="26"/>
        <v>0.70257054906310468</v>
      </c>
      <c r="AO53" s="304">
        <f t="shared" si="26"/>
        <v>0.70611940246758154</v>
      </c>
      <c r="AP53" s="304">
        <f t="shared" si="26"/>
        <v>0.71088787669829689</v>
      </c>
      <c r="AQ53" s="304">
        <f t="shared" si="26"/>
        <v>0.71564595842854639</v>
      </c>
      <c r="AR53" s="304">
        <f t="shared" si="26"/>
        <v>0.72004901681674127</v>
      </c>
      <c r="AS53" s="304">
        <f t="shared" si="26"/>
        <v>0.72412428483399849</v>
      </c>
      <c r="AT53" s="304">
        <f t="shared" si="26"/>
        <v>0.72794942462831136</v>
      </c>
      <c r="AU53" s="305">
        <f t="shared" si="26"/>
        <v>0.73201653458519689</v>
      </c>
      <c r="AW53" s="303">
        <f t="shared" si="24"/>
        <v>2.4091524349519E-2</v>
      </c>
      <c r="AX53" s="303">
        <f t="shared" si="25"/>
        <v>0.10517344663753314</v>
      </c>
    </row>
    <row r="54" spans="1:50" x14ac:dyDescent="0.25">
      <c r="B54" s="258" t="s">
        <v>471</v>
      </c>
      <c r="C54" s="304">
        <f t="shared" si="26"/>
        <v>0.64313674466660875</v>
      </c>
      <c r="D54" s="304">
        <f t="shared" si="26"/>
        <v>0.63518306078748799</v>
      </c>
      <c r="E54" s="304">
        <f t="shared" si="26"/>
        <v>0.62831624401370212</v>
      </c>
      <c r="F54" s="304">
        <f t="shared" si="26"/>
        <v>0.62098664561584016</v>
      </c>
      <c r="G54" s="304">
        <f t="shared" si="26"/>
        <v>0.61493108592751611</v>
      </c>
      <c r="H54" s="304">
        <f t="shared" si="26"/>
        <v>0.60641528632595643</v>
      </c>
      <c r="I54" s="304">
        <f t="shared" si="26"/>
        <v>0.59684753128101531</v>
      </c>
      <c r="J54" s="304">
        <f t="shared" si="26"/>
        <v>0.58881997611398518</v>
      </c>
      <c r="K54" s="304">
        <f t="shared" si="26"/>
        <v>0.58112357569908357</v>
      </c>
      <c r="L54" s="304">
        <f t="shared" si="26"/>
        <v>0.57379407111698688</v>
      </c>
      <c r="M54" s="304">
        <f t="shared" si="26"/>
        <v>0.57547385742821477</v>
      </c>
      <c r="N54" s="304">
        <f t="shared" si="26"/>
        <v>0.57724762405886798</v>
      </c>
      <c r="O54" s="304">
        <f t="shared" si="26"/>
        <v>0.57712036629859953</v>
      </c>
      <c r="P54" s="304">
        <f t="shared" si="26"/>
        <v>0.57773694161494504</v>
      </c>
      <c r="Q54" s="304">
        <f t="shared" si="26"/>
        <v>0.57619906652968911</v>
      </c>
      <c r="R54" s="304">
        <f t="shared" si="26"/>
        <v>0.57412296590725531</v>
      </c>
      <c r="S54" s="304">
        <f t="shared" si="26"/>
        <v>0.57365502890679698</v>
      </c>
      <c r="T54" s="304">
        <f t="shared" si="26"/>
        <v>0.57350462458018858</v>
      </c>
      <c r="U54" s="304">
        <f t="shared" si="26"/>
        <v>0.5810056007979526</v>
      </c>
      <c r="V54" s="304">
        <f t="shared" si="26"/>
        <v>0.58714525602566403</v>
      </c>
      <c r="W54" s="304">
        <f t="shared" si="26"/>
        <v>0.58489884024076111</v>
      </c>
      <c r="X54" s="304">
        <f t="shared" si="26"/>
        <v>0.58516642196446922</v>
      </c>
      <c r="Y54" s="304">
        <f t="shared" si="26"/>
        <v>0.58716341682876771</v>
      </c>
      <c r="Z54" s="304">
        <f t="shared" si="26"/>
        <v>0.59015320918946068</v>
      </c>
      <c r="AA54" s="304">
        <f t="shared" si="26"/>
        <v>0.59376580011540736</v>
      </c>
      <c r="AB54" s="304">
        <f t="shared" si="26"/>
        <v>0.59640290079935609</v>
      </c>
      <c r="AC54" s="304">
        <f t="shared" si="26"/>
        <v>0.59982087122161287</v>
      </c>
      <c r="AD54" s="304">
        <f t="shared" si="26"/>
        <v>0.60312580828422058</v>
      </c>
      <c r="AE54" s="304">
        <f t="shared" si="26"/>
        <v>0.60627981112518636</v>
      </c>
      <c r="AF54" s="304">
        <f t="shared" si="26"/>
        <v>0.61009576234606711</v>
      </c>
      <c r="AG54" s="304">
        <f t="shared" si="26"/>
        <v>0.61354180514667311</v>
      </c>
      <c r="AH54" s="304">
        <f t="shared" si="26"/>
        <v>0.61671218028740993</v>
      </c>
      <c r="AI54" s="304">
        <f t="shared" si="26"/>
        <v>0.61981902031482172</v>
      </c>
      <c r="AJ54" s="304">
        <f t="shared" si="26"/>
        <v>0.62276513761838581</v>
      </c>
      <c r="AK54" s="304">
        <f t="shared" si="26"/>
        <v>0.62570648223227887</v>
      </c>
      <c r="AL54" s="304">
        <f t="shared" si="26"/>
        <v>0.62882620090835295</v>
      </c>
      <c r="AM54" s="304">
        <f t="shared" si="26"/>
        <v>0.63164945820738949</v>
      </c>
      <c r="AN54" s="304">
        <f t="shared" si="26"/>
        <v>0.63439542962489093</v>
      </c>
      <c r="AO54" s="304">
        <f t="shared" si="26"/>
        <v>0.6370502808368943</v>
      </c>
      <c r="AP54" s="304">
        <f t="shared" si="26"/>
        <v>0.64079422458717661</v>
      </c>
      <c r="AQ54" s="304">
        <f t="shared" si="26"/>
        <v>0.64453995807113551</v>
      </c>
      <c r="AR54" s="304">
        <f t="shared" si="26"/>
        <v>0.64794261032731815</v>
      </c>
      <c r="AS54" s="304">
        <f t="shared" si="26"/>
        <v>0.65103714801983203</v>
      </c>
      <c r="AT54" s="304">
        <f t="shared" si="26"/>
        <v>0.65390026223364717</v>
      </c>
      <c r="AU54" s="305">
        <f t="shared" si="26"/>
        <v>0.65696872418138652</v>
      </c>
      <c r="AW54" s="303">
        <f t="shared" si="24"/>
        <v>1.6028858500462317E-2</v>
      </c>
      <c r="AX54" s="303">
        <f t="shared" si="25"/>
        <v>7.9231782566441478E-2</v>
      </c>
    </row>
    <row r="55" spans="1:50" x14ac:dyDescent="0.25">
      <c r="B55" s="261" t="s">
        <v>472</v>
      </c>
      <c r="C55" s="306">
        <f t="shared" si="26"/>
        <v>0.10294003467584159</v>
      </c>
      <c r="D55" s="306">
        <f t="shared" si="26"/>
        <v>0.1083433725412867</v>
      </c>
      <c r="E55" s="306">
        <f t="shared" si="26"/>
        <v>0.11183099914547857</v>
      </c>
      <c r="F55" s="306">
        <f t="shared" si="26"/>
        <v>0.11706173644083676</v>
      </c>
      <c r="G55" s="306">
        <f t="shared" si="26"/>
        <v>0.12030415575988278</v>
      </c>
      <c r="H55" s="306">
        <f t="shared" si="26"/>
        <v>0.12752218236645294</v>
      </c>
      <c r="I55" s="306">
        <f t="shared" si="26"/>
        <v>0.13186362529040621</v>
      </c>
      <c r="J55" s="306">
        <f t="shared" si="26"/>
        <v>0.13510528088577356</v>
      </c>
      <c r="K55" s="306">
        <f t="shared" si="26"/>
        <v>0.13936710366527241</v>
      </c>
      <c r="L55" s="306">
        <f t="shared" si="26"/>
        <v>0.13982477770941423</v>
      </c>
      <c r="M55" s="306">
        <f t="shared" si="26"/>
        <v>0.13733921757029297</v>
      </c>
      <c r="N55" s="306">
        <f t="shared" si="26"/>
        <v>0.13824821240251062</v>
      </c>
      <c r="O55" s="306">
        <f t="shared" si="26"/>
        <v>0.14154979112428248</v>
      </c>
      <c r="P55" s="306">
        <f t="shared" si="26"/>
        <v>0.13979276467477736</v>
      </c>
      <c r="Q55" s="306">
        <f t="shared" si="26"/>
        <v>4.8282042711321672E-2</v>
      </c>
      <c r="R55" s="306">
        <f t="shared" si="26"/>
        <v>0.13480498747308672</v>
      </c>
      <c r="S55" s="306">
        <f t="shared" si="26"/>
        <v>0.13436871347913015</v>
      </c>
      <c r="T55" s="306">
        <f t="shared" si="26"/>
        <v>0.13461115822582484</v>
      </c>
      <c r="U55" s="306">
        <f t="shared" si="26"/>
        <v>0.13626208643072488</v>
      </c>
      <c r="V55" s="306">
        <f t="shared" si="26"/>
        <v>0.1375214749687162</v>
      </c>
      <c r="W55" s="306">
        <f t="shared" si="26"/>
        <v>0.13843877674783336</v>
      </c>
      <c r="X55" s="306">
        <f t="shared" si="26"/>
        <v>0.13911301033899276</v>
      </c>
      <c r="Y55" s="306">
        <f t="shared" si="26"/>
        <v>0.13995598464588052</v>
      </c>
      <c r="Z55" s="306">
        <f t="shared" si="26"/>
        <v>0.14086806490905202</v>
      </c>
      <c r="AA55" s="306">
        <f t="shared" si="26"/>
        <v>4.9933230161828629E-2</v>
      </c>
      <c r="AB55" s="306">
        <f t="shared" si="26"/>
        <v>0.1424941294819661</v>
      </c>
      <c r="AC55" s="306">
        <f t="shared" si="26"/>
        <v>0.14244389240758806</v>
      </c>
      <c r="AD55" s="306">
        <f t="shared" si="26"/>
        <v>0.14271144165605965</v>
      </c>
      <c r="AE55" s="306">
        <f t="shared" si="26"/>
        <v>0.14307693628276971</v>
      </c>
      <c r="AF55" s="306">
        <f t="shared" si="26"/>
        <v>0.14272899431739655</v>
      </c>
      <c r="AG55" s="306">
        <f t="shared" si="26"/>
        <v>0.14366184976607835</v>
      </c>
      <c r="AH55" s="306">
        <f t="shared" si="26"/>
        <v>0.14431305372551986</v>
      </c>
      <c r="AI55" s="306">
        <f t="shared" si="26"/>
        <v>0.14482769173367019</v>
      </c>
      <c r="AJ55" s="306">
        <f t="shared" si="26"/>
        <v>0.14525095965682011</v>
      </c>
      <c r="AK55" s="306">
        <f t="shared" si="26"/>
        <v>0.14562944781327178</v>
      </c>
      <c r="AL55" s="306">
        <f t="shared" si="26"/>
        <v>0.14595775091654239</v>
      </c>
      <c r="AM55" s="306">
        <f t="shared" si="26"/>
        <v>0.14630585479882582</v>
      </c>
      <c r="AN55" s="306">
        <f t="shared" si="26"/>
        <v>0.14668833034565307</v>
      </c>
      <c r="AO55" s="306">
        <f t="shared" si="26"/>
        <v>0.14707435209907788</v>
      </c>
      <c r="AP55" s="306">
        <f t="shared" si="26"/>
        <v>0.14772737673845132</v>
      </c>
      <c r="AQ55" s="306">
        <f t="shared" si="26"/>
        <v>0.14830243762882864</v>
      </c>
      <c r="AR55" s="306">
        <f t="shared" si="26"/>
        <v>0.14885307989825275</v>
      </c>
      <c r="AS55" s="306">
        <f t="shared" si="26"/>
        <v>0.14935874338076977</v>
      </c>
      <c r="AT55" s="306">
        <f t="shared" si="26"/>
        <v>0.14982717884586308</v>
      </c>
      <c r="AU55" s="307">
        <f t="shared" si="26"/>
        <v>5.3663609848099487E-2</v>
      </c>
      <c r="AW55" s="303">
        <f t="shared" si="24"/>
        <v>-8.985953451294873E-2</v>
      </c>
      <c r="AX55" s="303">
        <f t="shared" si="25"/>
        <v>-8.6129154826677878E-2</v>
      </c>
    </row>
    <row r="56" spans="1:50" x14ac:dyDescent="0.25">
      <c r="B56" s="249" t="s">
        <v>473</v>
      </c>
      <c r="C56" s="308">
        <f t="shared" si="26"/>
        <v>0.84019670780873068</v>
      </c>
      <c r="D56" s="308">
        <f t="shared" si="26"/>
        <v>0.83556197887312789</v>
      </c>
      <c r="E56" s="308">
        <f t="shared" si="26"/>
        <v>0.83322156017510296</v>
      </c>
      <c r="F56" s="308">
        <f t="shared" si="26"/>
        <v>0.8286199591610931</v>
      </c>
      <c r="G56" s="308">
        <f t="shared" si="26"/>
        <v>0.82607260005591765</v>
      </c>
      <c r="H56" s="308">
        <f t="shared" si="26"/>
        <v>0.81954795078079468</v>
      </c>
      <c r="I56" s="308">
        <f t="shared" si="26"/>
        <v>0.81685073091679949</v>
      </c>
      <c r="J56" s="308">
        <f t="shared" si="26"/>
        <v>0.81481284113109509</v>
      </c>
      <c r="K56" s="308">
        <f t="shared" si="26"/>
        <v>0.8113467685188408</v>
      </c>
      <c r="L56" s="308">
        <f t="shared" si="26"/>
        <v>0.81231917345335913</v>
      </c>
      <c r="M56" s="308">
        <f t="shared" si="26"/>
        <v>0.81474819011508226</v>
      </c>
      <c r="N56" s="308">
        <f t="shared" si="26"/>
        <v>0.81319208417971456</v>
      </c>
      <c r="O56" s="308">
        <f t="shared" si="26"/>
        <v>0.80947574330299255</v>
      </c>
      <c r="P56" s="308">
        <f t="shared" si="26"/>
        <v>0.81147966308867636</v>
      </c>
      <c r="Q56" s="308">
        <f t="shared" si="26"/>
        <v>0.8144485391215468</v>
      </c>
      <c r="R56" s="308">
        <f t="shared" si="26"/>
        <v>0.81780438526753196</v>
      </c>
      <c r="S56" s="308">
        <f t="shared" si="26"/>
        <v>0.81836814758610821</v>
      </c>
      <c r="T56" s="308">
        <f t="shared" si="26"/>
        <v>0.81798398582707088</v>
      </c>
      <c r="U56" s="308">
        <f t="shared" si="26"/>
        <v>0.82940181133838264</v>
      </c>
      <c r="V56" s="308">
        <f t="shared" si="26"/>
        <v>0.83910279947498168</v>
      </c>
      <c r="W56" s="308">
        <f t="shared" si="26"/>
        <v>0.83308908154296513</v>
      </c>
      <c r="X56" s="308">
        <f t="shared" si="26"/>
        <v>0.83249250764145055</v>
      </c>
      <c r="Y56" s="308">
        <f t="shared" si="26"/>
        <v>0.83491327415617422</v>
      </c>
      <c r="Z56" s="308">
        <f t="shared" si="26"/>
        <v>0.83915161451059816</v>
      </c>
      <c r="AA56" s="308">
        <f t="shared" si="26"/>
        <v>0.84455804781180321</v>
      </c>
      <c r="AB56" s="308">
        <f t="shared" si="26"/>
        <v>0.84870534602606629</v>
      </c>
      <c r="AC56" s="308">
        <f t="shared" si="26"/>
        <v>0.85609806676535805</v>
      </c>
      <c r="AD56" s="308">
        <f t="shared" si="26"/>
        <v>0.86252901516311609</v>
      </c>
      <c r="AE56" s="308">
        <f t="shared" si="26"/>
        <v>0.8684452415388314</v>
      </c>
      <c r="AF56" s="308">
        <f t="shared" si="26"/>
        <v>0.87729215911403557</v>
      </c>
      <c r="AG56" s="308">
        <f t="shared" si="26"/>
        <v>0.88247838612921703</v>
      </c>
      <c r="AH56" s="308">
        <f t="shared" si="26"/>
        <v>0.88772707433527287</v>
      </c>
      <c r="AI56" s="308">
        <f t="shared" si="26"/>
        <v>0.89313953091630194</v>
      </c>
      <c r="AJ56" s="308">
        <f t="shared" si="26"/>
        <v>0.89843069761361527</v>
      </c>
      <c r="AK56" s="308">
        <f t="shared" si="26"/>
        <v>0.90381476306867392</v>
      </c>
      <c r="AL56" s="308">
        <f t="shared" si="26"/>
        <v>0.90965452270718683</v>
      </c>
      <c r="AM56" s="308">
        <f t="shared" si="26"/>
        <v>0.91486205103482909</v>
      </c>
      <c r="AN56" s="308">
        <f t="shared" si="26"/>
        <v>0.9198479519084316</v>
      </c>
      <c r="AO56" s="308">
        <f t="shared" si="26"/>
        <v>0.92465178261847347</v>
      </c>
      <c r="AP56" s="308">
        <f t="shared" si="26"/>
        <v>0.93100612806328686</v>
      </c>
      <c r="AQ56" s="308">
        <f t="shared" si="26"/>
        <v>0.93752040500497458</v>
      </c>
      <c r="AR56" s="308">
        <f t="shared" si="26"/>
        <v>0.94341505649454227</v>
      </c>
      <c r="AS56" s="308">
        <f t="shared" si="26"/>
        <v>0.94881518453171321</v>
      </c>
      <c r="AT56" s="308">
        <f t="shared" si="26"/>
        <v>0.95388003877871164</v>
      </c>
      <c r="AU56" s="309">
        <f t="shared" si="26"/>
        <v>0.95920486447342979</v>
      </c>
      <c r="AW56" s="310">
        <f>AA56-P56</f>
        <v>3.3078384723126852E-2</v>
      </c>
      <c r="AX56" s="310">
        <f>AU56-P56</f>
        <v>0.14772520138475342</v>
      </c>
    </row>
    <row r="57" spans="1:50" x14ac:dyDescent="0.25"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  <c r="AR57" s="212"/>
      <c r="AS57" s="212"/>
      <c r="AT57" s="212"/>
      <c r="AU57" s="212"/>
      <c r="AW57" s="253"/>
    </row>
    <row r="58" spans="1:50" s="244" customFormat="1" ht="45" customHeight="1" x14ac:dyDescent="0.25">
      <c r="A58" s="239" t="str">
        <f>"Ecarts "&amp;[5]Résultats!B1&amp;"  - TEND"</f>
        <v>Ecarts SNBC3  - TEND</v>
      </c>
      <c r="B58" s="266" t="s">
        <v>501</v>
      </c>
      <c r="C58" s="242">
        <v>2006</v>
      </c>
      <c r="D58" s="242">
        <v>2007</v>
      </c>
      <c r="E58" s="242">
        <v>2008</v>
      </c>
      <c r="F58" s="242">
        <v>2009</v>
      </c>
      <c r="G58" s="242">
        <v>2010</v>
      </c>
      <c r="H58" s="242">
        <v>2011</v>
      </c>
      <c r="I58" s="242">
        <v>2012</v>
      </c>
      <c r="J58" s="242">
        <v>2013</v>
      </c>
      <c r="K58" s="242">
        <v>2014</v>
      </c>
      <c r="L58" s="242">
        <v>2015</v>
      </c>
      <c r="M58" s="242">
        <v>2016</v>
      </c>
      <c r="N58" s="242">
        <v>2017</v>
      </c>
      <c r="O58" s="242">
        <v>2018</v>
      </c>
      <c r="P58" s="242">
        <v>2019</v>
      </c>
      <c r="Q58" s="242">
        <v>2020</v>
      </c>
      <c r="R58" s="242">
        <v>2021</v>
      </c>
      <c r="S58" s="242">
        <v>2022</v>
      </c>
      <c r="T58" s="242">
        <v>2023</v>
      </c>
      <c r="U58" s="242">
        <v>2024</v>
      </c>
      <c r="V58" s="242">
        <v>2025</v>
      </c>
      <c r="W58" s="242">
        <v>2026</v>
      </c>
      <c r="X58" s="242">
        <v>2027</v>
      </c>
      <c r="Y58" s="242">
        <v>2028</v>
      </c>
      <c r="Z58" s="242">
        <v>2029</v>
      </c>
      <c r="AA58" s="242">
        <v>2030</v>
      </c>
      <c r="AB58" s="242">
        <v>2031</v>
      </c>
      <c r="AC58" s="242">
        <v>2032</v>
      </c>
      <c r="AD58" s="242">
        <v>2033</v>
      </c>
      <c r="AE58" s="242">
        <v>2034</v>
      </c>
      <c r="AF58" s="242">
        <v>2035</v>
      </c>
      <c r="AG58" s="242">
        <v>2036</v>
      </c>
      <c r="AH58" s="242">
        <v>2037</v>
      </c>
      <c r="AI58" s="242">
        <v>2038</v>
      </c>
      <c r="AJ58" s="242">
        <v>2039</v>
      </c>
      <c r="AK58" s="242">
        <v>2040</v>
      </c>
      <c r="AL58" s="242">
        <v>2041</v>
      </c>
      <c r="AM58" s="242">
        <v>2042</v>
      </c>
      <c r="AN58" s="242">
        <v>2043</v>
      </c>
      <c r="AO58" s="242">
        <v>2044</v>
      </c>
      <c r="AP58" s="242">
        <v>2045</v>
      </c>
      <c r="AQ58" s="242">
        <v>2046</v>
      </c>
      <c r="AR58" s="242">
        <v>2047</v>
      </c>
      <c r="AS58" s="242">
        <v>2048</v>
      </c>
      <c r="AT58" s="242">
        <v>2049</v>
      </c>
      <c r="AU58" s="243">
        <v>2050</v>
      </c>
      <c r="AV58" s="267"/>
    </row>
    <row r="59" spans="1:50" x14ac:dyDescent="0.25">
      <c r="B59" s="245" t="s">
        <v>1</v>
      </c>
      <c r="C59" s="311"/>
      <c r="D59" s="311"/>
      <c r="E59" s="311"/>
      <c r="F59" s="311"/>
      <c r="G59" s="311"/>
      <c r="H59" s="311"/>
      <c r="I59" s="311"/>
      <c r="J59" s="311"/>
      <c r="K59" s="311"/>
      <c r="L59" s="311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  <c r="X59" s="311"/>
      <c r="Y59" s="311"/>
      <c r="Z59" s="311"/>
      <c r="AA59" s="311"/>
      <c r="AB59" s="311"/>
      <c r="AC59" s="311"/>
      <c r="AD59" s="311"/>
      <c r="AE59" s="311"/>
      <c r="AF59" s="311"/>
      <c r="AG59" s="311"/>
      <c r="AH59" s="311"/>
      <c r="AI59" s="311"/>
      <c r="AJ59" s="311"/>
      <c r="AK59" s="311"/>
      <c r="AL59" s="311"/>
      <c r="AM59" s="311"/>
      <c r="AN59" s="311"/>
      <c r="AO59" s="311"/>
      <c r="AP59" s="311"/>
      <c r="AQ59" s="311"/>
      <c r="AR59" s="311"/>
      <c r="AS59" s="311"/>
      <c r="AT59" s="311"/>
      <c r="AU59" s="311"/>
      <c r="AV59" s="268"/>
    </row>
    <row r="60" spans="1:50" x14ac:dyDescent="0.25">
      <c r="B60" s="249" t="s">
        <v>466</v>
      </c>
      <c r="C60" s="308"/>
      <c r="D60" s="308"/>
      <c r="E60" s="308"/>
      <c r="F60" s="308"/>
      <c r="G60" s="308"/>
      <c r="H60" s="308"/>
      <c r="I60" s="308"/>
      <c r="J60" s="308"/>
      <c r="K60" s="308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  <c r="AA60" s="308"/>
      <c r="AB60" s="308"/>
      <c r="AC60" s="308"/>
      <c r="AD60" s="308"/>
      <c r="AE60" s="308"/>
      <c r="AF60" s="308"/>
      <c r="AG60" s="308"/>
      <c r="AH60" s="308"/>
      <c r="AI60" s="308"/>
      <c r="AJ60" s="308"/>
      <c r="AK60" s="308"/>
      <c r="AL60" s="308"/>
      <c r="AM60" s="308"/>
      <c r="AN60" s="308"/>
      <c r="AO60" s="308"/>
      <c r="AP60" s="308"/>
      <c r="AQ60" s="308"/>
      <c r="AR60" s="308"/>
      <c r="AS60" s="308"/>
      <c r="AT60" s="308"/>
      <c r="AU60" s="308"/>
      <c r="AV60" s="268"/>
    </row>
    <row r="61" spans="1:50" x14ac:dyDescent="0.25">
      <c r="B61" s="254" t="s">
        <v>467</v>
      </c>
      <c r="C61" s="301">
        <f t="shared" ref="C61:AU66" si="27">C39-C50</f>
        <v>0</v>
      </c>
      <c r="D61" s="301">
        <f t="shared" si="27"/>
        <v>0</v>
      </c>
      <c r="E61" s="301">
        <f t="shared" si="27"/>
        <v>0</v>
      </c>
      <c r="F61" s="301">
        <f t="shared" si="27"/>
        <v>0</v>
      </c>
      <c r="G61" s="301">
        <f t="shared" si="27"/>
        <v>0</v>
      </c>
      <c r="H61" s="301">
        <f t="shared" si="27"/>
        <v>0</v>
      </c>
      <c r="I61" s="301">
        <f t="shared" si="27"/>
        <v>0</v>
      </c>
      <c r="J61" s="301">
        <f t="shared" si="27"/>
        <v>0</v>
      </c>
      <c r="K61" s="301">
        <f t="shared" si="27"/>
        <v>0</v>
      </c>
      <c r="L61" s="301">
        <f t="shared" si="27"/>
        <v>0</v>
      </c>
      <c r="M61" s="301">
        <f t="shared" si="27"/>
        <v>0</v>
      </c>
      <c r="N61" s="301">
        <f t="shared" si="27"/>
        <v>0</v>
      </c>
      <c r="O61" s="301">
        <f t="shared" si="27"/>
        <v>0</v>
      </c>
      <c r="P61" s="301">
        <f t="shared" si="27"/>
        <v>0</v>
      </c>
      <c r="Q61" s="301">
        <f t="shared" si="27"/>
        <v>4.41540196345791E-4</v>
      </c>
      <c r="R61" s="301">
        <f t="shared" si="27"/>
        <v>-8.6897131876359113E-2</v>
      </c>
      <c r="S61" s="301">
        <f t="shared" si="27"/>
        <v>-8.6585114554288301E-2</v>
      </c>
      <c r="T61" s="301">
        <f t="shared" si="27"/>
        <v>-8.6736032483735903E-2</v>
      </c>
      <c r="U61" s="301">
        <f t="shared" si="27"/>
        <v>-0.10305939410221115</v>
      </c>
      <c r="V61" s="301">
        <f t="shared" si="27"/>
        <v>-0.11614720011323609</v>
      </c>
      <c r="W61" s="301">
        <f t="shared" si="27"/>
        <v>-0.10944318441846024</v>
      </c>
      <c r="X61" s="301">
        <f t="shared" si="27"/>
        <v>-0.10763322792636038</v>
      </c>
      <c r="Y61" s="301">
        <f t="shared" si="27"/>
        <v>-0.10835785572954659</v>
      </c>
      <c r="Z61" s="301">
        <f t="shared" si="27"/>
        <v>-0.11082040807357657</v>
      </c>
      <c r="AA61" s="301">
        <f t="shared" si="27"/>
        <v>4.688312008501061E-3</v>
      </c>
      <c r="AB61" s="301">
        <f t="shared" si="27"/>
        <v>-0.11632839558405356</v>
      </c>
      <c r="AC61" s="301">
        <f t="shared" si="27"/>
        <v>-0.12034556383104755</v>
      </c>
      <c r="AD61" s="301">
        <f t="shared" si="27"/>
        <v>-0.12375045495497261</v>
      </c>
      <c r="AE61" s="301">
        <f t="shared" si="27"/>
        <v>-0.12688490258083729</v>
      </c>
      <c r="AF61" s="301">
        <f t="shared" si="27"/>
        <v>-0.13152006344621242</v>
      </c>
      <c r="AG61" s="301">
        <f t="shared" si="27"/>
        <v>-0.13485706588885193</v>
      </c>
      <c r="AH61" s="301">
        <f t="shared" si="27"/>
        <v>-0.13807819211301381</v>
      </c>
      <c r="AI61" s="301">
        <f t="shared" si="27"/>
        <v>-0.14117032190382017</v>
      </c>
      <c r="AJ61" s="301">
        <f t="shared" si="27"/>
        <v>-0.14425342209605374</v>
      </c>
      <c r="AK61" s="301">
        <f t="shared" si="27"/>
        <v>-0.14729961999552615</v>
      </c>
      <c r="AL61" s="301">
        <f t="shared" si="27"/>
        <v>-0.15054504234610272</v>
      </c>
      <c r="AM61" s="301">
        <f t="shared" si="27"/>
        <v>-0.15356568528875209</v>
      </c>
      <c r="AN61" s="301">
        <f t="shared" si="27"/>
        <v>-0.15641855761410878</v>
      </c>
      <c r="AO61" s="301">
        <f t="shared" si="27"/>
        <v>-0.15922811819208704</v>
      </c>
      <c r="AP61" s="301">
        <f t="shared" si="27"/>
        <v>-0.16378746468710714</v>
      </c>
      <c r="AQ61" s="301">
        <f t="shared" si="27"/>
        <v>-0.16810049486886941</v>
      </c>
      <c r="AR61" s="301">
        <f t="shared" si="27"/>
        <v>-0.17202236223184625</v>
      </c>
      <c r="AS61" s="301">
        <f t="shared" si="27"/>
        <v>-0.17571309214667097</v>
      </c>
      <c r="AT61" s="301">
        <f t="shared" si="27"/>
        <v>-0.17923752661869202</v>
      </c>
      <c r="AU61" s="302">
        <f t="shared" si="27"/>
        <v>6.0155808710650183E-3</v>
      </c>
      <c r="AV61" s="268"/>
    </row>
    <row r="62" spans="1:50" x14ac:dyDescent="0.25">
      <c r="B62" s="258" t="s">
        <v>468</v>
      </c>
      <c r="C62" s="304">
        <f t="shared" si="27"/>
        <v>0</v>
      </c>
      <c r="D62" s="304">
        <f t="shared" si="27"/>
        <v>0</v>
      </c>
      <c r="E62" s="304">
        <f t="shared" si="27"/>
        <v>0</v>
      </c>
      <c r="F62" s="304">
        <f t="shared" si="27"/>
        <v>0</v>
      </c>
      <c r="G62" s="304">
        <f t="shared" si="27"/>
        <v>0</v>
      </c>
      <c r="H62" s="304">
        <f t="shared" si="27"/>
        <v>0</v>
      </c>
      <c r="I62" s="304">
        <f t="shared" si="27"/>
        <v>0</v>
      </c>
      <c r="J62" s="304">
        <f t="shared" si="27"/>
        <v>0</v>
      </c>
      <c r="K62" s="304">
        <f t="shared" si="27"/>
        <v>0</v>
      </c>
      <c r="L62" s="304">
        <f t="shared" si="27"/>
        <v>0</v>
      </c>
      <c r="M62" s="304">
        <f t="shared" si="27"/>
        <v>0</v>
      </c>
      <c r="N62" s="304">
        <f t="shared" si="27"/>
        <v>0</v>
      </c>
      <c r="O62" s="304">
        <f t="shared" si="27"/>
        <v>0</v>
      </c>
      <c r="P62" s="304">
        <f t="shared" si="27"/>
        <v>0</v>
      </c>
      <c r="Q62" s="304">
        <f t="shared" si="27"/>
        <v>0</v>
      </c>
      <c r="R62" s="304">
        <f t="shared" si="27"/>
        <v>0</v>
      </c>
      <c r="S62" s="304">
        <f t="shared" si="27"/>
        <v>0</v>
      </c>
      <c r="T62" s="304">
        <f t="shared" si="27"/>
        <v>-7.1323882662177596E-6</v>
      </c>
      <c r="U62" s="304">
        <f t="shared" si="27"/>
        <v>-1.806590013872264E-2</v>
      </c>
      <c r="V62" s="304">
        <f t="shared" si="27"/>
        <v>-3.2720569618049755E-2</v>
      </c>
      <c r="W62" s="304">
        <f t="shared" si="27"/>
        <v>-2.5038216837521193E-2</v>
      </c>
      <c r="X62" s="304">
        <f t="shared" si="27"/>
        <v>-2.2993434159247234E-2</v>
      </c>
      <c r="Y62" s="304">
        <f t="shared" si="27"/>
        <v>-2.3546216931650904E-2</v>
      </c>
      <c r="Z62" s="304">
        <f t="shared" si="27"/>
        <v>-2.5948317274496591E-2</v>
      </c>
      <c r="AA62" s="304">
        <f t="shared" si="27"/>
        <v>-2.937428194424474E-2</v>
      </c>
      <c r="AB62" s="304">
        <f t="shared" si="27"/>
        <v>-3.1148267136853369E-2</v>
      </c>
      <c r="AC62" s="304">
        <f t="shared" si="27"/>
        <v>-3.5642968048489904E-2</v>
      </c>
      <c r="AD62" s="304">
        <f t="shared" si="27"/>
        <v>-3.9153121255815299E-2</v>
      </c>
      <c r="AE62" s="304">
        <f t="shared" si="27"/>
        <v>-4.2278585765368248E-2</v>
      </c>
      <c r="AF62" s="304">
        <f t="shared" si="27"/>
        <v>-4.7617217132309403E-2</v>
      </c>
      <c r="AG62" s="304">
        <f t="shared" si="27"/>
        <v>-5.0548379970091234E-2</v>
      </c>
      <c r="AH62" s="304">
        <f t="shared" si="27"/>
        <v>-5.3587094720817824E-2</v>
      </c>
      <c r="AI62" s="304">
        <f t="shared" si="27"/>
        <v>-5.6562221438359456E-2</v>
      </c>
      <c r="AJ62" s="304">
        <f t="shared" si="27"/>
        <v>-5.9617277909758321E-2</v>
      </c>
      <c r="AK62" s="304">
        <f t="shared" si="27"/>
        <v>-6.2641697172836797E-2</v>
      </c>
      <c r="AL62" s="304">
        <f t="shared" si="27"/>
        <v>-6.5915033468381762E-2</v>
      </c>
      <c r="AM62" s="304">
        <f t="shared" si="27"/>
        <v>-6.8958278705812476E-2</v>
      </c>
      <c r="AN62" s="304">
        <f t="shared" si="27"/>
        <v>-7.1772650034554186E-2</v>
      </c>
      <c r="AO62" s="304">
        <f t="shared" si="27"/>
        <v>-7.4535392677050671E-2</v>
      </c>
      <c r="AP62" s="304">
        <f t="shared" si="27"/>
        <v>-7.9035614479916055E-2</v>
      </c>
      <c r="AQ62" s="304">
        <f t="shared" si="27"/>
        <v>-8.3249494409279645E-2</v>
      </c>
      <c r="AR62" s="304">
        <f t="shared" si="27"/>
        <v>-8.7070642700952605E-2</v>
      </c>
      <c r="AS62" s="304">
        <f t="shared" si="27"/>
        <v>-9.069904905486656E-2</v>
      </c>
      <c r="AT62" s="304">
        <f t="shared" si="27"/>
        <v>-9.4172990011909569E-2</v>
      </c>
      <c r="AU62" s="305">
        <f t="shared" si="27"/>
        <v>-9.7040578630774005E-2</v>
      </c>
      <c r="AV62" s="268"/>
    </row>
    <row r="63" spans="1:50" x14ac:dyDescent="0.25">
      <c r="B63" s="261" t="s">
        <v>469</v>
      </c>
      <c r="C63" s="306">
        <f t="shared" si="27"/>
        <v>0</v>
      </c>
      <c r="D63" s="306">
        <f t="shared" si="27"/>
        <v>0</v>
      </c>
      <c r="E63" s="306">
        <f t="shared" si="27"/>
        <v>0</v>
      </c>
      <c r="F63" s="306">
        <f t="shared" si="27"/>
        <v>0</v>
      </c>
      <c r="G63" s="306">
        <f t="shared" si="27"/>
        <v>0</v>
      </c>
      <c r="H63" s="306">
        <f t="shared" si="27"/>
        <v>0</v>
      </c>
      <c r="I63" s="306">
        <f t="shared" si="27"/>
        <v>0</v>
      </c>
      <c r="J63" s="306">
        <f t="shared" si="27"/>
        <v>0</v>
      </c>
      <c r="K63" s="306">
        <f t="shared" si="27"/>
        <v>0</v>
      </c>
      <c r="L63" s="306">
        <f t="shared" si="27"/>
        <v>0</v>
      </c>
      <c r="M63" s="306">
        <f t="shared" si="27"/>
        <v>0</v>
      </c>
      <c r="N63" s="306">
        <f t="shared" si="27"/>
        <v>0</v>
      </c>
      <c r="O63" s="306">
        <f t="shared" si="27"/>
        <v>0</v>
      </c>
      <c r="P63" s="306">
        <f t="shared" si="27"/>
        <v>0</v>
      </c>
      <c r="Q63" s="306">
        <f t="shared" si="27"/>
        <v>0</v>
      </c>
      <c r="R63" s="306">
        <f t="shared" si="27"/>
        <v>0</v>
      </c>
      <c r="S63" s="306">
        <f t="shared" si="27"/>
        <v>0</v>
      </c>
      <c r="T63" s="306">
        <f t="shared" si="27"/>
        <v>6.4148564855245893E-6</v>
      </c>
      <c r="U63" s="306">
        <f t="shared" si="27"/>
        <v>2.7824468067281088E-3</v>
      </c>
      <c r="V63" s="306">
        <f t="shared" si="27"/>
        <v>5.1398672049960403E-3</v>
      </c>
      <c r="W63" s="306">
        <f t="shared" si="27"/>
        <v>4.7771538484707929E-3</v>
      </c>
      <c r="X63" s="306">
        <f t="shared" si="27"/>
        <v>4.9748977789176863E-3</v>
      </c>
      <c r="Y63" s="306">
        <f t="shared" si="27"/>
        <v>5.3356990359568132E-3</v>
      </c>
      <c r="Z63" s="306">
        <f t="shared" si="27"/>
        <v>5.8490648486126673E-3</v>
      </c>
      <c r="AA63" s="306">
        <f t="shared" si="27"/>
        <v>3.3496214013112896E-2</v>
      </c>
      <c r="AB63" s="306">
        <f t="shared" si="27"/>
        <v>6.5614027130530481E-3</v>
      </c>
      <c r="AC63" s="306">
        <f t="shared" si="27"/>
        <v>6.949959255693354E-3</v>
      </c>
      <c r="AD63" s="306">
        <f t="shared" si="27"/>
        <v>7.1894609483939345E-3</v>
      </c>
      <c r="AE63" s="306">
        <f t="shared" si="27"/>
        <v>7.3856448086643683E-3</v>
      </c>
      <c r="AF63" s="306">
        <f t="shared" si="27"/>
        <v>7.7739167379304308E-3</v>
      </c>
      <c r="AG63" s="306">
        <f t="shared" si="27"/>
        <v>7.9598182869992512E-3</v>
      </c>
      <c r="AH63" s="306">
        <f t="shared" si="27"/>
        <v>8.1724502486852091E-3</v>
      </c>
      <c r="AI63" s="306">
        <f t="shared" si="27"/>
        <v>8.3520657844168428E-3</v>
      </c>
      <c r="AJ63" s="306">
        <f t="shared" si="27"/>
        <v>8.5565894944799395E-3</v>
      </c>
      <c r="AK63" s="306">
        <f t="shared" si="27"/>
        <v>8.7354703757229687E-3</v>
      </c>
      <c r="AL63" s="306">
        <f t="shared" si="27"/>
        <v>8.923279246852954E-3</v>
      </c>
      <c r="AM63" s="306">
        <f t="shared" si="27"/>
        <v>9.1225427866516995E-3</v>
      </c>
      <c r="AN63" s="306">
        <f t="shared" si="27"/>
        <v>9.2860348019876068E-3</v>
      </c>
      <c r="AO63" s="306">
        <f t="shared" si="27"/>
        <v>9.4447026400473338E-3</v>
      </c>
      <c r="AP63" s="306">
        <f t="shared" si="27"/>
        <v>9.7625046950080285E-3</v>
      </c>
      <c r="AQ63" s="306">
        <f t="shared" si="27"/>
        <v>9.981610718770538E-3</v>
      </c>
      <c r="AR63" s="306">
        <f t="shared" si="27"/>
        <v>1.0186188564667215E-2</v>
      </c>
      <c r="AS63" s="306">
        <f t="shared" si="27"/>
        <v>1.0402764460661081E-2</v>
      </c>
      <c r="AT63" s="306">
        <f t="shared" si="27"/>
        <v>1.0612596158176987E-2</v>
      </c>
      <c r="AU63" s="307">
        <f t="shared" si="27"/>
        <v>0.10233828693103456</v>
      </c>
      <c r="AV63" s="268"/>
    </row>
    <row r="64" spans="1:50" x14ac:dyDescent="0.25">
      <c r="B64" s="258" t="s">
        <v>470</v>
      </c>
      <c r="C64" s="304">
        <f t="shared" si="27"/>
        <v>0</v>
      </c>
      <c r="D64" s="304">
        <f t="shared" si="27"/>
        <v>0</v>
      </c>
      <c r="E64" s="304">
        <f t="shared" si="27"/>
        <v>0</v>
      </c>
      <c r="F64" s="304">
        <f t="shared" si="27"/>
        <v>0</v>
      </c>
      <c r="G64" s="304">
        <f t="shared" si="27"/>
        <v>0</v>
      </c>
      <c r="H64" s="304">
        <f t="shared" si="27"/>
        <v>0</v>
      </c>
      <c r="I64" s="304">
        <f t="shared" si="27"/>
        <v>0</v>
      </c>
      <c r="J64" s="304">
        <f t="shared" si="27"/>
        <v>0</v>
      </c>
      <c r="K64" s="304">
        <f t="shared" si="27"/>
        <v>0</v>
      </c>
      <c r="L64" s="304">
        <f t="shared" si="27"/>
        <v>0</v>
      </c>
      <c r="M64" s="304">
        <f t="shared" si="27"/>
        <v>0</v>
      </c>
      <c r="N64" s="304">
        <f t="shared" si="27"/>
        <v>0</v>
      </c>
      <c r="O64" s="304">
        <f t="shared" si="27"/>
        <v>0</v>
      </c>
      <c r="P64" s="304">
        <f t="shared" si="27"/>
        <v>0</v>
      </c>
      <c r="Q64" s="304">
        <f t="shared" si="27"/>
        <v>2.6200813917354182E-5</v>
      </c>
      <c r="R64" s="304">
        <f t="shared" si="27"/>
        <v>8.5626365806373284E-2</v>
      </c>
      <c r="S64" s="304">
        <f t="shared" si="27"/>
        <v>8.4743881762058382E-2</v>
      </c>
      <c r="T64" s="304">
        <f t="shared" si="27"/>
        <v>8.4369235702306811E-2</v>
      </c>
      <c r="U64" s="304">
        <f t="shared" si="27"/>
        <v>8.6407703829719074E-2</v>
      </c>
      <c r="V64" s="304">
        <f t="shared" si="27"/>
        <v>8.7453780206492526E-2</v>
      </c>
      <c r="W64" s="304">
        <f t="shared" si="27"/>
        <v>8.5003893618393445E-2</v>
      </c>
      <c r="X64" s="304">
        <f t="shared" si="27"/>
        <v>8.228685569731109E-2</v>
      </c>
      <c r="Y64" s="304">
        <f t="shared" si="27"/>
        <v>7.8830931556381878E-2</v>
      </c>
      <c r="Z64" s="304">
        <f t="shared" si="27"/>
        <v>7.5184077826153217E-2</v>
      </c>
      <c r="AA64" s="304">
        <f t="shared" si="27"/>
        <v>-4.7668852692740682E-2</v>
      </c>
      <c r="AB64" s="304">
        <f t="shared" si="27"/>
        <v>6.764409246837022E-2</v>
      </c>
      <c r="AC64" s="304">
        <f t="shared" si="27"/>
        <v>6.3666423369095004E-2</v>
      </c>
      <c r="AD64" s="304">
        <f t="shared" si="27"/>
        <v>5.9603283452605016E-2</v>
      </c>
      <c r="AE64" s="304">
        <f t="shared" si="27"/>
        <v>5.5649649561525627E-2</v>
      </c>
      <c r="AF64" s="304">
        <f t="shared" si="27"/>
        <v>5.1201371788616723E-2</v>
      </c>
      <c r="AG64" s="304">
        <f t="shared" si="27"/>
        <v>4.7402612910398711E-2</v>
      </c>
      <c r="AH64" s="304">
        <f t="shared" si="27"/>
        <v>4.3792014025832882E-2</v>
      </c>
      <c r="AI64" s="304">
        <f t="shared" si="27"/>
        <v>4.0059891572680528E-2</v>
      </c>
      <c r="AJ64" s="304">
        <f t="shared" si="27"/>
        <v>3.6556145890237035E-2</v>
      </c>
      <c r="AK64" s="304">
        <f t="shared" si="27"/>
        <v>3.2974970776196044E-2</v>
      </c>
      <c r="AL64" s="304">
        <f t="shared" si="27"/>
        <v>2.9189235941796121E-2</v>
      </c>
      <c r="AM64" s="304">
        <f t="shared" si="27"/>
        <v>2.5785001630521553E-2</v>
      </c>
      <c r="AN64" s="304">
        <f t="shared" si="27"/>
        <v>2.2385283308588133E-2</v>
      </c>
      <c r="AO64" s="304">
        <f t="shared" si="27"/>
        <v>1.911612152130493E-2</v>
      </c>
      <c r="AP64" s="304">
        <f t="shared" si="27"/>
        <v>1.5649734681091432E-2</v>
      </c>
      <c r="AQ64" s="304">
        <f t="shared" si="27"/>
        <v>1.1867891051602353E-2</v>
      </c>
      <c r="AR64" s="304">
        <f t="shared" si="27"/>
        <v>8.3499815422830581E-3</v>
      </c>
      <c r="AS64" s="304">
        <f t="shared" si="27"/>
        <v>5.1595863512858831E-3</v>
      </c>
      <c r="AT64" s="304">
        <f t="shared" si="27"/>
        <v>2.1938265272208879E-3</v>
      </c>
      <c r="AU64" s="305">
        <f t="shared" si="27"/>
        <v>-0.18991686346293279</v>
      </c>
      <c r="AV64" s="268"/>
    </row>
    <row r="65" spans="2:48" x14ac:dyDescent="0.25">
      <c r="B65" s="258" t="s">
        <v>471</v>
      </c>
      <c r="C65" s="304">
        <f t="shared" si="27"/>
        <v>0</v>
      </c>
      <c r="D65" s="304">
        <f t="shared" si="27"/>
        <v>0</v>
      </c>
      <c r="E65" s="304">
        <f t="shared" si="27"/>
        <v>0</v>
      </c>
      <c r="F65" s="304">
        <f t="shared" si="27"/>
        <v>0</v>
      </c>
      <c r="G65" s="304">
        <f t="shared" si="27"/>
        <v>0</v>
      </c>
      <c r="H65" s="304">
        <f t="shared" si="27"/>
        <v>0</v>
      </c>
      <c r="I65" s="304">
        <f t="shared" si="27"/>
        <v>0</v>
      </c>
      <c r="J65" s="304">
        <f t="shared" si="27"/>
        <v>0</v>
      </c>
      <c r="K65" s="304">
        <f t="shared" si="27"/>
        <v>0</v>
      </c>
      <c r="L65" s="304">
        <f t="shared" si="27"/>
        <v>0</v>
      </c>
      <c r="M65" s="304">
        <f t="shared" si="27"/>
        <v>0</v>
      </c>
      <c r="N65" s="304">
        <f t="shared" si="27"/>
        <v>0</v>
      </c>
      <c r="O65" s="304">
        <f t="shared" si="27"/>
        <v>0</v>
      </c>
      <c r="P65" s="304">
        <f t="shared" si="27"/>
        <v>0</v>
      </c>
      <c r="Q65" s="304">
        <f t="shared" si="27"/>
        <v>0</v>
      </c>
      <c r="R65" s="304">
        <f t="shared" si="27"/>
        <v>0</v>
      </c>
      <c r="S65" s="304">
        <f t="shared" si="27"/>
        <v>0</v>
      </c>
      <c r="T65" s="304">
        <f t="shared" si="27"/>
        <v>4.0404726007192693E-5</v>
      </c>
      <c r="U65" s="304">
        <f t="shared" si="27"/>
        <v>-9.7727072109183855E-3</v>
      </c>
      <c r="V65" s="304">
        <f t="shared" si="27"/>
        <v>-1.9199902193954288E-2</v>
      </c>
      <c r="W65" s="304">
        <f t="shared" si="27"/>
        <v>-2.2121132465040882E-2</v>
      </c>
      <c r="X65" s="304">
        <f t="shared" si="27"/>
        <v>-2.6720150476552074E-2</v>
      </c>
      <c r="Y65" s="304">
        <f t="shared" si="27"/>
        <v>-3.2729228062445048E-2</v>
      </c>
      <c r="Z65" s="304">
        <f t="shared" si="27"/>
        <v>-3.9526806123357461E-2</v>
      </c>
      <c r="AA65" s="304">
        <f t="shared" si="27"/>
        <v>-4.6866996280444106E-2</v>
      </c>
      <c r="AB65" s="304">
        <f t="shared" si="27"/>
        <v>-5.2826442432794329E-2</v>
      </c>
      <c r="AC65" s="304">
        <f t="shared" si="27"/>
        <v>-5.9550040583412844E-2</v>
      </c>
      <c r="AD65" s="304">
        <f t="shared" si="27"/>
        <v>-6.6266068210116713E-2</v>
      </c>
      <c r="AE65" s="304">
        <f t="shared" si="27"/>
        <v>-7.2862611301785618E-2</v>
      </c>
      <c r="AF65" s="304">
        <f t="shared" si="27"/>
        <v>-8.0166974466929108E-2</v>
      </c>
      <c r="AG65" s="304">
        <f t="shared" si="27"/>
        <v>-8.6782379820805722E-2</v>
      </c>
      <c r="AH65" s="304">
        <f t="shared" si="27"/>
        <v>-9.3235930587231564E-2</v>
      </c>
      <c r="AI65" s="304">
        <f t="shared" si="27"/>
        <v>-9.9762071696758881E-2</v>
      </c>
      <c r="AJ65" s="304">
        <f t="shared" si="27"/>
        <v>-0.10613700829136063</v>
      </c>
      <c r="AK65" s="304">
        <f t="shared" si="27"/>
        <v>-0.11258791727426576</v>
      </c>
      <c r="AL65" s="304">
        <f t="shared" si="27"/>
        <v>-0.11925267331569844</v>
      </c>
      <c r="AM65" s="304">
        <f t="shared" si="27"/>
        <v>-0.12558649625571749</v>
      </c>
      <c r="AN65" s="304">
        <f t="shared" si="27"/>
        <v>-0.13189494531941759</v>
      </c>
      <c r="AO65" s="304">
        <f t="shared" si="27"/>
        <v>-0.138127393333705</v>
      </c>
      <c r="AP65" s="304">
        <f t="shared" si="27"/>
        <v>-0.14503283427864233</v>
      </c>
      <c r="AQ65" s="304">
        <f t="shared" si="27"/>
        <v>-0.15218731694444743</v>
      </c>
      <c r="AR65" s="304">
        <f t="shared" si="27"/>
        <v>-0.15903283986400313</v>
      </c>
      <c r="AS65" s="304">
        <f t="shared" si="27"/>
        <v>-0.16557831269618645</v>
      </c>
      <c r="AT65" s="304">
        <f t="shared" si="27"/>
        <v>-0.17194322853362198</v>
      </c>
      <c r="AU65" s="305">
        <f t="shared" si="27"/>
        <v>-0.17907283733989887</v>
      </c>
      <c r="AV65" s="268"/>
    </row>
    <row r="66" spans="2:48" x14ac:dyDescent="0.25">
      <c r="B66" s="261" t="s">
        <v>472</v>
      </c>
      <c r="C66" s="306">
        <f t="shared" si="27"/>
        <v>0</v>
      </c>
      <c r="D66" s="306">
        <f t="shared" si="27"/>
        <v>0</v>
      </c>
      <c r="E66" s="306">
        <f t="shared" si="27"/>
        <v>0</v>
      </c>
      <c r="F66" s="306">
        <f t="shared" si="27"/>
        <v>0</v>
      </c>
      <c r="G66" s="306">
        <f t="shared" si="27"/>
        <v>0</v>
      </c>
      <c r="H66" s="306">
        <f t="shared" si="27"/>
        <v>0</v>
      </c>
      <c r="I66" s="306">
        <f t="shared" si="27"/>
        <v>0</v>
      </c>
      <c r="J66" s="306">
        <f t="shared" si="27"/>
        <v>0</v>
      </c>
      <c r="K66" s="306">
        <f t="shared" si="27"/>
        <v>0</v>
      </c>
      <c r="L66" s="306">
        <f t="shared" si="27"/>
        <v>0</v>
      </c>
      <c r="M66" s="306">
        <f t="shared" si="27"/>
        <v>0</v>
      </c>
      <c r="N66" s="306">
        <f t="shared" si="27"/>
        <v>0</v>
      </c>
      <c r="O66" s="306">
        <f t="shared" si="27"/>
        <v>0</v>
      </c>
      <c r="P66" s="306">
        <f t="shared" si="27"/>
        <v>0</v>
      </c>
      <c r="Q66" s="306">
        <f t="shared" si="27"/>
        <v>0</v>
      </c>
      <c r="R66" s="306">
        <f t="shared" si="27"/>
        <v>0</v>
      </c>
      <c r="S66" s="306">
        <f t="shared" si="27"/>
        <v>0</v>
      </c>
      <c r="T66" s="306">
        <f t="shared" si="27"/>
        <v>1.0126977254387715E-5</v>
      </c>
      <c r="U66" s="306">
        <f t="shared" si="27"/>
        <v>1.143517099404226E-2</v>
      </c>
      <c r="V66" s="306">
        <f t="shared" si="27"/>
        <v>2.1738164586873415E-2</v>
      </c>
      <c r="W66" s="306">
        <f t="shared" si="27"/>
        <v>2.2151398177275378E-2</v>
      </c>
      <c r="X66" s="306">
        <f t="shared" si="27"/>
        <v>2.4191386204219345E-2</v>
      </c>
      <c r="Y66" s="306">
        <f t="shared" si="27"/>
        <v>2.6821037173796136E-2</v>
      </c>
      <c r="Z66" s="306">
        <f t="shared" si="27"/>
        <v>3.0021879823099257E-2</v>
      </c>
      <c r="AA66" s="306">
        <f t="shared" si="27"/>
        <v>6.4337256076502855E-3</v>
      </c>
      <c r="AB66" s="306">
        <f t="shared" si="27"/>
        <v>3.6030836414049305E-2</v>
      </c>
      <c r="AC66" s="306">
        <f t="shared" si="27"/>
        <v>3.9496731887039005E-2</v>
      </c>
      <c r="AD66" s="306">
        <f t="shared" si="27"/>
        <v>4.2661435697294747E-2</v>
      </c>
      <c r="AE66" s="306">
        <f t="shared" si="27"/>
        <v>4.5752840610180479E-2</v>
      </c>
      <c r="AF66" s="306">
        <f t="shared" si="27"/>
        <v>4.9569763815451001E-2</v>
      </c>
      <c r="AG66" s="306">
        <f t="shared" ref="AG66:AU66" si="28">AG44-AG55</f>
        <v>5.2474360452375635E-2</v>
      </c>
      <c r="AH66" s="306">
        <f t="shared" si="28"/>
        <v>5.5602629679779497E-2</v>
      </c>
      <c r="AI66" s="306">
        <f t="shared" si="28"/>
        <v>5.8784666573192201E-2</v>
      </c>
      <c r="AJ66" s="306">
        <f t="shared" si="28"/>
        <v>6.211078978069412E-2</v>
      </c>
      <c r="AK66" s="306">
        <f t="shared" si="28"/>
        <v>6.5473079796281752E-2</v>
      </c>
      <c r="AL66" s="306">
        <f t="shared" si="28"/>
        <v>6.8894322201246555E-2</v>
      </c>
      <c r="AM66" s="306">
        <f t="shared" si="28"/>
        <v>7.2351097876569903E-2</v>
      </c>
      <c r="AN66" s="306">
        <f t="shared" si="28"/>
        <v>7.5767017720566432E-2</v>
      </c>
      <c r="AO66" s="306">
        <f t="shared" si="28"/>
        <v>7.9238284386619201E-2</v>
      </c>
      <c r="AP66" s="306">
        <f t="shared" si="28"/>
        <v>8.3048844332402783E-2</v>
      </c>
      <c r="AQ66" s="306">
        <f t="shared" si="28"/>
        <v>8.6858770724631995E-2</v>
      </c>
      <c r="AR66" s="306">
        <f t="shared" si="28"/>
        <v>9.0636147997456562E-2</v>
      </c>
      <c r="AS66" s="306">
        <f t="shared" si="28"/>
        <v>9.4466292480868963E-2</v>
      </c>
      <c r="AT66" s="306">
        <f t="shared" si="28"/>
        <v>9.8359038609644012E-2</v>
      </c>
      <c r="AU66" s="307">
        <f t="shared" si="28"/>
        <v>1.0540174432676942E-2</v>
      </c>
      <c r="AV66" s="268"/>
    </row>
    <row r="67" spans="2:48" x14ac:dyDescent="0.25">
      <c r="B67" s="249" t="s">
        <v>473</v>
      </c>
      <c r="C67" s="308">
        <f t="shared" ref="C67:AU67" si="29">C45-C56</f>
        <v>0</v>
      </c>
      <c r="D67" s="308">
        <f t="shared" si="29"/>
        <v>0</v>
      </c>
      <c r="E67" s="308">
        <f t="shared" si="29"/>
        <v>0</v>
      </c>
      <c r="F67" s="308">
        <f t="shared" si="29"/>
        <v>0</v>
      </c>
      <c r="G67" s="308">
        <f t="shared" si="29"/>
        <v>0</v>
      </c>
      <c r="H67" s="308">
        <f t="shared" si="29"/>
        <v>0</v>
      </c>
      <c r="I67" s="308">
        <f t="shared" si="29"/>
        <v>0</v>
      </c>
      <c r="J67" s="308">
        <f t="shared" si="29"/>
        <v>0</v>
      </c>
      <c r="K67" s="308">
        <f t="shared" si="29"/>
        <v>0</v>
      </c>
      <c r="L67" s="308">
        <f t="shared" si="29"/>
        <v>0</v>
      </c>
      <c r="M67" s="308">
        <f t="shared" si="29"/>
        <v>0</v>
      </c>
      <c r="N67" s="308">
        <f t="shared" si="29"/>
        <v>0</v>
      </c>
      <c r="O67" s="308">
        <f t="shared" si="29"/>
        <v>0</v>
      </c>
      <c r="P67" s="308">
        <f t="shared" si="29"/>
        <v>0</v>
      </c>
      <c r="Q67" s="308">
        <f t="shared" si="29"/>
        <v>0</v>
      </c>
      <c r="R67" s="308">
        <f t="shared" si="29"/>
        <v>0</v>
      </c>
      <c r="S67" s="308">
        <f t="shared" si="29"/>
        <v>0</v>
      </c>
      <c r="T67" s="308">
        <f t="shared" si="29"/>
        <v>3.3272337740974933E-5</v>
      </c>
      <c r="U67" s="308">
        <f t="shared" si="29"/>
        <v>-2.7838607349640943E-2</v>
      </c>
      <c r="V67" s="308">
        <f t="shared" si="29"/>
        <v>-5.1920471812003877E-2</v>
      </c>
      <c r="W67" s="308">
        <f t="shared" si="29"/>
        <v>-4.7159349302562048E-2</v>
      </c>
      <c r="X67" s="308">
        <f t="shared" si="29"/>
        <v>-4.9713584635799335E-2</v>
      </c>
      <c r="Y67" s="308">
        <f t="shared" si="29"/>
        <v>-5.627544499409598E-2</v>
      </c>
      <c r="Z67" s="308">
        <f t="shared" si="29"/>
        <v>-6.5475123397854107E-2</v>
      </c>
      <c r="AA67" s="308">
        <f t="shared" si="29"/>
        <v>-7.6241278224688958E-2</v>
      </c>
      <c r="AB67" s="308">
        <f t="shared" si="29"/>
        <v>-8.397470956964781E-2</v>
      </c>
      <c r="AC67" s="308">
        <f t="shared" si="29"/>
        <v>-9.519300863190272E-2</v>
      </c>
      <c r="AD67" s="308">
        <f t="shared" si="29"/>
        <v>-0.10541918946593198</v>
      </c>
      <c r="AE67" s="308">
        <f t="shared" si="29"/>
        <v>-0.11514119706715387</v>
      </c>
      <c r="AF67" s="308">
        <f t="shared" si="29"/>
        <v>-0.12778419159923848</v>
      </c>
      <c r="AG67" s="308">
        <f t="shared" si="29"/>
        <v>-0.13733075979089693</v>
      </c>
      <c r="AH67" s="308">
        <f t="shared" si="29"/>
        <v>-0.14682302530804947</v>
      </c>
      <c r="AI67" s="308">
        <f t="shared" si="29"/>
        <v>-0.1563242931351182</v>
      </c>
      <c r="AJ67" s="308">
        <f t="shared" si="29"/>
        <v>-0.16575428620111898</v>
      </c>
      <c r="AK67" s="308">
        <f t="shared" si="29"/>
        <v>-0.17522961444710261</v>
      </c>
      <c r="AL67" s="308">
        <f t="shared" si="29"/>
        <v>-0.18516770678408023</v>
      </c>
      <c r="AM67" s="308">
        <f t="shared" si="29"/>
        <v>-0.19454477496152978</v>
      </c>
      <c r="AN67" s="308">
        <f t="shared" si="29"/>
        <v>-0.20366759535397194</v>
      </c>
      <c r="AO67" s="308">
        <f t="shared" si="29"/>
        <v>-0.21266278601075561</v>
      </c>
      <c r="AP67" s="308">
        <f t="shared" si="29"/>
        <v>-0.22406844875855847</v>
      </c>
      <c r="AQ67" s="308">
        <f t="shared" si="29"/>
        <v>-0.23543681135372707</v>
      </c>
      <c r="AR67" s="308">
        <f t="shared" si="29"/>
        <v>-0.24610348256495573</v>
      </c>
      <c r="AS67" s="308">
        <f t="shared" si="29"/>
        <v>-0.25627736175105309</v>
      </c>
      <c r="AT67" s="308">
        <f t="shared" si="29"/>
        <v>-0.26611621854553147</v>
      </c>
      <c r="AU67" s="309">
        <f t="shared" si="29"/>
        <v>-0.27611341597067296</v>
      </c>
      <c r="AV67" s="268"/>
    </row>
  </sheetData>
  <pageMargins left="0.7" right="0.7" top="0.75" bottom="0.75" header="0.3" footer="0.3"/>
  <pageSetup paperSize="9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"/>
  <dimension ref="A1:CU300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2" sqref="B2:AW300"/>
    </sheetView>
  </sheetViews>
  <sheetFormatPr baseColWidth="10" defaultColWidth="11.42578125" defaultRowHeight="15" x14ac:dyDescent="0.25"/>
  <cols>
    <col min="1" max="1" width="39.28515625" customWidth="1"/>
    <col min="2" max="2" width="65.42578125" customWidth="1"/>
    <col min="47" max="49" width="11.7109375" customWidth="1"/>
    <col min="50" max="50" width="21.85546875" customWidth="1"/>
    <col min="51" max="52" width="11.7109375" customWidth="1"/>
  </cols>
  <sheetData>
    <row r="1" spans="1:49" ht="51.75" thickBot="1" x14ac:dyDescent="0.3">
      <c r="A1" s="234" t="s">
        <v>484</v>
      </c>
      <c r="B1" s="269" t="s">
        <v>492</v>
      </c>
      <c r="C1" s="235">
        <v>2</v>
      </c>
      <c r="D1" s="235">
        <f>C1+1</f>
        <v>3</v>
      </c>
      <c r="E1" s="235">
        <f t="shared" ref="E1:AW1" si="0">D1+1</f>
        <v>4</v>
      </c>
      <c r="F1" s="235">
        <f t="shared" si="0"/>
        <v>5</v>
      </c>
      <c r="G1" s="235">
        <f t="shared" si="0"/>
        <v>6</v>
      </c>
      <c r="H1" s="235">
        <f t="shared" si="0"/>
        <v>7</v>
      </c>
      <c r="I1" s="235">
        <f t="shared" si="0"/>
        <v>8</v>
      </c>
      <c r="J1" s="235">
        <f t="shared" si="0"/>
        <v>9</v>
      </c>
      <c r="K1" s="235">
        <f t="shared" si="0"/>
        <v>10</v>
      </c>
      <c r="L1" s="235">
        <f t="shared" si="0"/>
        <v>11</v>
      </c>
      <c r="M1" s="235">
        <f t="shared" si="0"/>
        <v>12</v>
      </c>
      <c r="N1" s="235">
        <f t="shared" si="0"/>
        <v>13</v>
      </c>
      <c r="O1" s="235">
        <f t="shared" si="0"/>
        <v>14</v>
      </c>
      <c r="P1" s="235">
        <f t="shared" si="0"/>
        <v>15</v>
      </c>
      <c r="Q1" s="235">
        <f t="shared" si="0"/>
        <v>16</v>
      </c>
      <c r="R1" s="235">
        <f t="shared" si="0"/>
        <v>17</v>
      </c>
      <c r="S1" s="235">
        <f t="shared" si="0"/>
        <v>18</v>
      </c>
      <c r="T1" s="235">
        <f t="shared" si="0"/>
        <v>19</v>
      </c>
      <c r="U1" s="235">
        <f t="shared" si="0"/>
        <v>20</v>
      </c>
      <c r="V1" s="235">
        <f t="shared" si="0"/>
        <v>21</v>
      </c>
      <c r="W1" s="235">
        <f t="shared" si="0"/>
        <v>22</v>
      </c>
      <c r="X1" s="235">
        <f t="shared" si="0"/>
        <v>23</v>
      </c>
      <c r="Y1" s="235">
        <f t="shared" si="0"/>
        <v>24</v>
      </c>
      <c r="Z1" s="235">
        <f t="shared" si="0"/>
        <v>25</v>
      </c>
      <c r="AA1" s="235">
        <f t="shared" si="0"/>
        <v>26</v>
      </c>
      <c r="AB1" s="235">
        <f t="shared" si="0"/>
        <v>27</v>
      </c>
      <c r="AC1" s="235">
        <f t="shared" si="0"/>
        <v>28</v>
      </c>
      <c r="AD1" s="235">
        <f t="shared" si="0"/>
        <v>29</v>
      </c>
      <c r="AE1" s="235">
        <f t="shared" si="0"/>
        <v>30</v>
      </c>
      <c r="AF1" s="235">
        <f t="shared" si="0"/>
        <v>31</v>
      </c>
      <c r="AG1" s="235">
        <f t="shared" si="0"/>
        <v>32</v>
      </c>
      <c r="AH1" s="235">
        <f t="shared" si="0"/>
        <v>33</v>
      </c>
      <c r="AI1" s="235">
        <f t="shared" si="0"/>
        <v>34</v>
      </c>
      <c r="AJ1" s="235">
        <f t="shared" si="0"/>
        <v>35</v>
      </c>
      <c r="AK1" s="235">
        <f t="shared" si="0"/>
        <v>36</v>
      </c>
      <c r="AL1" s="235">
        <f t="shared" si="0"/>
        <v>37</v>
      </c>
      <c r="AM1" s="235">
        <f t="shared" si="0"/>
        <v>38</v>
      </c>
      <c r="AN1" s="235">
        <f t="shared" si="0"/>
        <v>39</v>
      </c>
      <c r="AO1" s="235">
        <f t="shared" si="0"/>
        <v>40</v>
      </c>
      <c r="AP1" s="235">
        <f t="shared" si="0"/>
        <v>41</v>
      </c>
      <c r="AQ1" s="235">
        <f t="shared" si="0"/>
        <v>42</v>
      </c>
      <c r="AR1" s="235">
        <f t="shared" si="0"/>
        <v>43</v>
      </c>
      <c r="AS1" s="235">
        <f t="shared" si="0"/>
        <v>44</v>
      </c>
      <c r="AT1" s="235">
        <f t="shared" si="0"/>
        <v>45</v>
      </c>
      <c r="AU1" s="235">
        <f t="shared" si="0"/>
        <v>46</v>
      </c>
      <c r="AV1" s="235">
        <f t="shared" si="0"/>
        <v>47</v>
      </c>
      <c r="AW1" s="235">
        <f t="shared" si="0"/>
        <v>48</v>
      </c>
    </row>
    <row r="2" spans="1:49" x14ac:dyDescent="0.25">
      <c r="B2" s="193"/>
      <c r="C2" s="16">
        <v>2004</v>
      </c>
      <c r="D2" s="16">
        <v>2005</v>
      </c>
      <c r="E2" s="16">
        <v>2006</v>
      </c>
      <c r="F2" s="22">
        <v>2007</v>
      </c>
      <c r="G2">
        <v>2008</v>
      </c>
      <c r="H2">
        <v>2009</v>
      </c>
      <c r="I2">
        <v>2010</v>
      </c>
      <c r="J2">
        <v>2011</v>
      </c>
      <c r="K2">
        <v>2012</v>
      </c>
      <c r="L2">
        <v>2013</v>
      </c>
      <c r="M2">
        <v>2014</v>
      </c>
      <c r="N2">
        <v>2015</v>
      </c>
      <c r="O2">
        <v>2016</v>
      </c>
      <c r="P2">
        <v>2017</v>
      </c>
      <c r="Q2">
        <v>2018</v>
      </c>
      <c r="R2">
        <v>2019</v>
      </c>
      <c r="S2">
        <v>2020</v>
      </c>
      <c r="T2">
        <v>2021</v>
      </c>
      <c r="U2">
        <v>2022</v>
      </c>
      <c r="V2">
        <v>2023</v>
      </c>
      <c r="W2">
        <v>2024</v>
      </c>
      <c r="X2">
        <v>2025</v>
      </c>
      <c r="Y2">
        <v>2026</v>
      </c>
      <c r="Z2">
        <v>2027</v>
      </c>
      <c r="AA2">
        <v>2028</v>
      </c>
      <c r="AB2">
        <v>2029</v>
      </c>
      <c r="AC2">
        <v>2030</v>
      </c>
      <c r="AD2">
        <v>2031</v>
      </c>
      <c r="AE2">
        <v>2032</v>
      </c>
      <c r="AF2">
        <v>2033</v>
      </c>
      <c r="AG2">
        <v>2034</v>
      </c>
      <c r="AH2">
        <v>2035</v>
      </c>
      <c r="AI2">
        <v>2036</v>
      </c>
      <c r="AJ2">
        <v>2037</v>
      </c>
      <c r="AK2">
        <v>2038</v>
      </c>
      <c r="AL2">
        <v>2039</v>
      </c>
      <c r="AM2">
        <v>2040</v>
      </c>
      <c r="AN2">
        <v>2041</v>
      </c>
      <c r="AO2">
        <v>2042</v>
      </c>
      <c r="AP2">
        <v>2043</v>
      </c>
      <c r="AQ2">
        <v>2044</v>
      </c>
      <c r="AR2">
        <v>2045</v>
      </c>
      <c r="AS2">
        <v>2046</v>
      </c>
      <c r="AT2">
        <v>2047</v>
      </c>
      <c r="AU2">
        <v>2048</v>
      </c>
      <c r="AV2">
        <v>2049</v>
      </c>
      <c r="AW2">
        <v>2050</v>
      </c>
    </row>
    <row r="3" spans="1:49" x14ac:dyDescent="0.25">
      <c r="B3" s="13" t="s">
        <v>103</v>
      </c>
      <c r="C3">
        <v>78.155731330970795</v>
      </c>
      <c r="D3" s="39">
        <v>79.410546877677106</v>
      </c>
      <c r="E3" s="39">
        <v>80.67120285</v>
      </c>
      <c r="F3" s="39">
        <v>81.230879150000007</v>
      </c>
      <c r="G3">
        <v>78.337043120000004</v>
      </c>
      <c r="H3">
        <v>76.358189719999999</v>
      </c>
      <c r="I3">
        <v>75.168413650000005</v>
      </c>
      <c r="J3">
        <v>73.713688000000005</v>
      </c>
      <c r="K3">
        <v>71.891901340000004</v>
      </c>
      <c r="L3">
        <v>70.627817429999894</v>
      </c>
      <c r="M3">
        <v>70.711585020000001</v>
      </c>
      <c r="N3">
        <v>71.498433730000002</v>
      </c>
      <c r="O3">
        <v>70.101705469999999</v>
      </c>
      <c r="P3">
        <v>68.524865480000003</v>
      </c>
      <c r="Q3">
        <v>66.192345649999893</v>
      </c>
      <c r="R3">
        <v>64.95936202</v>
      </c>
      <c r="S3">
        <v>63.373762970000001</v>
      </c>
      <c r="T3">
        <v>62.700539409999998</v>
      </c>
      <c r="U3">
        <v>61.965190919999998</v>
      </c>
      <c r="V3">
        <v>60.932660060000003</v>
      </c>
      <c r="W3">
        <v>58.741658710000003</v>
      </c>
      <c r="X3">
        <v>56.343319999999999</v>
      </c>
      <c r="Y3">
        <v>54.279283530000001</v>
      </c>
      <c r="Z3">
        <v>52.308873579999997</v>
      </c>
      <c r="AA3">
        <v>50.38518397</v>
      </c>
      <c r="AB3">
        <v>48.368398069999998</v>
      </c>
      <c r="AC3">
        <v>46.357903010000001</v>
      </c>
      <c r="AD3">
        <v>44.367442750000002</v>
      </c>
      <c r="AE3">
        <v>42.446905000000001</v>
      </c>
      <c r="AF3">
        <v>40.558917919999999</v>
      </c>
      <c r="AG3">
        <v>38.735099509999998</v>
      </c>
      <c r="AH3">
        <v>36.95425418</v>
      </c>
      <c r="AI3">
        <v>35.147904199999999</v>
      </c>
      <c r="AJ3">
        <v>33.420332610000003</v>
      </c>
      <c r="AK3">
        <v>31.722995220000001</v>
      </c>
      <c r="AL3">
        <v>30.140283549999999</v>
      </c>
      <c r="AM3">
        <v>28.583378629999999</v>
      </c>
      <c r="AN3">
        <v>27.256342010000001</v>
      </c>
      <c r="AO3">
        <v>26.00132546</v>
      </c>
      <c r="AP3">
        <v>24.75351028</v>
      </c>
      <c r="AQ3">
        <v>23.558765820000001</v>
      </c>
      <c r="AR3">
        <v>22.379130539999998</v>
      </c>
      <c r="AS3">
        <v>21.498347819999999</v>
      </c>
      <c r="AT3">
        <v>20.65766241</v>
      </c>
      <c r="AU3">
        <v>19.862080469999999</v>
      </c>
      <c r="AV3">
        <v>19.10349716</v>
      </c>
      <c r="AW3">
        <v>18.386356240000001</v>
      </c>
    </row>
    <row r="4" spans="1:49" x14ac:dyDescent="0.25">
      <c r="B4" s="13" t="s">
        <v>104</v>
      </c>
      <c r="C4">
        <v>77.477678819662401</v>
      </c>
      <c r="D4" s="39">
        <v>78.721608013977402</v>
      </c>
      <c r="E4" s="39">
        <v>80.003737470000004</v>
      </c>
      <c r="F4" s="39">
        <v>80.228085859999894</v>
      </c>
      <c r="G4">
        <v>77.052367160000003</v>
      </c>
      <c r="H4">
        <v>74.797652499999998</v>
      </c>
      <c r="I4">
        <v>73.329928699999996</v>
      </c>
      <c r="J4">
        <v>71.615586239999999</v>
      </c>
      <c r="K4">
        <v>69.558933479999894</v>
      </c>
      <c r="L4">
        <v>68.055348780000003</v>
      </c>
      <c r="M4">
        <v>67.856363900000005</v>
      </c>
      <c r="N4">
        <v>68.329788050000005</v>
      </c>
      <c r="O4">
        <v>66.944968340000003</v>
      </c>
      <c r="P4">
        <v>65.387162500000002</v>
      </c>
      <c r="Q4">
        <v>63.107948729999997</v>
      </c>
      <c r="R4">
        <v>61.876354329999998</v>
      </c>
      <c r="S4">
        <v>60.30747023</v>
      </c>
      <c r="T4">
        <v>59.50687842</v>
      </c>
      <c r="U4">
        <v>58.656049289999999</v>
      </c>
      <c r="V4">
        <v>57.533074589999998</v>
      </c>
      <c r="W4">
        <v>55.099925679999998</v>
      </c>
      <c r="X4">
        <v>52.477904440000003</v>
      </c>
      <c r="Y4">
        <v>50.398254649999998</v>
      </c>
      <c r="Z4">
        <v>48.40351648</v>
      </c>
      <c r="AA4">
        <v>46.449231599999997</v>
      </c>
      <c r="AB4">
        <v>44.409410979999997</v>
      </c>
      <c r="AC4">
        <v>42.372329620000002</v>
      </c>
      <c r="AD4">
        <v>39.755631700000002</v>
      </c>
      <c r="AE4">
        <v>37.19259581</v>
      </c>
      <c r="AF4">
        <v>34.645430449999999</v>
      </c>
      <c r="AG4">
        <v>32.14697932</v>
      </c>
      <c r="AH4">
        <v>29.661485030000001</v>
      </c>
      <c r="AI4">
        <v>27.044891029999999</v>
      </c>
      <c r="AJ4">
        <v>24.452549730000001</v>
      </c>
      <c r="AK4">
        <v>21.833336209999999</v>
      </c>
      <c r="AL4">
        <v>19.269661289999998</v>
      </c>
      <c r="AM4">
        <v>16.632724060000001</v>
      </c>
      <c r="AN4">
        <v>15.0866218</v>
      </c>
      <c r="AO4">
        <v>13.546699690000001</v>
      </c>
      <c r="AP4">
        <v>11.96615632</v>
      </c>
      <c r="AQ4">
        <v>10.35298673</v>
      </c>
      <c r="AR4">
        <v>8.6686499179999998</v>
      </c>
      <c r="AS4">
        <v>8.1508189079999998</v>
      </c>
      <c r="AT4">
        <v>7.6426005400000001</v>
      </c>
      <c r="AU4">
        <v>7.1435888570000001</v>
      </c>
      <c r="AV4">
        <v>6.6480012349999997</v>
      </c>
      <c r="AW4">
        <v>6.1538520190000003</v>
      </c>
    </row>
    <row r="5" spans="1:49" x14ac:dyDescent="0.25">
      <c r="B5" s="13" t="s">
        <v>105</v>
      </c>
      <c r="C5">
        <v>0.67805251130835598</v>
      </c>
      <c r="D5" s="39">
        <v>0.68893886369971102</v>
      </c>
      <c r="E5">
        <v>0.66746537549999996</v>
      </c>
      <c r="F5">
        <v>1.002793284</v>
      </c>
      <c r="G5">
        <v>1.2846759560000001</v>
      </c>
      <c r="H5">
        <v>1.5605372200000001</v>
      </c>
      <c r="I5">
        <v>1.838484945</v>
      </c>
      <c r="J5">
        <v>2.0981017569999998</v>
      </c>
      <c r="K5">
        <v>2.3329678660000002</v>
      </c>
      <c r="L5">
        <v>2.5724686440000002</v>
      </c>
      <c r="M5">
        <v>2.8552211239999998</v>
      </c>
      <c r="N5">
        <v>3.1686456810000001</v>
      </c>
      <c r="O5">
        <v>3.1567371280000001</v>
      </c>
      <c r="P5">
        <v>3.1377029790000002</v>
      </c>
      <c r="Q5">
        <v>3.084396919</v>
      </c>
      <c r="R5">
        <v>3.083007694</v>
      </c>
      <c r="S5">
        <v>3.0662927359999999</v>
      </c>
      <c r="T5">
        <v>3.1936609929999999</v>
      </c>
      <c r="U5">
        <v>3.3091416339999999</v>
      </c>
      <c r="V5">
        <v>3.399585471</v>
      </c>
      <c r="W5">
        <v>3.6417330300000001</v>
      </c>
      <c r="X5">
        <v>3.8654155569999999</v>
      </c>
      <c r="Y5">
        <v>3.8810288819999998</v>
      </c>
      <c r="Z5">
        <v>3.9053571040000001</v>
      </c>
      <c r="AA5">
        <v>3.9359523740000002</v>
      </c>
      <c r="AB5">
        <v>3.958987091</v>
      </c>
      <c r="AC5">
        <v>3.9855733889999998</v>
      </c>
      <c r="AD5">
        <v>4.6118110459999997</v>
      </c>
      <c r="AE5">
        <v>5.2543091899999999</v>
      </c>
      <c r="AF5">
        <v>5.9134874679999996</v>
      </c>
      <c r="AG5">
        <v>6.5881201899999997</v>
      </c>
      <c r="AH5">
        <v>7.2927691460000004</v>
      </c>
      <c r="AI5">
        <v>8.1030131670000003</v>
      </c>
      <c r="AJ5">
        <v>8.9677828759999905</v>
      </c>
      <c r="AK5">
        <v>9.8896590129999904</v>
      </c>
      <c r="AL5">
        <v>10.870622259999999</v>
      </c>
      <c r="AM5">
        <v>11.950654569999999</v>
      </c>
      <c r="AN5">
        <v>12.169720209999999</v>
      </c>
      <c r="AO5">
        <v>12.454625780000001</v>
      </c>
      <c r="AP5">
        <v>12.78735397</v>
      </c>
      <c r="AQ5">
        <v>13.20577909</v>
      </c>
      <c r="AR5">
        <v>13.71048062</v>
      </c>
      <c r="AS5">
        <v>13.347528909999999</v>
      </c>
      <c r="AT5">
        <v>13.01506187</v>
      </c>
      <c r="AU5">
        <v>12.71849162</v>
      </c>
      <c r="AV5">
        <v>12.45549593</v>
      </c>
      <c r="AW5">
        <v>12.232504219999999</v>
      </c>
    </row>
    <row r="6" spans="1:49" x14ac:dyDescent="0.25">
      <c r="B6" s="13" t="s">
        <v>106</v>
      </c>
      <c r="C6">
        <v>28.634797354551999</v>
      </c>
      <c r="D6" s="39">
        <v>29.094538288267</v>
      </c>
      <c r="E6" s="39">
        <v>29.720948660000001</v>
      </c>
      <c r="F6" s="39">
        <v>30.551325519999999</v>
      </c>
      <c r="G6" s="39">
        <v>31.26822641</v>
      </c>
      <c r="H6" s="39">
        <v>29.125055280000002</v>
      </c>
      <c r="I6" s="39">
        <v>30.256845890000001</v>
      </c>
      <c r="J6" s="39">
        <v>31.32300377</v>
      </c>
      <c r="K6" s="39">
        <v>31.689898079999999</v>
      </c>
      <c r="L6" s="39">
        <v>31.571324730000001</v>
      </c>
      <c r="M6">
        <v>31.46597757</v>
      </c>
      <c r="N6">
        <v>30.94722003</v>
      </c>
      <c r="O6">
        <v>29.332225019999999</v>
      </c>
      <c r="P6">
        <v>28.892747119999999</v>
      </c>
      <c r="Q6">
        <v>28.821975479999999</v>
      </c>
      <c r="R6">
        <v>27.862190479999999</v>
      </c>
      <c r="S6">
        <v>26.892231070000001</v>
      </c>
      <c r="T6">
        <v>26.743234449999999</v>
      </c>
      <c r="U6">
        <v>26.690278289999998</v>
      </c>
      <c r="V6">
        <v>26.399789129999998</v>
      </c>
      <c r="W6">
        <v>27.337713690000001</v>
      </c>
      <c r="X6">
        <v>27.83345362</v>
      </c>
      <c r="Y6">
        <v>27.560236830000001</v>
      </c>
      <c r="Z6">
        <v>27.227235440000001</v>
      </c>
      <c r="AA6">
        <v>26.876024210000001</v>
      </c>
      <c r="AB6">
        <v>26.652592760000001</v>
      </c>
      <c r="AC6">
        <v>26.461517959999998</v>
      </c>
      <c r="AD6">
        <v>25.72212828</v>
      </c>
      <c r="AE6">
        <v>24.98150841</v>
      </c>
      <c r="AF6">
        <v>24.257448419999999</v>
      </c>
      <c r="AG6">
        <v>23.436999329999999</v>
      </c>
      <c r="AH6">
        <v>22.61955665</v>
      </c>
      <c r="AI6">
        <v>22.327656919999999</v>
      </c>
      <c r="AJ6">
        <v>22.025238120000001</v>
      </c>
      <c r="AK6">
        <v>21.722137549999999</v>
      </c>
      <c r="AL6">
        <v>21.4724696</v>
      </c>
      <c r="AM6">
        <v>21.191571320000001</v>
      </c>
      <c r="AN6">
        <v>20.388962360000001</v>
      </c>
      <c r="AO6">
        <v>19.620256399999999</v>
      </c>
      <c r="AP6">
        <v>18.846858260000001</v>
      </c>
      <c r="AQ6">
        <v>18.084252240000001</v>
      </c>
      <c r="AR6">
        <v>17.323615</v>
      </c>
      <c r="AS6">
        <v>16.56731336</v>
      </c>
      <c r="AT6">
        <v>15.823547659999999</v>
      </c>
      <c r="AU6">
        <v>15.090131660000001</v>
      </c>
      <c r="AV6">
        <v>14.363181519999999</v>
      </c>
      <c r="AW6">
        <v>13.64518052</v>
      </c>
    </row>
    <row r="7" spans="1:49" x14ac:dyDescent="0.25">
      <c r="B7" s="13" t="s">
        <v>107</v>
      </c>
      <c r="C7">
        <v>0.36749349586970598</v>
      </c>
      <c r="D7">
        <v>0.37339372281503302</v>
      </c>
      <c r="E7">
        <v>0.38143295329999999</v>
      </c>
      <c r="F7">
        <v>0.37148642879999999</v>
      </c>
      <c r="G7">
        <v>0.36022470559999997</v>
      </c>
      <c r="H7">
        <v>0.31790280329999998</v>
      </c>
      <c r="I7">
        <v>0.31290219130000002</v>
      </c>
      <c r="J7">
        <v>0.30690623119999999</v>
      </c>
      <c r="K7">
        <v>0.29418498160000001</v>
      </c>
      <c r="L7">
        <v>0.27768333249999999</v>
      </c>
      <c r="M7">
        <v>0.26221382650000002</v>
      </c>
      <c r="N7">
        <v>0.2443393163</v>
      </c>
      <c r="O7">
        <v>0.21316768010000001</v>
      </c>
      <c r="P7">
        <v>0.19039124439999999</v>
      </c>
      <c r="Q7">
        <v>0.16877833140000001</v>
      </c>
      <c r="R7">
        <v>0.14095614400000001</v>
      </c>
      <c r="S7">
        <v>0.11269291770000001</v>
      </c>
      <c r="T7">
        <v>0.14899317249999999</v>
      </c>
      <c r="U7">
        <v>0.186747265</v>
      </c>
      <c r="V7">
        <v>0.2235930465</v>
      </c>
      <c r="W7">
        <v>0.15856735629999999</v>
      </c>
      <c r="X7">
        <v>9.4730452600000001E-2</v>
      </c>
      <c r="Y7">
        <v>7.2284177699999896E-2</v>
      </c>
      <c r="Z7">
        <v>5.01232187E-2</v>
      </c>
      <c r="AA7">
        <v>2.8432861699999999E-2</v>
      </c>
      <c r="AB7">
        <v>2.5331334699999999E-2</v>
      </c>
      <c r="AC7">
        <v>2.2298986100000001E-2</v>
      </c>
      <c r="AD7">
        <v>2.1835336899999998E-2</v>
      </c>
      <c r="AE7">
        <v>2.1367719E-2</v>
      </c>
      <c r="AF7">
        <v>2.0911263400000001E-2</v>
      </c>
      <c r="AG7">
        <v>2.03537947E-2</v>
      </c>
      <c r="AH7">
        <v>1.97938603E-2</v>
      </c>
      <c r="AI7">
        <v>1.5933100200000001E-2</v>
      </c>
      <c r="AJ7">
        <v>1.2130757799999999E-2</v>
      </c>
      <c r="AK7">
        <v>8.3966348099999994E-3</v>
      </c>
      <c r="AL7">
        <v>8.9663730900000002E-3</v>
      </c>
      <c r="AM7">
        <v>9.5114954000000002E-3</v>
      </c>
      <c r="AN7">
        <v>9.1361056900000001E-3</v>
      </c>
      <c r="AO7">
        <v>8.7761565999999996E-3</v>
      </c>
      <c r="AP7" s="39">
        <v>8.4143583000000008E-3</v>
      </c>
      <c r="AQ7" s="39">
        <v>8.0576474100000003E-3</v>
      </c>
      <c r="AR7" s="39">
        <v>7.7020990800000001E-3</v>
      </c>
      <c r="AS7" s="39">
        <v>7.64431773E-3</v>
      </c>
      <c r="AT7" s="39">
        <v>7.5880072399999998E-3</v>
      </c>
      <c r="AU7" s="39">
        <v>7.5322568500000003E-3</v>
      </c>
      <c r="AV7" s="39">
        <v>7.4751168900000003E-3</v>
      </c>
      <c r="AW7" s="39">
        <v>7.4177516600000002E-3</v>
      </c>
    </row>
    <row r="8" spans="1:49" x14ac:dyDescent="0.25">
      <c r="B8" t="s">
        <v>108</v>
      </c>
      <c r="C8">
        <v>1.4676116307532601</v>
      </c>
      <c r="D8" s="39">
        <v>1.4911746101974399</v>
      </c>
      <c r="E8" s="39">
        <v>1.5232798540000001</v>
      </c>
      <c r="F8" s="39">
        <v>1.5681163890000001</v>
      </c>
      <c r="G8" s="39">
        <v>1.6072472440000001</v>
      </c>
      <c r="H8" s="39">
        <v>1.4992615579999999</v>
      </c>
      <c r="I8" s="39">
        <v>1.5597877520000001</v>
      </c>
      <c r="J8" s="39">
        <v>1.617098449</v>
      </c>
      <c r="K8" s="39">
        <v>1.6384194910000001</v>
      </c>
      <c r="L8" s="39">
        <v>1.634663156</v>
      </c>
      <c r="M8">
        <v>1.6315782329999999</v>
      </c>
      <c r="N8">
        <v>1.6070134890000001</v>
      </c>
      <c r="O8">
        <v>1.7058575600000001</v>
      </c>
      <c r="P8">
        <v>1.874530477</v>
      </c>
      <c r="Q8">
        <v>2.0796825569999999</v>
      </c>
      <c r="R8">
        <v>2.2306382600000001</v>
      </c>
      <c r="S8">
        <v>2.3846433419999999</v>
      </c>
      <c r="T8">
        <v>2.2924331910000002</v>
      </c>
      <c r="U8">
        <v>2.2064899809999998</v>
      </c>
      <c r="V8">
        <v>2.0992974520000001</v>
      </c>
      <c r="W8">
        <v>2.3062018499999999</v>
      </c>
      <c r="X8">
        <v>2.4689969899999999</v>
      </c>
      <c r="Y8">
        <v>2.3827284610000001</v>
      </c>
      <c r="Z8">
        <v>2.2925658769999999</v>
      </c>
      <c r="AA8">
        <v>2.2023234129999998</v>
      </c>
      <c r="AB8">
        <v>2.1256268870000001</v>
      </c>
      <c r="AC8">
        <v>2.0522939679999999</v>
      </c>
      <c r="AD8">
        <v>1.925147803</v>
      </c>
      <c r="AE8">
        <v>1.7991899140000001</v>
      </c>
      <c r="AF8">
        <v>1.675739002</v>
      </c>
      <c r="AG8">
        <v>1.5535546760000001</v>
      </c>
      <c r="AH8">
        <v>1.433789564</v>
      </c>
      <c r="AI8">
        <v>1.164256409</v>
      </c>
      <c r="AJ8">
        <v>0.89876488249999997</v>
      </c>
      <c r="AK8">
        <v>0.63802164849999998</v>
      </c>
      <c r="AL8">
        <v>0.39549642239999999</v>
      </c>
      <c r="AM8">
        <v>0.1564820525</v>
      </c>
      <c r="AN8">
        <v>0.16629813360000001</v>
      </c>
      <c r="AO8">
        <v>0.17613201580000001</v>
      </c>
      <c r="AP8">
        <v>0.1856644372</v>
      </c>
      <c r="AQ8">
        <v>0.19502350509999999</v>
      </c>
      <c r="AR8">
        <v>0.2041073279</v>
      </c>
      <c r="AS8">
        <v>0.2106367492</v>
      </c>
      <c r="AT8">
        <v>0.21708639439999999</v>
      </c>
      <c r="AU8">
        <v>0.2234338994</v>
      </c>
      <c r="AV8">
        <v>0.22962114650000001</v>
      </c>
      <c r="AW8">
        <v>0.2356807319</v>
      </c>
    </row>
    <row r="9" spans="1:49" x14ac:dyDescent="0.25">
      <c r="B9" t="s">
        <v>109</v>
      </c>
      <c r="C9">
        <v>1.4643633957556199</v>
      </c>
      <c r="D9">
        <v>1.4878742237362399</v>
      </c>
      <c r="E9">
        <v>1.5199084089999999</v>
      </c>
      <c r="F9">
        <v>1.438671206</v>
      </c>
      <c r="G9">
        <v>1.3558495020000001</v>
      </c>
      <c r="H9">
        <v>1.162925089</v>
      </c>
      <c r="I9">
        <v>1.112462496</v>
      </c>
      <c r="J9">
        <v>1.06047851</v>
      </c>
      <c r="K9">
        <v>0.98795247939999997</v>
      </c>
      <c r="L9">
        <v>0.90632667440000003</v>
      </c>
      <c r="M9">
        <v>0.83178278800000005</v>
      </c>
      <c r="N9">
        <v>0.75329847289999996</v>
      </c>
      <c r="O9">
        <v>0.63402697220000004</v>
      </c>
      <c r="P9">
        <v>0.53952358060000005</v>
      </c>
      <c r="Q9">
        <v>0.4464092912</v>
      </c>
      <c r="R9">
        <v>0.3351703593</v>
      </c>
      <c r="S9">
        <v>0.2221180096</v>
      </c>
      <c r="T9">
        <v>0.2134018641</v>
      </c>
      <c r="U9">
        <v>0.20526583139999999</v>
      </c>
      <c r="V9">
        <v>0.1951502275</v>
      </c>
      <c r="W9">
        <v>0.1246102816</v>
      </c>
      <c r="X9">
        <v>5.6040050000000001E-2</v>
      </c>
      <c r="Y9">
        <v>4.3190462999999998E-2</v>
      </c>
      <c r="Z9">
        <v>3.04999148E-2</v>
      </c>
      <c r="AA9">
        <v>1.80771427E-2</v>
      </c>
      <c r="AB9">
        <v>1.7946166E-2</v>
      </c>
      <c r="AC9">
        <v>1.7836717299999999E-2</v>
      </c>
      <c r="AD9">
        <v>1.473439E-2</v>
      </c>
      <c r="AE9">
        <v>1.16791216E-2</v>
      </c>
      <c r="AF9">
        <v>8.6806260400000002E-3</v>
      </c>
      <c r="AG9">
        <v>8.5405674400000006E-3</v>
      </c>
      <c r="AH9">
        <v>8.3964010500000002E-3</v>
      </c>
      <c r="AI9">
        <v>8.3229060799999994E-3</v>
      </c>
      <c r="AJ9">
        <v>8.2448525999999998E-3</v>
      </c>
      <c r="AK9">
        <v>8.1658806900000002E-3</v>
      </c>
      <c r="AL9">
        <v>8.1019129899999997E-3</v>
      </c>
      <c r="AM9">
        <v>8.02564232E-3</v>
      </c>
      <c r="AN9">
        <v>7.9575137799999997E-3</v>
      </c>
      <c r="AO9">
        <v>7.8987412900000005E-3</v>
      </c>
      <c r="AP9">
        <v>7.8341947700000004E-3</v>
      </c>
      <c r="AQ9">
        <v>7.7699446699999999E-3</v>
      </c>
      <c r="AR9">
        <v>7.7020990800000001E-3</v>
      </c>
      <c r="AS9">
        <v>7.64431773E-3</v>
      </c>
      <c r="AT9">
        <v>7.5880072399999998E-3</v>
      </c>
      <c r="AU9">
        <v>7.5322568500000003E-3</v>
      </c>
      <c r="AV9">
        <v>7.4751168900000003E-3</v>
      </c>
      <c r="AW9">
        <v>7.4177516600000002E-3</v>
      </c>
    </row>
    <row r="10" spans="1:49" x14ac:dyDescent="0.25">
      <c r="B10" t="s">
        <v>110</v>
      </c>
      <c r="C10">
        <v>0.29584764130791702</v>
      </c>
      <c r="D10" s="39">
        <v>0.300597570883747</v>
      </c>
      <c r="E10" s="39">
        <v>0.30706948779999999</v>
      </c>
      <c r="F10">
        <v>0.65529597470000001</v>
      </c>
      <c r="G10">
        <v>0.99168065679999995</v>
      </c>
      <c r="H10">
        <v>1.1960421130000001</v>
      </c>
      <c r="I10">
        <v>1.494809488</v>
      </c>
      <c r="J10">
        <v>1.772659582</v>
      </c>
      <c r="K10">
        <v>1.9787877629999999</v>
      </c>
      <c r="L10">
        <v>2.1055700960000001</v>
      </c>
      <c r="M10">
        <v>2.1709373420000002</v>
      </c>
      <c r="N10">
        <v>2.1314551910000001</v>
      </c>
      <c r="O10">
        <v>2.279174619</v>
      </c>
      <c r="P10">
        <v>2.5203104569999999</v>
      </c>
      <c r="Q10">
        <v>2.8114067999999999</v>
      </c>
      <c r="R10">
        <v>3.029889464</v>
      </c>
      <c r="S10">
        <v>3.2527420679999999</v>
      </c>
      <c r="T10">
        <v>3.4385807289999999</v>
      </c>
      <c r="U10">
        <v>3.6418405749999998</v>
      </c>
      <c r="V10">
        <v>3.8168504529999998</v>
      </c>
      <c r="W10">
        <v>4.0438347950000004</v>
      </c>
      <c r="X10">
        <v>4.2007098709999999</v>
      </c>
      <c r="Y10">
        <v>4.4537391</v>
      </c>
      <c r="Z10">
        <v>4.6910606149999996</v>
      </c>
      <c r="AA10">
        <v>4.9183501520000004</v>
      </c>
      <c r="AB10">
        <v>5.1541236980000003</v>
      </c>
      <c r="AC10">
        <v>5.3924439880000001</v>
      </c>
      <c r="AD10">
        <v>6.0137498799999998</v>
      </c>
      <c r="AE10">
        <v>6.6206077739999998</v>
      </c>
      <c r="AF10">
        <v>7.2173182740000001</v>
      </c>
      <c r="AG10">
        <v>7.7146262160000001</v>
      </c>
      <c r="AH10">
        <v>8.1877981670000004</v>
      </c>
      <c r="AI10">
        <v>8.7241349889999995</v>
      </c>
      <c r="AJ10">
        <v>9.2446226120000006</v>
      </c>
      <c r="AK10">
        <v>9.7526094029999904</v>
      </c>
      <c r="AL10">
        <v>10.240954049999999</v>
      </c>
      <c r="AM10">
        <v>10.703972240000001</v>
      </c>
      <c r="AN10">
        <v>11.2620109</v>
      </c>
      <c r="AO10">
        <v>11.822942599999999</v>
      </c>
      <c r="AP10">
        <v>12.36517549</v>
      </c>
      <c r="AQ10">
        <v>12.89737341</v>
      </c>
      <c r="AR10">
        <v>13.41283127</v>
      </c>
      <c r="AS10">
        <v>13.927486849999999</v>
      </c>
      <c r="AT10">
        <v>14.43563921</v>
      </c>
      <c r="AU10">
        <v>14.93583748</v>
      </c>
      <c r="AV10">
        <v>15.42419402</v>
      </c>
      <c r="AW10">
        <v>15.90286936</v>
      </c>
    </row>
    <row r="11" spans="1:49" x14ac:dyDescent="0.25">
      <c r="B11" t="s">
        <v>111</v>
      </c>
      <c r="C11">
        <v>6.65657192942814E-2</v>
      </c>
      <c r="D11" s="39">
        <v>6.7634453448843099E-2</v>
      </c>
      <c r="E11" s="39">
        <v>6.9090634799999995E-2</v>
      </c>
      <c r="F11" s="39">
        <v>9.4486438399999997E-2</v>
      </c>
      <c r="G11" s="39">
        <v>0.12865467589999999</v>
      </c>
      <c r="H11" s="39">
        <v>0.15943071410000001</v>
      </c>
      <c r="I11">
        <v>0.22034935929999999</v>
      </c>
      <c r="J11">
        <v>0.30348305520000002</v>
      </c>
      <c r="K11">
        <v>0.40848375819999999</v>
      </c>
      <c r="L11">
        <v>0.5414142247</v>
      </c>
      <c r="M11">
        <v>0.71789510359999997</v>
      </c>
      <c r="N11">
        <v>0.93934323310000001</v>
      </c>
      <c r="O11">
        <v>1.0044439430000001</v>
      </c>
      <c r="P11">
        <v>1.110713743</v>
      </c>
      <c r="Q11">
        <v>1.239001394</v>
      </c>
      <c r="R11">
        <v>1.335287825</v>
      </c>
      <c r="S11">
        <v>1.43350011</v>
      </c>
      <c r="T11">
        <v>1.4945726459999999</v>
      </c>
      <c r="U11">
        <v>1.562729754</v>
      </c>
      <c r="V11">
        <v>1.6183878380000001</v>
      </c>
      <c r="W11">
        <v>1.851429746</v>
      </c>
      <c r="X11">
        <v>2.0454948609999999</v>
      </c>
      <c r="Y11">
        <v>2.400417295</v>
      </c>
      <c r="Z11">
        <v>2.7424271650000001</v>
      </c>
      <c r="AA11">
        <v>3.0738166630000001</v>
      </c>
      <c r="AB11">
        <v>3.4022079490000001</v>
      </c>
      <c r="AC11">
        <v>3.7299826440000001</v>
      </c>
      <c r="AD11">
        <v>4.0793864129999999</v>
      </c>
      <c r="AE11">
        <v>4.4202742439999998</v>
      </c>
      <c r="AF11">
        <v>4.7555505990000002</v>
      </c>
      <c r="AG11">
        <v>5.026210142</v>
      </c>
      <c r="AH11">
        <v>5.2828913230000003</v>
      </c>
      <c r="AI11">
        <v>5.4990318770000002</v>
      </c>
      <c r="AJ11">
        <v>5.7073829590000003</v>
      </c>
      <c r="AK11">
        <v>5.9101479919999997</v>
      </c>
      <c r="AL11">
        <v>6.1092068700000004</v>
      </c>
      <c r="AM11">
        <v>6.2947418050000001</v>
      </c>
      <c r="AN11">
        <v>6.5402313789999997</v>
      </c>
      <c r="AO11">
        <v>6.7886435819999997</v>
      </c>
      <c r="AP11">
        <v>7.0274607539999998</v>
      </c>
      <c r="AQ11">
        <v>7.2617055730000004</v>
      </c>
      <c r="AR11">
        <v>7.4876278909999998</v>
      </c>
      <c r="AS11">
        <v>7.6496050679999996</v>
      </c>
      <c r="AT11">
        <v>7.8097982430000004</v>
      </c>
      <c r="AU11">
        <v>7.9673699400000002</v>
      </c>
      <c r="AV11">
        <v>8.1202502029999994</v>
      </c>
      <c r="AW11">
        <v>8.269618049</v>
      </c>
    </row>
    <row r="12" spans="1:49" x14ac:dyDescent="0.25">
      <c r="B12" t="s">
        <v>112</v>
      </c>
      <c r="C12">
        <v>3.32767453113023</v>
      </c>
      <c r="D12" s="39">
        <v>3.3811014220943498</v>
      </c>
      <c r="E12">
        <v>3.4538971119999999</v>
      </c>
      <c r="F12" s="39">
        <v>3.4253583989999998</v>
      </c>
      <c r="G12" s="39">
        <v>3.3822713119999999</v>
      </c>
      <c r="H12" s="39">
        <v>3.0394932629999998</v>
      </c>
      <c r="I12">
        <v>3.0464027069999999</v>
      </c>
      <c r="J12">
        <v>3.0426801050000001</v>
      </c>
      <c r="K12">
        <v>2.9699078010000002</v>
      </c>
      <c r="L12">
        <v>2.8545927770000001</v>
      </c>
      <c r="M12" s="39">
        <v>2.7448702410000001</v>
      </c>
      <c r="N12">
        <v>2.6045426009999999</v>
      </c>
      <c r="O12">
        <v>2.785049114</v>
      </c>
      <c r="P12">
        <v>3.0797062880000001</v>
      </c>
      <c r="Q12">
        <v>3.435412957</v>
      </c>
      <c r="R12">
        <v>3.7023889680000002</v>
      </c>
      <c r="S12">
        <v>3.9747048509999998</v>
      </c>
      <c r="T12">
        <v>4.1820071009999999</v>
      </c>
      <c r="U12">
        <v>4.4100339279999998</v>
      </c>
      <c r="V12">
        <v>4.6034939049999997</v>
      </c>
      <c r="W12">
        <v>4.5736078579999999</v>
      </c>
      <c r="X12">
        <v>4.4796947520000003</v>
      </c>
      <c r="Y12">
        <v>4.4452087210000002</v>
      </c>
      <c r="Z12">
        <v>4.4008850500000003</v>
      </c>
      <c r="AA12">
        <v>4.3533957389999998</v>
      </c>
      <c r="AB12">
        <v>4.3243173270000002</v>
      </c>
      <c r="AC12">
        <v>4.3003933029999999</v>
      </c>
      <c r="AD12">
        <v>4.310026369</v>
      </c>
      <c r="AE12">
        <v>4.3170724869999999</v>
      </c>
      <c r="AF12">
        <v>4.3245363450000003</v>
      </c>
      <c r="AG12">
        <v>4.2777620450000002</v>
      </c>
      <c r="AH12">
        <v>4.22816481</v>
      </c>
      <c r="AI12">
        <v>4.1599970380000002</v>
      </c>
      <c r="AJ12">
        <v>4.0901181539999998</v>
      </c>
      <c r="AK12">
        <v>4.0203715019999997</v>
      </c>
      <c r="AL12">
        <v>3.9643045539999999</v>
      </c>
      <c r="AM12">
        <v>3.902643045</v>
      </c>
      <c r="AN12">
        <v>3.8905433720000002</v>
      </c>
      <c r="AO12">
        <v>3.882682645</v>
      </c>
      <c r="AP12">
        <v>3.871657758</v>
      </c>
      <c r="AQ12">
        <v>3.8604389939999999</v>
      </c>
      <c r="AR12">
        <v>3.8470847450000001</v>
      </c>
      <c r="AS12">
        <v>3.8092111590000002</v>
      </c>
      <c r="AT12">
        <v>3.7722050330000001</v>
      </c>
      <c r="AU12">
        <v>3.7356094610000001</v>
      </c>
      <c r="AV12">
        <v>3.6984578379999999</v>
      </c>
      <c r="AW12">
        <v>3.661329753</v>
      </c>
    </row>
    <row r="13" spans="1:49" x14ac:dyDescent="0.25">
      <c r="B13" t="s">
        <v>113</v>
      </c>
      <c r="C13">
        <v>0.21556468620722</v>
      </c>
      <c r="D13" s="39">
        <v>0.21902564697065</v>
      </c>
      <c r="E13" s="39">
        <v>0.22374130649999999</v>
      </c>
      <c r="F13" s="39">
        <v>0.25780654390000002</v>
      </c>
      <c r="G13" s="39">
        <v>0.29576549359999998</v>
      </c>
      <c r="H13" s="39">
        <v>0.30881002590000001</v>
      </c>
      <c r="I13" s="39">
        <v>0.35960743630000003</v>
      </c>
      <c r="J13" s="39">
        <v>0.41730038990000001</v>
      </c>
      <c r="K13" s="39">
        <v>0.47324562450000002</v>
      </c>
      <c r="L13" s="39">
        <v>0.52849264439999999</v>
      </c>
      <c r="M13">
        <v>0.59042909129999999</v>
      </c>
      <c r="N13">
        <v>0.65092138330000004</v>
      </c>
      <c r="O13">
        <v>0.59972682629999996</v>
      </c>
      <c r="P13">
        <v>0.57242877869999997</v>
      </c>
      <c r="Q13">
        <v>0.55125163150000001</v>
      </c>
      <c r="R13">
        <v>0.51213290089999997</v>
      </c>
      <c r="S13">
        <v>0.47246285630000001</v>
      </c>
      <c r="T13">
        <v>0.4998806006</v>
      </c>
      <c r="U13">
        <v>0.52984087170000005</v>
      </c>
      <c r="V13">
        <v>0.55569881840000002</v>
      </c>
      <c r="W13">
        <v>0.65144648640000002</v>
      </c>
      <c r="X13">
        <v>0.73274733110000001</v>
      </c>
      <c r="Y13">
        <v>0.71077684200000002</v>
      </c>
      <c r="Z13">
        <v>0.68756816369999996</v>
      </c>
      <c r="AA13">
        <v>0.66424587290000003</v>
      </c>
      <c r="AB13">
        <v>0.64396798740000005</v>
      </c>
      <c r="AC13">
        <v>0.62466978470000001</v>
      </c>
      <c r="AD13">
        <v>0.64727861009999998</v>
      </c>
      <c r="AE13">
        <v>0.66912159989999997</v>
      </c>
      <c r="AF13">
        <v>0.69065376369999998</v>
      </c>
      <c r="AG13">
        <v>0.70507585220000002</v>
      </c>
      <c r="AH13">
        <v>0.71830801200000005</v>
      </c>
      <c r="AI13">
        <v>0.75028016320000002</v>
      </c>
      <c r="AJ13">
        <v>0.78114472729999995</v>
      </c>
      <c r="AK13">
        <v>0.81120044570000005</v>
      </c>
      <c r="AL13">
        <v>0.84085570089999995</v>
      </c>
      <c r="AM13">
        <v>0.86861078899999999</v>
      </c>
      <c r="AN13">
        <v>0.8692777867</v>
      </c>
      <c r="AO13">
        <v>0.87083861350000002</v>
      </c>
      <c r="AP13">
        <v>0.87163824649999999</v>
      </c>
      <c r="AQ13">
        <v>0.87234072029999998</v>
      </c>
      <c r="AR13">
        <v>0.87250604990000002</v>
      </c>
      <c r="AS13">
        <v>0.87374250860000002</v>
      </c>
      <c r="AT13">
        <v>0.87503094069999998</v>
      </c>
      <c r="AU13">
        <v>0.87626988090000002</v>
      </c>
      <c r="AV13">
        <v>0.87723224209999995</v>
      </c>
      <c r="AW13">
        <v>0.87805159749999995</v>
      </c>
    </row>
    <row r="14" spans="1:49" x14ac:dyDescent="0.25">
      <c r="B14" t="s">
        <v>114</v>
      </c>
      <c r="C14">
        <v>35.839918454870201</v>
      </c>
      <c r="D14" s="39">
        <v>36.415339938413297</v>
      </c>
      <c r="E14">
        <v>37.199368419999999</v>
      </c>
      <c r="F14">
        <v>38.362546899999998</v>
      </c>
      <c r="G14">
        <v>39.389919999999996</v>
      </c>
      <c r="H14">
        <v>36.80892085</v>
      </c>
      <c r="I14">
        <v>38.363167320000002</v>
      </c>
      <c r="J14">
        <v>39.843610089999999</v>
      </c>
      <c r="K14">
        <v>40.440879979999998</v>
      </c>
      <c r="L14">
        <v>40.420067629999998</v>
      </c>
      <c r="M14">
        <v>40.41568419</v>
      </c>
      <c r="N14">
        <v>39.87813371</v>
      </c>
      <c r="O14">
        <v>38.553671729999998</v>
      </c>
      <c r="P14">
        <v>38.780351690000003</v>
      </c>
      <c r="Q14">
        <v>39.553918449999998</v>
      </c>
      <c r="R14">
        <v>39.148654399999998</v>
      </c>
      <c r="S14">
        <v>38.745095220000003</v>
      </c>
      <c r="T14">
        <v>39.01310376</v>
      </c>
      <c r="U14">
        <v>39.433226500000004</v>
      </c>
      <c r="V14">
        <v>39.512260869999999</v>
      </c>
      <c r="W14">
        <v>41.047412059999999</v>
      </c>
      <c r="X14">
        <v>41.911867919999999</v>
      </c>
      <c r="Y14">
        <v>42.068581889999997</v>
      </c>
      <c r="Z14">
        <v>42.122365449999997</v>
      </c>
      <c r="AA14">
        <v>42.134666060000001</v>
      </c>
      <c r="AB14">
        <v>42.346114110000002</v>
      </c>
      <c r="AC14">
        <v>42.601437349999998</v>
      </c>
      <c r="AD14">
        <v>42.734287090000002</v>
      </c>
      <c r="AE14">
        <v>42.840821269999999</v>
      </c>
      <c r="AF14">
        <v>42.95083829</v>
      </c>
      <c r="AG14">
        <v>42.743122620000001</v>
      </c>
      <c r="AH14">
        <v>42.498698779999998</v>
      </c>
      <c r="AI14">
        <v>42.6496134</v>
      </c>
      <c r="AJ14">
        <v>42.767647060000002</v>
      </c>
      <c r="AK14">
        <v>42.871051059999999</v>
      </c>
      <c r="AL14">
        <v>43.040355480000002</v>
      </c>
      <c r="AM14">
        <v>43.13555839</v>
      </c>
      <c r="AN14">
        <v>43.134417550000002</v>
      </c>
      <c r="AO14">
        <v>43.17817075</v>
      </c>
      <c r="AP14">
        <v>43.184703499999998</v>
      </c>
      <c r="AQ14">
        <v>43.186962029999997</v>
      </c>
      <c r="AR14">
        <v>43.163176489999998</v>
      </c>
      <c r="AS14">
        <v>43.053284329999997</v>
      </c>
      <c r="AT14">
        <v>42.948483490000001</v>
      </c>
      <c r="AU14">
        <v>42.843716829999998</v>
      </c>
      <c r="AV14">
        <v>42.727887199999998</v>
      </c>
      <c r="AW14">
        <v>42.607565510000001</v>
      </c>
    </row>
    <row r="15" spans="1:49" x14ac:dyDescent="0.25">
      <c r="B15" t="s">
        <v>115</v>
      </c>
      <c r="C15">
        <v>36.006525643363197</v>
      </c>
      <c r="D15" s="39">
        <v>36.584622059208101</v>
      </c>
      <c r="E15" s="39">
        <v>37.372061909999999</v>
      </c>
      <c r="F15" s="39">
        <v>38.333548049999997</v>
      </c>
      <c r="G15" s="39">
        <v>37.892585339999997</v>
      </c>
      <c r="H15" s="39">
        <v>36.785032319999999</v>
      </c>
      <c r="I15" s="39">
        <v>38.052602270000001</v>
      </c>
      <c r="J15" s="39">
        <v>38.397234050000002</v>
      </c>
      <c r="K15" s="39">
        <v>37.34564744</v>
      </c>
      <c r="L15" s="39">
        <v>36.983671299999997</v>
      </c>
      <c r="M15">
        <v>37.436756199999998</v>
      </c>
      <c r="N15">
        <v>38.392087570000001</v>
      </c>
      <c r="O15">
        <v>38.830790200000003</v>
      </c>
      <c r="P15" s="39">
        <v>38.637125429999998</v>
      </c>
      <c r="Q15">
        <v>36.823643629999999</v>
      </c>
      <c r="R15">
        <v>35.518229159999997</v>
      </c>
      <c r="S15">
        <v>35.017304230000001</v>
      </c>
      <c r="T15">
        <v>34.68175531</v>
      </c>
      <c r="U15">
        <v>34.430776000000002</v>
      </c>
      <c r="V15">
        <v>34.546584660000001</v>
      </c>
      <c r="W15">
        <v>33.671573819999999</v>
      </c>
      <c r="X15">
        <v>32.950509830000001</v>
      </c>
      <c r="Y15">
        <v>32.323828020000001</v>
      </c>
      <c r="Z15">
        <v>31.803611910000001</v>
      </c>
      <c r="AA15">
        <v>31.259786080000001</v>
      </c>
      <c r="AB15">
        <v>30.35972379</v>
      </c>
      <c r="AC15">
        <v>29.452904480000001</v>
      </c>
      <c r="AD15">
        <v>28.962850320000001</v>
      </c>
      <c r="AE15">
        <v>28.49909877</v>
      </c>
      <c r="AF15">
        <v>28.070578130000001</v>
      </c>
      <c r="AG15">
        <v>27.656313239999999</v>
      </c>
      <c r="AH15">
        <v>27.26992366</v>
      </c>
      <c r="AI15">
        <v>26.970688899999999</v>
      </c>
      <c r="AJ15">
        <v>26.72400356</v>
      </c>
      <c r="AK15">
        <v>26.493600929999999</v>
      </c>
      <c r="AL15">
        <v>26.169441750000001</v>
      </c>
      <c r="AM15">
        <v>25.898393810000002</v>
      </c>
      <c r="AN15">
        <v>25.758164369999999</v>
      </c>
      <c r="AO15">
        <v>25.61277432</v>
      </c>
      <c r="AP15">
        <v>25.468032350000001</v>
      </c>
      <c r="AQ15">
        <v>25.350140970000002</v>
      </c>
      <c r="AR15">
        <v>25.251940090000002</v>
      </c>
      <c r="AS15">
        <v>24.98042469</v>
      </c>
      <c r="AT15">
        <v>24.744269750000001</v>
      </c>
      <c r="AU15">
        <v>24.502275529999999</v>
      </c>
      <c r="AV15">
        <v>24.29129884</v>
      </c>
      <c r="AW15">
        <v>24.10131114</v>
      </c>
    </row>
    <row r="16" spans="1:49" x14ac:dyDescent="0.25">
      <c r="B16" t="s">
        <v>116</v>
      </c>
      <c r="C16">
        <v>33.108335480742298</v>
      </c>
      <c r="D16">
        <v>33.639900516080203</v>
      </c>
      <c r="E16">
        <v>34.363958789999998</v>
      </c>
      <c r="F16">
        <v>34.191593099999999</v>
      </c>
      <c r="G16">
        <v>32.785268430000002</v>
      </c>
      <c r="H16">
        <v>30.873071360000001</v>
      </c>
      <c r="I16">
        <v>30.979702639999999</v>
      </c>
      <c r="J16">
        <v>30.323338379999999</v>
      </c>
      <c r="K16">
        <v>28.60890611</v>
      </c>
      <c r="L16">
        <v>27.482451380000001</v>
      </c>
      <c r="M16">
        <v>26.985337080000001</v>
      </c>
      <c r="N16">
        <v>26.844514369999999</v>
      </c>
      <c r="O16">
        <v>27.03592952</v>
      </c>
      <c r="P16">
        <v>26.786538279999998</v>
      </c>
      <c r="Q16">
        <v>25.420299889999999</v>
      </c>
      <c r="R16">
        <v>24.414212970000001</v>
      </c>
      <c r="S16">
        <v>23.966631459999999</v>
      </c>
      <c r="T16">
        <v>22.777154240000002</v>
      </c>
      <c r="U16">
        <v>21.636651560000001</v>
      </c>
      <c r="V16">
        <v>20.462206470000002</v>
      </c>
      <c r="W16">
        <v>19.816442989999999</v>
      </c>
      <c r="X16">
        <v>19.006461980000001</v>
      </c>
      <c r="Y16">
        <v>17.849161169999999</v>
      </c>
      <c r="Z16">
        <v>16.789368719999999</v>
      </c>
      <c r="AA16">
        <v>15.75092778</v>
      </c>
      <c r="AB16">
        <v>14.60159292</v>
      </c>
      <c r="AC16">
        <v>13.494415699999999</v>
      </c>
      <c r="AD16">
        <v>11.9088455</v>
      </c>
      <c r="AE16">
        <v>10.410881440000001</v>
      </c>
      <c r="AF16">
        <v>8.9985627889999904</v>
      </c>
      <c r="AG16">
        <v>8.1880515319999905</v>
      </c>
      <c r="AH16">
        <v>7.4216389080000003</v>
      </c>
      <c r="AI16">
        <v>6.680295267</v>
      </c>
      <c r="AJ16">
        <v>5.9836920769999997</v>
      </c>
      <c r="AK16">
        <v>5.3184380000000004</v>
      </c>
      <c r="AL16">
        <v>6.1669400689999998</v>
      </c>
      <c r="AM16">
        <v>6.983357786</v>
      </c>
      <c r="AN16">
        <v>5.9560006269999999</v>
      </c>
      <c r="AO16">
        <v>4.9609532380000001</v>
      </c>
      <c r="AP16">
        <v>3.9990248749999999</v>
      </c>
      <c r="AQ16">
        <v>3.0731143030000001</v>
      </c>
      <c r="AR16">
        <v>2.1780965640000001</v>
      </c>
      <c r="AS16">
        <v>2.5201700329999999</v>
      </c>
      <c r="AT16">
        <v>2.8508883740000002</v>
      </c>
      <c r="AU16">
        <v>3.1658591129999998</v>
      </c>
      <c r="AV16">
        <v>3.4718493000000001</v>
      </c>
      <c r="AW16">
        <v>3.768897656</v>
      </c>
    </row>
    <row r="17" spans="2:49" x14ac:dyDescent="0.25">
      <c r="B17" t="s">
        <v>117</v>
      </c>
      <c r="C17">
        <v>1.54983431156195</v>
      </c>
      <c r="D17">
        <v>1.57471740274219</v>
      </c>
      <c r="E17">
        <v>1.608611295</v>
      </c>
      <c r="F17" s="39">
        <v>2.629014518</v>
      </c>
      <c r="G17" s="39">
        <v>3.5019673889999998</v>
      </c>
      <c r="H17" s="39">
        <v>4.2061982760000003</v>
      </c>
      <c r="I17">
        <v>5.102617553</v>
      </c>
      <c r="J17">
        <v>5.809892327</v>
      </c>
      <c r="K17">
        <v>6.1820149469999999</v>
      </c>
      <c r="L17">
        <v>6.5155482500000002</v>
      </c>
      <c r="M17">
        <v>6.8306419350000001</v>
      </c>
      <c r="N17">
        <v>7.0411191799999999</v>
      </c>
      <c r="O17">
        <v>7.2040504160000003</v>
      </c>
      <c r="P17">
        <v>7.2500345709999996</v>
      </c>
      <c r="Q17">
        <v>6.9876733169999996</v>
      </c>
      <c r="R17">
        <v>6.8149874099999996</v>
      </c>
      <c r="S17">
        <v>6.792712377</v>
      </c>
      <c r="T17">
        <v>6.906570576</v>
      </c>
      <c r="U17">
        <v>7.0384943040000003</v>
      </c>
      <c r="V17">
        <v>7.4566850599999999</v>
      </c>
      <c r="W17">
        <v>7.0458848080000003</v>
      </c>
      <c r="X17">
        <v>6.8996367249999997</v>
      </c>
      <c r="Y17">
        <v>6.8435115350000002</v>
      </c>
      <c r="Z17">
        <v>6.8085694139999999</v>
      </c>
      <c r="AA17">
        <v>6.7696948270000004</v>
      </c>
      <c r="AB17">
        <v>6.673669683</v>
      </c>
      <c r="AC17">
        <v>6.578109338</v>
      </c>
      <c r="AD17">
        <v>6.9573017210000003</v>
      </c>
      <c r="AE17">
        <v>7.3179361500000004</v>
      </c>
      <c r="AF17">
        <v>7.6634243350000002</v>
      </c>
      <c r="AG17">
        <v>7.6742805470000004</v>
      </c>
      <c r="AH17">
        <v>7.6882889390000004</v>
      </c>
      <c r="AI17">
        <v>7.7288705579999997</v>
      </c>
      <c r="AJ17">
        <v>7.7775577550000001</v>
      </c>
      <c r="AK17">
        <v>7.8266768449999997</v>
      </c>
      <c r="AL17">
        <v>6.905963882</v>
      </c>
      <c r="AM17">
        <v>6.038702797</v>
      </c>
      <c r="AN17">
        <v>6.4998490880000004</v>
      </c>
      <c r="AO17">
        <v>6.9439633890000003</v>
      </c>
      <c r="AP17">
        <v>7.3723389309999998</v>
      </c>
      <c r="AQ17">
        <v>7.7909492599999997</v>
      </c>
      <c r="AR17">
        <v>8.2001118000000002</v>
      </c>
      <c r="AS17">
        <v>7.7215695430000002</v>
      </c>
      <c r="AT17">
        <v>7.2683079490000004</v>
      </c>
      <c r="AU17">
        <v>6.8308974969999996</v>
      </c>
      <c r="AV17">
        <v>6.4143714489999999</v>
      </c>
      <c r="AW17">
        <v>6.0151230360000003</v>
      </c>
    </row>
    <row r="18" spans="2:49" x14ac:dyDescent="0.25">
      <c r="B18" t="s">
        <v>118</v>
      </c>
      <c r="C18">
        <v>0.19372928894524399</v>
      </c>
      <c r="D18">
        <v>0.196839675342774</v>
      </c>
      <c r="E18">
        <v>0.2010764119</v>
      </c>
      <c r="F18">
        <v>0.1939909869</v>
      </c>
      <c r="G18">
        <v>0.18036208140000001</v>
      </c>
      <c r="H18">
        <v>0.16468369769999999</v>
      </c>
      <c r="I18">
        <v>0.16023312279999999</v>
      </c>
      <c r="J18">
        <v>0.1520744809</v>
      </c>
      <c r="K18">
        <v>0.13911849209999999</v>
      </c>
      <c r="L18">
        <v>0.12958160539999999</v>
      </c>
      <c r="M18">
        <v>0.1233729683</v>
      </c>
      <c r="N18">
        <v>0.1190013798</v>
      </c>
      <c r="O18">
        <v>0.18075843529999999</v>
      </c>
      <c r="P18">
        <v>0.2398444914</v>
      </c>
      <c r="Q18">
        <v>0.2856559971</v>
      </c>
      <c r="R18">
        <v>0.33047600440000002</v>
      </c>
      <c r="S18">
        <v>0.37988941679999999</v>
      </c>
      <c r="T18">
        <v>0.58598982619999995</v>
      </c>
      <c r="U18">
        <v>0.79495402140000004</v>
      </c>
      <c r="V18">
        <v>1.0285220369999999</v>
      </c>
      <c r="W18">
        <v>1.088065654</v>
      </c>
      <c r="X18">
        <v>1.155367689</v>
      </c>
      <c r="Y18">
        <v>1.480817719</v>
      </c>
      <c r="Z18">
        <v>1.793088351</v>
      </c>
      <c r="AA18">
        <v>2.0870978930000001</v>
      </c>
      <c r="AB18">
        <v>2.2914919980000001</v>
      </c>
      <c r="AC18">
        <v>2.4742120550000002</v>
      </c>
      <c r="AD18">
        <v>2.8829854309999998</v>
      </c>
      <c r="AE18">
        <v>3.267548509</v>
      </c>
      <c r="AF18">
        <v>3.631056128</v>
      </c>
      <c r="AG18">
        <v>3.892790594</v>
      </c>
      <c r="AH18">
        <v>4.1406477639999997</v>
      </c>
      <c r="AI18">
        <v>4.459105009</v>
      </c>
      <c r="AJ18">
        <v>4.7693550370000004</v>
      </c>
      <c r="AK18">
        <v>5.0666410019999999</v>
      </c>
      <c r="AL18">
        <v>5.16612341</v>
      </c>
      <c r="AM18">
        <v>5.2685447380000001</v>
      </c>
      <c r="AN18">
        <v>5.498718899</v>
      </c>
      <c r="AO18">
        <v>5.7184240170000002</v>
      </c>
      <c r="AP18">
        <v>5.9293094130000004</v>
      </c>
      <c r="AQ18">
        <v>6.1391561619999999</v>
      </c>
      <c r="AR18">
        <v>6.3471014019999998</v>
      </c>
      <c r="AS18" s="39">
        <v>6.4667914839999998</v>
      </c>
      <c r="AT18">
        <v>6.5887446509999998</v>
      </c>
      <c r="AU18">
        <v>6.7006695230000002</v>
      </c>
      <c r="AV18">
        <v>6.8152039689999997</v>
      </c>
      <c r="AW18">
        <v>6.9299889410000004</v>
      </c>
    </row>
    <row r="19" spans="2:49" x14ac:dyDescent="0.25">
      <c r="B19" t="s">
        <v>119</v>
      </c>
      <c r="C19">
        <v>0.57343869527792402</v>
      </c>
      <c r="D19" s="39">
        <v>0.58264543901461296</v>
      </c>
      <c r="E19" s="39">
        <v>0.59518617910000005</v>
      </c>
      <c r="F19">
        <v>0.58591547190000004</v>
      </c>
      <c r="G19">
        <v>0.55585351350000001</v>
      </c>
      <c r="H19">
        <v>0.51787796119999996</v>
      </c>
      <c r="I19">
        <v>0.51415115909999998</v>
      </c>
      <c r="J19">
        <v>0.49791655730000001</v>
      </c>
      <c r="K19">
        <v>0.4647793133</v>
      </c>
      <c r="L19">
        <v>0.44174026500000002</v>
      </c>
      <c r="M19">
        <v>0.42914627550000001</v>
      </c>
      <c r="N19">
        <v>0.42237580629999999</v>
      </c>
      <c r="O19">
        <v>0.6261886874</v>
      </c>
      <c r="P19">
        <v>0.82070236559999998</v>
      </c>
      <c r="Q19">
        <v>0.97020249349999999</v>
      </c>
      <c r="R19">
        <v>1.116837122</v>
      </c>
      <c r="S19">
        <v>1.2792404550000001</v>
      </c>
      <c r="T19">
        <v>1.3200622980000001</v>
      </c>
      <c r="U19">
        <v>1.3644661730000001</v>
      </c>
      <c r="V19">
        <v>1.430344233</v>
      </c>
      <c r="W19">
        <v>1.1914399149999999</v>
      </c>
      <c r="X19">
        <v>1.0144281420000001</v>
      </c>
      <c r="Y19">
        <v>1.0271437859999999</v>
      </c>
      <c r="Z19">
        <v>1.0416931330000001</v>
      </c>
      <c r="AA19">
        <v>1.05412386</v>
      </c>
      <c r="AB19">
        <v>1.0449434799999999</v>
      </c>
      <c r="AC19">
        <v>1.0342757579999999</v>
      </c>
      <c r="AD19">
        <v>1.0574734459999999</v>
      </c>
      <c r="AE19">
        <v>1.079407308</v>
      </c>
      <c r="AF19">
        <v>1.100554941</v>
      </c>
      <c r="AG19">
        <v>1.084614102</v>
      </c>
      <c r="AH19">
        <v>1.069833136</v>
      </c>
      <c r="AI19">
        <v>1.069196866</v>
      </c>
      <c r="AJ19">
        <v>1.07008119</v>
      </c>
      <c r="AK19">
        <v>1.0711799849999999</v>
      </c>
      <c r="AL19">
        <v>0.9684599679</v>
      </c>
      <c r="AM19">
        <v>0.87209619189999998</v>
      </c>
      <c r="AN19">
        <v>0.90959632369999999</v>
      </c>
      <c r="AO19">
        <v>0.9455139642</v>
      </c>
      <c r="AP19">
        <v>0.98006404339999997</v>
      </c>
      <c r="AQ19">
        <v>1.0142412169999999</v>
      </c>
      <c r="AR19">
        <v>1.0479522779999999</v>
      </c>
      <c r="AS19">
        <v>0.99086221409999997</v>
      </c>
      <c r="AT19">
        <v>0.93702858079999995</v>
      </c>
      <c r="AU19">
        <v>0.88487946809999996</v>
      </c>
      <c r="AV19">
        <v>0.83546135669999999</v>
      </c>
      <c r="AW19">
        <v>0.78825135059999996</v>
      </c>
    </row>
    <row r="20" spans="2:49" x14ac:dyDescent="0.25">
      <c r="B20" t="s">
        <v>120</v>
      </c>
      <c r="C20">
        <v>0.19372928894524399</v>
      </c>
      <c r="D20" s="39">
        <v>0.196839675342774</v>
      </c>
      <c r="E20">
        <v>0.2010764119</v>
      </c>
      <c r="F20" s="39">
        <v>0.20577319290000001</v>
      </c>
      <c r="G20">
        <v>0.20293629469999999</v>
      </c>
      <c r="H20" s="39">
        <v>0.19654968049999999</v>
      </c>
      <c r="I20" s="39">
        <v>0.2028529244</v>
      </c>
      <c r="J20" s="39">
        <v>0.2042173156</v>
      </c>
      <c r="K20" s="39">
        <v>0.1981656272</v>
      </c>
      <c r="L20" s="39">
        <v>0.19579160430000001</v>
      </c>
      <c r="M20">
        <v>0.19773245859999999</v>
      </c>
      <c r="N20">
        <v>0.20230992719999999</v>
      </c>
      <c r="O20">
        <v>0.23749790109999999</v>
      </c>
      <c r="P20">
        <v>0.26896660639999997</v>
      </c>
      <c r="Q20">
        <v>0.2874068005</v>
      </c>
      <c r="R20">
        <v>0.30712736019999998</v>
      </c>
      <c r="S20">
        <v>0.33223021740000003</v>
      </c>
      <c r="T20">
        <v>0.39156071780000001</v>
      </c>
      <c r="U20">
        <v>0.45227369020000002</v>
      </c>
      <c r="V20">
        <v>0.54026796720000003</v>
      </c>
      <c r="W20">
        <v>0.5062335348</v>
      </c>
      <c r="X20">
        <v>0.50171536930000005</v>
      </c>
      <c r="Y20">
        <v>0.53352756639999999</v>
      </c>
      <c r="Z20">
        <v>0.56519469150000001</v>
      </c>
      <c r="AA20">
        <v>0.59489092259999998</v>
      </c>
      <c r="AB20">
        <v>0.61910164180000005</v>
      </c>
      <c r="AC20">
        <v>0.64082717229999997</v>
      </c>
      <c r="AD20">
        <v>0.73736178060000002</v>
      </c>
      <c r="AE20">
        <v>0.82859169310000003</v>
      </c>
      <c r="AF20">
        <v>0.91516709259999995</v>
      </c>
      <c r="AG20">
        <v>0.95831447739999998</v>
      </c>
      <c r="AH20">
        <v>0.99946951640000004</v>
      </c>
      <c r="AI20">
        <v>1.015545162</v>
      </c>
      <c r="AJ20">
        <v>1.0322524580000001</v>
      </c>
      <c r="AK20">
        <v>1.0484999660000001</v>
      </c>
      <c r="AL20">
        <v>0.94027730310000002</v>
      </c>
      <c r="AM20">
        <v>0.83859796480000004</v>
      </c>
      <c r="AN20">
        <v>0.90529743070000002</v>
      </c>
      <c r="AO20">
        <v>0.96944620729999997</v>
      </c>
      <c r="AP20">
        <v>1.03126797</v>
      </c>
      <c r="AQ20">
        <v>1.091815684</v>
      </c>
      <c r="AR20">
        <v>1.1511043910000001</v>
      </c>
      <c r="AS20">
        <v>1.09432145</v>
      </c>
      <c r="AT20">
        <v>1.040843516</v>
      </c>
      <c r="AU20">
        <v>0.9890041544</v>
      </c>
      <c r="AV20">
        <v>0.93993603000000003</v>
      </c>
      <c r="AW20">
        <v>0.89309429809999996</v>
      </c>
    </row>
    <row r="21" spans="2:49" x14ac:dyDescent="0.25">
      <c r="B21" t="s">
        <v>121</v>
      </c>
      <c r="C21">
        <v>0.38745857789048899</v>
      </c>
      <c r="D21" s="39">
        <v>0.39367935068554899</v>
      </c>
      <c r="E21" s="39">
        <v>0.4021528237</v>
      </c>
      <c r="F21" s="39">
        <v>0.52726078610000005</v>
      </c>
      <c r="G21" s="39">
        <v>0.66619763030000001</v>
      </c>
      <c r="H21">
        <v>0.82665135099999998</v>
      </c>
      <c r="I21">
        <v>1.093044873</v>
      </c>
      <c r="J21">
        <v>1.409794988</v>
      </c>
      <c r="K21" s="39">
        <v>1.7526629490000001</v>
      </c>
      <c r="L21" s="39">
        <v>2.218558195</v>
      </c>
      <c r="M21">
        <v>2.8705254870000001</v>
      </c>
      <c r="N21">
        <v>3.7627669030000002</v>
      </c>
      <c r="O21">
        <v>3.5463652360000002</v>
      </c>
      <c r="P21">
        <v>3.2710391190000001</v>
      </c>
      <c r="Q21">
        <v>2.8724051309999998</v>
      </c>
      <c r="R21">
        <v>2.5345882909999999</v>
      </c>
      <c r="S21">
        <v>2.2666002999999999</v>
      </c>
      <c r="T21">
        <v>2.7004176489999998</v>
      </c>
      <c r="U21">
        <v>3.1439362470000001</v>
      </c>
      <c r="V21">
        <v>3.628558891</v>
      </c>
      <c r="W21">
        <v>4.02350692</v>
      </c>
      <c r="X21">
        <v>4.3728999259999997</v>
      </c>
      <c r="Y21">
        <v>4.5896662340000001</v>
      </c>
      <c r="Z21">
        <v>4.8056976039999997</v>
      </c>
      <c r="AA21">
        <v>5.0030507990000004</v>
      </c>
      <c r="AB21">
        <v>5.1289240749999996</v>
      </c>
      <c r="AC21">
        <v>5.2310644599999998</v>
      </c>
      <c r="AD21">
        <v>5.41888244</v>
      </c>
      <c r="AE21">
        <v>5.5947336740000004</v>
      </c>
      <c r="AF21">
        <v>5.7618128410000002</v>
      </c>
      <c r="AG21">
        <v>5.8582619879999998</v>
      </c>
      <c r="AH21">
        <v>5.950045394</v>
      </c>
      <c r="AI21">
        <v>6.017676035</v>
      </c>
      <c r="AJ21">
        <v>6.0910650400000002</v>
      </c>
      <c r="AK21">
        <v>6.1621651310000001</v>
      </c>
      <c r="AL21">
        <v>6.0216771180000004</v>
      </c>
      <c r="AM21">
        <v>5.8970943289999997</v>
      </c>
      <c r="AN21">
        <v>5.9887019989999999</v>
      </c>
      <c r="AO21">
        <v>6.0744735050000003</v>
      </c>
      <c r="AP21">
        <v>6.1560271139999996</v>
      </c>
      <c r="AQ21">
        <v>6.240864341</v>
      </c>
      <c r="AR21">
        <v>6.3275736519999999</v>
      </c>
      <c r="AS21">
        <v>6.1867099630000002</v>
      </c>
      <c r="AT21">
        <v>6.0584566759999996</v>
      </c>
      <c r="AU21">
        <v>5.9309657729999996</v>
      </c>
      <c r="AV21">
        <v>5.8144767389999998</v>
      </c>
      <c r="AW21">
        <v>5.7059558529999999</v>
      </c>
    </row>
    <row r="22" spans="2:49" x14ac:dyDescent="0.25">
      <c r="B22" t="s">
        <v>122</v>
      </c>
      <c r="C22">
        <v>5.5705789795526002</v>
      </c>
      <c r="D22" s="39">
        <v>5.6600164269241402</v>
      </c>
      <c r="E22">
        <v>5.7508898210000003</v>
      </c>
      <c r="F22">
        <v>5.7944176909999996</v>
      </c>
      <c r="G22">
        <v>4.8282380570000001</v>
      </c>
      <c r="H22">
        <v>4.2261073830000004</v>
      </c>
      <c r="I22">
        <v>4.0941823670000002</v>
      </c>
      <c r="J22">
        <v>3.9114818040000001</v>
      </c>
      <c r="K22">
        <v>3.7754585340000002</v>
      </c>
      <c r="L22">
        <v>4.0194348240000002</v>
      </c>
      <c r="M22">
        <v>4.1198388450000003</v>
      </c>
      <c r="N22">
        <v>4.1903269859999996</v>
      </c>
      <c r="O22">
        <v>3.2922486470000001</v>
      </c>
      <c r="P22">
        <v>2.775817188</v>
      </c>
      <c r="Q22">
        <v>2.4425633360000001</v>
      </c>
      <c r="R22">
        <v>2.229243114</v>
      </c>
      <c r="S22">
        <v>2.052617036</v>
      </c>
      <c r="T22">
        <v>2.0139272940000001</v>
      </c>
      <c r="U22">
        <v>1.9885553650000001</v>
      </c>
      <c r="V22">
        <v>1.685813303</v>
      </c>
      <c r="W22">
        <v>1.291013553</v>
      </c>
      <c r="X22">
        <v>0.92962630560000004</v>
      </c>
      <c r="Y22">
        <v>0.69574596529999999</v>
      </c>
      <c r="Z22">
        <v>0.53793738059999996</v>
      </c>
      <c r="AA22">
        <v>0.42738048049999999</v>
      </c>
      <c r="AB22">
        <v>0.347907672</v>
      </c>
      <c r="AC22">
        <v>0.28998512830000001</v>
      </c>
      <c r="AD22">
        <v>0.25841595169999998</v>
      </c>
      <c r="AE22">
        <v>0.23557915460000001</v>
      </c>
      <c r="AF22">
        <v>0.21715978</v>
      </c>
      <c r="AG22">
        <v>0.2021100528</v>
      </c>
      <c r="AH22">
        <v>0.1893240863</v>
      </c>
      <c r="AI22">
        <v>0.178728516</v>
      </c>
      <c r="AJ22">
        <v>0.1697840994</v>
      </c>
      <c r="AK22">
        <v>0.16208974200000001</v>
      </c>
      <c r="AL22">
        <v>0.1555353424</v>
      </c>
      <c r="AM22">
        <v>0.14972520449999999</v>
      </c>
      <c r="AN22">
        <v>0.14374145739999999</v>
      </c>
      <c r="AO22">
        <v>0.13825810129999999</v>
      </c>
      <c r="AP22">
        <v>0.1329869206</v>
      </c>
      <c r="AQ22">
        <v>0.12814534890000001</v>
      </c>
      <c r="AR22">
        <v>0.12339649799999999</v>
      </c>
      <c r="AS22">
        <v>0.1194312777</v>
      </c>
      <c r="AT22">
        <v>0.11588500409999999</v>
      </c>
      <c r="AU22">
        <v>0.1126010797</v>
      </c>
      <c r="AV22">
        <v>0.10951628770000001</v>
      </c>
      <c r="AW22">
        <v>0.1066565629</v>
      </c>
    </row>
    <row r="23" spans="2:49" x14ac:dyDescent="0.25">
      <c r="B23" t="s">
        <v>123</v>
      </c>
      <c r="C23">
        <v>155.572754408756</v>
      </c>
      <c r="D23" s="39">
        <v>158.07052530222199</v>
      </c>
      <c r="E23" s="39">
        <v>160.99352300000001</v>
      </c>
      <c r="F23" s="39">
        <v>163.72139179999999</v>
      </c>
      <c r="G23">
        <v>160.44778650000001</v>
      </c>
      <c r="H23">
        <v>154.1782503</v>
      </c>
      <c r="I23">
        <v>155.67836560000001</v>
      </c>
      <c r="J23">
        <v>155.86601390000001</v>
      </c>
      <c r="K23">
        <v>153.45388729999999</v>
      </c>
      <c r="L23">
        <v>152.0509912</v>
      </c>
      <c r="M23">
        <v>152.68386430000001</v>
      </c>
      <c r="N23">
        <v>153.95898199999999</v>
      </c>
      <c r="O23">
        <v>150.77841599999999</v>
      </c>
      <c r="P23">
        <v>148.7181598</v>
      </c>
      <c r="Q23">
        <v>145.0124711</v>
      </c>
      <c r="R23">
        <v>141.8554887</v>
      </c>
      <c r="S23">
        <v>139.18877950000001</v>
      </c>
      <c r="T23">
        <v>138.4093258</v>
      </c>
      <c r="U23">
        <v>137.8177488</v>
      </c>
      <c r="V23">
        <v>136.67731889999999</v>
      </c>
      <c r="W23">
        <v>134.75165809999999</v>
      </c>
      <c r="X23">
        <v>132.13532409999999</v>
      </c>
      <c r="Y23">
        <v>129.36743939999999</v>
      </c>
      <c r="Z23">
        <v>126.7727883</v>
      </c>
      <c r="AA23">
        <v>124.2070166</v>
      </c>
      <c r="AB23">
        <v>121.4221436</v>
      </c>
      <c r="AC23">
        <v>118.70223</v>
      </c>
      <c r="AD23">
        <v>116.3229961</v>
      </c>
      <c r="AE23">
        <v>114.0224042</v>
      </c>
      <c r="AF23">
        <v>111.79749409999999</v>
      </c>
      <c r="AG23">
        <v>109.33664539999999</v>
      </c>
      <c r="AH23">
        <v>106.9122007</v>
      </c>
      <c r="AI23">
        <v>104.946935</v>
      </c>
      <c r="AJ23">
        <v>103.0817673</v>
      </c>
      <c r="AK23">
        <v>101.2497369</v>
      </c>
      <c r="AL23">
        <v>99.505616130000007</v>
      </c>
      <c r="AM23">
        <v>97.767056030000006</v>
      </c>
      <c r="AN23">
        <v>96.292665389999996</v>
      </c>
      <c r="AO23">
        <v>94.930528640000006</v>
      </c>
      <c r="AP23">
        <v>93.539233050000007</v>
      </c>
      <c r="AQ23">
        <v>92.224014170000004</v>
      </c>
      <c r="AR23">
        <v>90.917643609999999</v>
      </c>
      <c r="AS23">
        <v>89.651488110000003</v>
      </c>
      <c r="AT23">
        <v>88.466300649999994</v>
      </c>
      <c r="AU23">
        <v>87.320673909999996</v>
      </c>
      <c r="AV23">
        <v>86.232199489999999</v>
      </c>
      <c r="AW23">
        <v>85.201889449999996</v>
      </c>
    </row>
    <row r="24" spans="2:49" x14ac:dyDescent="0.25">
      <c r="B24" t="s">
        <v>124</v>
      </c>
      <c r="C24">
        <v>2.7703288319169999</v>
      </c>
      <c r="D24">
        <v>2.8148073574016701</v>
      </c>
      <c r="E24">
        <v>2.86</v>
      </c>
      <c r="F24">
        <v>2.9566524890000001</v>
      </c>
      <c r="G24">
        <v>2.8464310070000001</v>
      </c>
      <c r="H24">
        <v>2.9640681510000002</v>
      </c>
      <c r="I24">
        <v>3.0706524549999998</v>
      </c>
      <c r="J24">
        <v>2.9386903559999999</v>
      </c>
      <c r="K24">
        <v>2.8534857370000002</v>
      </c>
      <c r="L24">
        <v>2.7760941730000002</v>
      </c>
      <c r="M24">
        <v>2.9562386859999998</v>
      </c>
      <c r="N24">
        <v>3.1130460769999999</v>
      </c>
      <c r="O24">
        <v>3.1845099490000002</v>
      </c>
      <c r="P24">
        <v>3.2050812610000001</v>
      </c>
      <c r="Q24">
        <v>3.0074016430000001</v>
      </c>
      <c r="R24">
        <v>2.9981704329999999</v>
      </c>
      <c r="S24">
        <v>3.023019997</v>
      </c>
      <c r="T24">
        <v>3.0500528139999998</v>
      </c>
      <c r="U24">
        <v>3.0748048940000001</v>
      </c>
      <c r="V24">
        <v>3.1313625620000001</v>
      </c>
      <c r="W24">
        <v>3.149289537</v>
      </c>
      <c r="X24">
        <v>3.1490086270000002</v>
      </c>
      <c r="Y24">
        <v>3.1936750819999999</v>
      </c>
      <c r="Z24">
        <v>3.2466123470000001</v>
      </c>
      <c r="AA24">
        <v>3.2991082380000001</v>
      </c>
      <c r="AB24">
        <v>3.3483495080000001</v>
      </c>
      <c r="AC24">
        <v>3.3913056109999999</v>
      </c>
      <c r="AD24">
        <v>3.4350333540000002</v>
      </c>
      <c r="AE24">
        <v>3.4823971149999999</v>
      </c>
      <c r="AF24">
        <v>3.5309075320000001</v>
      </c>
      <c r="AG24">
        <v>3.5805975839999999</v>
      </c>
      <c r="AH24">
        <v>3.6340869869999999</v>
      </c>
      <c r="AI24">
        <v>3.6928148310000002</v>
      </c>
      <c r="AJ24">
        <v>3.7575435910000001</v>
      </c>
      <c r="AK24">
        <v>3.8210403570000002</v>
      </c>
      <c r="AL24">
        <v>3.8899835020000002</v>
      </c>
      <c r="AM24">
        <v>3.9577288570000002</v>
      </c>
      <c r="AN24">
        <v>4.0244857329999997</v>
      </c>
      <c r="AO24">
        <v>4.0953899260000002</v>
      </c>
      <c r="AP24">
        <v>4.1617206930000004</v>
      </c>
      <c r="AQ24">
        <v>4.2284224330000004</v>
      </c>
      <c r="AR24">
        <v>4.2942606779999997</v>
      </c>
      <c r="AS24">
        <v>4.3550635489999996</v>
      </c>
      <c r="AT24">
        <v>4.4166078149999999</v>
      </c>
      <c r="AU24">
        <v>4.4800482280000002</v>
      </c>
      <c r="AV24">
        <v>4.5453359549999997</v>
      </c>
      <c r="AW24">
        <v>4.6119878099999996</v>
      </c>
    </row>
    <row r="25" spans="2:49" x14ac:dyDescent="0.25">
      <c r="B25" t="s">
        <v>125</v>
      </c>
      <c r="C25">
        <v>46.663857241186399</v>
      </c>
      <c r="D25">
        <v>47.413060563046002</v>
      </c>
      <c r="E25">
        <v>48.17429259</v>
      </c>
      <c r="F25">
        <v>49.048197350000002</v>
      </c>
      <c r="G25">
        <v>46.466225899999998</v>
      </c>
      <c r="H25">
        <v>42.367196970000002</v>
      </c>
      <c r="I25">
        <v>42.267296989999998</v>
      </c>
      <c r="J25">
        <v>42.677468140000002</v>
      </c>
      <c r="K25">
        <v>40.605956599999999</v>
      </c>
      <c r="L25">
        <v>40.124753859999998</v>
      </c>
      <c r="M25">
        <v>40.542876870000001</v>
      </c>
      <c r="N25">
        <v>41.253338100000001</v>
      </c>
      <c r="O25">
        <v>38.980856299999999</v>
      </c>
      <c r="P25">
        <v>37.280576910000001</v>
      </c>
      <c r="Q25">
        <v>35.154537519999998</v>
      </c>
      <c r="R25">
        <v>33.588657040000001</v>
      </c>
      <c r="S25">
        <v>32.476135329999998</v>
      </c>
      <c r="T25">
        <v>32.447352870000003</v>
      </c>
      <c r="U25">
        <v>32.539808059999999</v>
      </c>
      <c r="V25">
        <v>32.958807020000002</v>
      </c>
      <c r="W25">
        <v>31.293074520000001</v>
      </c>
      <c r="X25">
        <v>29.601750769999999</v>
      </c>
      <c r="Y25">
        <v>28.680649110000001</v>
      </c>
      <c r="Z25">
        <v>28.238297920000001</v>
      </c>
      <c r="AA25">
        <v>28.06534418</v>
      </c>
      <c r="AB25">
        <v>28.098565069999999</v>
      </c>
      <c r="AC25">
        <v>28.33756082</v>
      </c>
      <c r="AD25">
        <v>28.530264519999999</v>
      </c>
      <c r="AE25">
        <v>28.83534341</v>
      </c>
      <c r="AF25">
        <v>29.170695200000001</v>
      </c>
      <c r="AG25">
        <v>29.520881339999999</v>
      </c>
      <c r="AH25">
        <v>29.90351553</v>
      </c>
      <c r="AI25">
        <v>30.341876129999999</v>
      </c>
      <c r="AJ25">
        <v>30.79352797</v>
      </c>
      <c r="AK25">
        <v>31.25259922</v>
      </c>
      <c r="AL25">
        <v>31.739055969999999</v>
      </c>
      <c r="AM25">
        <v>32.215940920000001</v>
      </c>
      <c r="AN25">
        <v>32.707150140000003</v>
      </c>
      <c r="AO25">
        <v>33.225735149999998</v>
      </c>
      <c r="AP25">
        <v>33.726080869999997</v>
      </c>
      <c r="AQ25">
        <v>34.24723487</v>
      </c>
      <c r="AR25">
        <v>34.757964110000003</v>
      </c>
      <c r="AS25">
        <v>35.22878145</v>
      </c>
      <c r="AT25">
        <v>35.718270250000003</v>
      </c>
      <c r="AU25">
        <v>36.21528713</v>
      </c>
      <c r="AV25">
        <v>36.722326469999999</v>
      </c>
      <c r="AW25">
        <v>37.245916960000002</v>
      </c>
    </row>
    <row r="26" spans="2:49" x14ac:dyDescent="0.25">
      <c r="B26" t="s">
        <v>126</v>
      </c>
      <c r="C26">
        <v>39.525714811669303</v>
      </c>
      <c r="D26">
        <v>40.160312947925298</v>
      </c>
      <c r="E26">
        <v>40.805099759999997</v>
      </c>
      <c r="F26">
        <v>40.565937329999997</v>
      </c>
      <c r="G26">
        <v>40.038979599999998</v>
      </c>
      <c r="H26">
        <v>39.790061000000001</v>
      </c>
      <c r="I26">
        <v>39.627342040000002</v>
      </c>
      <c r="J26">
        <v>39.241998950000003</v>
      </c>
      <c r="K26">
        <v>38.643868980000001</v>
      </c>
      <c r="L26">
        <v>38.161680330000003</v>
      </c>
      <c r="M26">
        <v>37.800621030000002</v>
      </c>
      <c r="N26">
        <v>37.598777140000003</v>
      </c>
      <c r="O26">
        <v>37.585568719999998</v>
      </c>
      <c r="P26">
        <v>37.377440020000002</v>
      </c>
      <c r="Q26">
        <v>36.799912409999997</v>
      </c>
      <c r="R26">
        <v>36.228535180000002</v>
      </c>
      <c r="S26">
        <v>35.72572504</v>
      </c>
      <c r="T26">
        <v>35.094052069999996</v>
      </c>
      <c r="U26">
        <v>34.721126040000001</v>
      </c>
      <c r="V26">
        <v>34.391964420000001</v>
      </c>
      <c r="W26">
        <v>33.963996299999998</v>
      </c>
      <c r="X26">
        <v>33.430865300000001</v>
      </c>
      <c r="Y26">
        <v>32.849748079999998</v>
      </c>
      <c r="Z26">
        <v>32.23380942</v>
      </c>
      <c r="AA26">
        <v>31.620745360000001</v>
      </c>
      <c r="AB26">
        <v>30.940977660000001</v>
      </c>
      <c r="AC26">
        <v>30.27846692</v>
      </c>
      <c r="AD26">
        <v>29.670324529999998</v>
      </c>
      <c r="AE26">
        <v>29.076899650000001</v>
      </c>
      <c r="AF26">
        <v>28.509819530000001</v>
      </c>
      <c r="AG26">
        <v>27.965856930000001</v>
      </c>
      <c r="AH26">
        <v>27.440865540000001</v>
      </c>
      <c r="AI26">
        <v>26.951629090000001</v>
      </c>
      <c r="AJ26">
        <v>26.4959244</v>
      </c>
      <c r="AK26">
        <v>26.06070029</v>
      </c>
      <c r="AL26">
        <v>25.617666979999999</v>
      </c>
      <c r="AM26">
        <v>25.19652056</v>
      </c>
      <c r="AN26">
        <v>24.806604950000001</v>
      </c>
      <c r="AO26">
        <v>24.417640030000001</v>
      </c>
      <c r="AP26">
        <v>24.040029879999999</v>
      </c>
      <c r="AQ26">
        <v>23.676916200000001</v>
      </c>
      <c r="AR26">
        <v>23.326522239999999</v>
      </c>
      <c r="AS26">
        <v>22.954241880000001</v>
      </c>
      <c r="AT26">
        <v>22.597353439999999</v>
      </c>
      <c r="AU26">
        <v>22.24110391</v>
      </c>
      <c r="AV26">
        <v>21.89460498</v>
      </c>
      <c r="AW26">
        <v>21.56207594</v>
      </c>
    </row>
    <row r="27" spans="2:49" x14ac:dyDescent="0.25">
      <c r="B27" t="s">
        <v>127</v>
      </c>
      <c r="C27">
        <v>21.072806770403201</v>
      </c>
      <c r="D27">
        <v>21.411137499294501</v>
      </c>
      <c r="E27">
        <v>21.754900240000001</v>
      </c>
      <c r="F27">
        <v>23.09950504</v>
      </c>
      <c r="G27">
        <v>23.843956259999999</v>
      </c>
      <c r="H27">
        <v>23.344165289999999</v>
      </c>
      <c r="I27">
        <v>24.421680139999999</v>
      </c>
      <c r="J27">
        <v>25.172815480000001</v>
      </c>
      <c r="K27">
        <v>25.435765839999998</v>
      </c>
      <c r="L27">
        <v>25.763822730000001</v>
      </c>
      <c r="M27">
        <v>26.426136660000001</v>
      </c>
      <c r="N27">
        <v>27.313174490000002</v>
      </c>
      <c r="O27">
        <v>26.742733779999998</v>
      </c>
      <c r="P27">
        <v>26.30859487</v>
      </c>
      <c r="Q27">
        <v>25.682848709999998</v>
      </c>
      <c r="R27">
        <v>24.752632420000001</v>
      </c>
      <c r="S27">
        <v>24.02819551</v>
      </c>
      <c r="T27">
        <v>24.054299910000001</v>
      </c>
      <c r="U27">
        <v>24.013810209999999</v>
      </c>
      <c r="V27">
        <v>24.033536040000001</v>
      </c>
      <c r="W27">
        <v>25.306128099999999</v>
      </c>
      <c r="X27">
        <v>25.996839349999998</v>
      </c>
      <c r="Y27">
        <v>26.053188819999999</v>
      </c>
      <c r="Z27">
        <v>25.831218440000001</v>
      </c>
      <c r="AA27">
        <v>25.40739262</v>
      </c>
      <c r="AB27">
        <v>24.755040260000001</v>
      </c>
      <c r="AC27">
        <v>23.998771290000001</v>
      </c>
      <c r="AD27">
        <v>23.743533790000001</v>
      </c>
      <c r="AE27">
        <v>23.441713879999998</v>
      </c>
      <c r="AF27">
        <v>23.137448979999998</v>
      </c>
      <c r="AG27">
        <v>22.825952950000001</v>
      </c>
      <c r="AH27">
        <v>22.527051960000001</v>
      </c>
      <c r="AI27">
        <v>22.246051399999999</v>
      </c>
      <c r="AJ27">
        <v>21.966387940000001</v>
      </c>
      <c r="AK27">
        <v>21.68742048</v>
      </c>
      <c r="AL27">
        <v>21.380715439999999</v>
      </c>
      <c r="AM27">
        <v>21.077534960000001</v>
      </c>
      <c r="AN27">
        <v>20.81374409</v>
      </c>
      <c r="AO27">
        <v>20.54923355</v>
      </c>
      <c r="AP27">
        <v>20.285305829999999</v>
      </c>
      <c r="AQ27">
        <v>20.025538300000001</v>
      </c>
      <c r="AR27">
        <v>19.77043308</v>
      </c>
      <c r="AS27">
        <v>19.483219470000002</v>
      </c>
      <c r="AT27">
        <v>19.201310410000001</v>
      </c>
      <c r="AU27">
        <v>18.916939790000001</v>
      </c>
      <c r="AV27">
        <v>18.638824339999999</v>
      </c>
      <c r="AW27">
        <v>18.36411009</v>
      </c>
    </row>
    <row r="28" spans="2:49" x14ac:dyDescent="0.25">
      <c r="B28" t="s">
        <v>128</v>
      </c>
      <c r="C28">
        <v>23.690458989791001</v>
      </c>
      <c r="D28">
        <v>24.070816971768199</v>
      </c>
      <c r="E28">
        <v>24.457281720000001</v>
      </c>
      <c r="F28">
        <v>24.570710630000001</v>
      </c>
      <c r="G28">
        <v>24.626864829999999</v>
      </c>
      <c r="H28">
        <v>24.812491080000001</v>
      </c>
      <c r="I28">
        <v>24.951279660000001</v>
      </c>
      <c r="J28">
        <v>25.032299200000001</v>
      </c>
      <c r="K28">
        <v>24.898070229999998</v>
      </c>
      <c r="L28">
        <v>24.693563919999999</v>
      </c>
      <c r="M28">
        <v>24.49737326</v>
      </c>
      <c r="N28">
        <v>24.231443609999999</v>
      </c>
      <c r="O28">
        <v>24.031558820000001</v>
      </c>
      <c r="P28">
        <v>24.0220205</v>
      </c>
      <c r="Q28">
        <v>24.017653360000001</v>
      </c>
      <c r="R28">
        <v>24.013331959999999</v>
      </c>
      <c r="S28">
        <v>23.80823607</v>
      </c>
      <c r="T28">
        <v>23.491541999999999</v>
      </c>
      <c r="U28">
        <v>23.024407289999999</v>
      </c>
      <c r="V28">
        <v>22.517735040000002</v>
      </c>
      <c r="W28">
        <v>22.227254850000001</v>
      </c>
      <c r="X28">
        <v>21.998706309999999</v>
      </c>
      <c r="Y28">
        <v>21.579465549999998</v>
      </c>
      <c r="Z28">
        <v>21.054215930000002</v>
      </c>
      <c r="AA28">
        <v>20.446814249999999</v>
      </c>
      <c r="AB28">
        <v>19.77122936</v>
      </c>
      <c r="AC28">
        <v>19.044665460000001</v>
      </c>
      <c r="AD28">
        <v>18.29284887</v>
      </c>
      <c r="AE28">
        <v>17.535164009999999</v>
      </c>
      <c r="AF28">
        <v>16.788566169999999</v>
      </c>
      <c r="AG28">
        <v>16.06576853</v>
      </c>
      <c r="AH28">
        <v>15.37371418</v>
      </c>
      <c r="AI28">
        <v>14.717559100000001</v>
      </c>
      <c r="AJ28">
        <v>14.099288400000001</v>
      </c>
      <c r="AK28">
        <v>13.515320190000001</v>
      </c>
      <c r="AL28">
        <v>12.964226480000001</v>
      </c>
      <c r="AM28">
        <v>12.44301434</v>
      </c>
      <c r="AN28">
        <v>11.95172371</v>
      </c>
      <c r="AO28">
        <v>11.48965029</v>
      </c>
      <c r="AP28">
        <v>11.05405822</v>
      </c>
      <c r="AQ28">
        <v>10.64303043</v>
      </c>
      <c r="AR28">
        <v>10.219274889999999</v>
      </c>
      <c r="AS28">
        <v>9.8227175399999904</v>
      </c>
      <c r="AT28">
        <v>9.4519571199999994</v>
      </c>
      <c r="AU28">
        <v>9.104635171</v>
      </c>
      <c r="AV28">
        <v>8.7784238200000004</v>
      </c>
      <c r="AW28">
        <v>8.4687298710000007</v>
      </c>
    </row>
    <row r="29" spans="2:49" x14ac:dyDescent="0.25">
      <c r="B29" t="s">
        <v>129</v>
      </c>
      <c r="C29">
        <v>22.212930412666701</v>
      </c>
      <c r="D29">
        <v>22.569566195417998</v>
      </c>
      <c r="E29">
        <v>22.941948679999999</v>
      </c>
      <c r="F29">
        <v>23.480388949999998</v>
      </c>
      <c r="G29">
        <v>22.62532891</v>
      </c>
      <c r="H29">
        <v>20.900267790000001</v>
      </c>
      <c r="I29">
        <v>21.340114329999999</v>
      </c>
      <c r="J29">
        <v>20.802741820000001</v>
      </c>
      <c r="K29">
        <v>21.016739909999998</v>
      </c>
      <c r="L29">
        <v>20.531076179999999</v>
      </c>
      <c r="M29">
        <v>20.460617760000002</v>
      </c>
      <c r="N29">
        <v>20.449202580000001</v>
      </c>
      <c r="O29">
        <v>20.253188470000001</v>
      </c>
      <c r="P29">
        <v>20.524446229999999</v>
      </c>
      <c r="Q29">
        <v>20.35011742</v>
      </c>
      <c r="R29">
        <v>20.274161660000001</v>
      </c>
      <c r="S29">
        <v>20.127467509999999</v>
      </c>
      <c r="T29">
        <v>20.272026100000001</v>
      </c>
      <c r="U29">
        <v>20.443792290000001</v>
      </c>
      <c r="V29">
        <v>20.770005319999999</v>
      </c>
      <c r="W29">
        <v>20.982197800000002</v>
      </c>
      <c r="X29">
        <v>21.072098610000001</v>
      </c>
      <c r="Y29">
        <v>21.03917165</v>
      </c>
      <c r="Z29">
        <v>21.067178909999999</v>
      </c>
      <c r="AA29">
        <v>21.10498239</v>
      </c>
      <c r="AB29">
        <v>21.06498947</v>
      </c>
      <c r="AC29">
        <v>21.016278639999999</v>
      </c>
      <c r="AD29">
        <v>20.8255914</v>
      </c>
      <c r="AE29">
        <v>20.632106650000001</v>
      </c>
      <c r="AF29">
        <v>20.439837499999999</v>
      </c>
      <c r="AG29">
        <v>20.254055449999999</v>
      </c>
      <c r="AH29">
        <v>20.079677409999999</v>
      </c>
      <c r="AI29">
        <v>19.894181799999998</v>
      </c>
      <c r="AJ29">
        <v>19.712403269999999</v>
      </c>
      <c r="AK29">
        <v>19.496275600000001</v>
      </c>
      <c r="AL29">
        <v>19.332985140000002</v>
      </c>
      <c r="AM29">
        <v>19.124352949999999</v>
      </c>
      <c r="AN29">
        <v>19.057761790000001</v>
      </c>
      <c r="AO29">
        <v>19.034953389999998</v>
      </c>
      <c r="AP29">
        <v>18.957480069999999</v>
      </c>
      <c r="AQ29">
        <v>18.8833403</v>
      </c>
      <c r="AR29">
        <v>18.813345389999999</v>
      </c>
      <c r="AS29">
        <v>18.861510559999999</v>
      </c>
      <c r="AT29">
        <v>18.918587840000001</v>
      </c>
      <c r="AU29">
        <v>18.97743461</v>
      </c>
      <c r="AV29">
        <v>19.037047300000001</v>
      </c>
      <c r="AW29">
        <v>19.096131069999998</v>
      </c>
    </row>
    <row r="30" spans="2:49" x14ac:dyDescent="0.25">
      <c r="B30" t="s">
        <v>130</v>
      </c>
      <c r="C30">
        <v>30998.430217312201</v>
      </c>
      <c r="D30">
        <v>31496.120041177499</v>
      </c>
      <c r="E30">
        <v>32001.800439999999</v>
      </c>
      <c r="F30">
        <v>32688.379000000001</v>
      </c>
      <c r="G30">
        <v>33314.794710000002</v>
      </c>
      <c r="H30">
        <v>34142.844949999999</v>
      </c>
      <c r="I30">
        <v>34863.837440000003</v>
      </c>
      <c r="J30">
        <v>35489.148800000003</v>
      </c>
      <c r="K30">
        <v>35731.31351</v>
      </c>
      <c r="L30">
        <v>35839.916219999999</v>
      </c>
      <c r="M30">
        <v>35948.063869999998</v>
      </c>
      <c r="N30">
        <v>35911.307350000003</v>
      </c>
      <c r="O30">
        <v>35978.501450000003</v>
      </c>
      <c r="P30">
        <v>36321.204380000003</v>
      </c>
      <c r="Q30">
        <v>36708.886160000002</v>
      </c>
      <c r="R30">
        <v>37113.743849999999</v>
      </c>
      <c r="S30">
        <v>37188.885329999997</v>
      </c>
      <c r="T30">
        <v>37050.595860000001</v>
      </c>
      <c r="U30">
        <v>36712.619359999997</v>
      </c>
      <c r="V30">
        <v>36343.739090000003</v>
      </c>
      <c r="W30">
        <v>36463.573700000001</v>
      </c>
      <c r="X30">
        <v>36745.288950000002</v>
      </c>
      <c r="Y30">
        <v>36616.97464</v>
      </c>
      <c r="Z30">
        <v>36306.289049999999</v>
      </c>
      <c r="AA30">
        <v>35896.733780000002</v>
      </c>
      <c r="AB30">
        <v>35420.443959999997</v>
      </c>
      <c r="AC30">
        <v>34904.845990000002</v>
      </c>
      <c r="AD30">
        <v>34364.076939999999</v>
      </c>
      <c r="AE30">
        <v>33826.310380000003</v>
      </c>
      <c r="AF30">
        <v>33296.709060000001</v>
      </c>
      <c r="AG30">
        <v>32780.313900000001</v>
      </c>
      <c r="AH30">
        <v>32277.615689999999</v>
      </c>
      <c r="AI30">
        <v>31826.594779999999</v>
      </c>
      <c r="AJ30">
        <v>31411.51396</v>
      </c>
      <c r="AK30">
        <v>31015.145799999998</v>
      </c>
      <c r="AL30">
        <v>30635.25635</v>
      </c>
      <c r="AM30">
        <v>30262.691439999999</v>
      </c>
      <c r="AN30">
        <v>29899.835050000002</v>
      </c>
      <c r="AO30">
        <v>29548.504369999999</v>
      </c>
      <c r="AP30">
        <v>29202.967779999999</v>
      </c>
      <c r="AQ30">
        <v>28861.479630000002</v>
      </c>
      <c r="AR30">
        <v>28449.923340000001</v>
      </c>
      <c r="AS30">
        <v>28068.384330000001</v>
      </c>
      <c r="AT30">
        <v>27707.028829999999</v>
      </c>
      <c r="AU30">
        <v>27361.119170000002</v>
      </c>
      <c r="AV30">
        <v>27025.569</v>
      </c>
      <c r="AW30">
        <v>26682.689050000001</v>
      </c>
    </row>
    <row r="31" spans="2:49" x14ac:dyDescent="0.25">
      <c r="B31" t="s">
        <v>131</v>
      </c>
      <c r="C31">
        <v>17.998489648965599</v>
      </c>
      <c r="D31">
        <v>18.287461222056098</v>
      </c>
      <c r="E31">
        <v>18.581072330000001</v>
      </c>
      <c r="F31">
        <v>17.559113350000001</v>
      </c>
      <c r="G31">
        <v>48.90596103</v>
      </c>
      <c r="H31">
        <v>80.190236069999997</v>
      </c>
      <c r="I31">
        <v>110.5081892</v>
      </c>
      <c r="J31">
        <v>152.48214050000001</v>
      </c>
      <c r="K31">
        <v>194.2664766</v>
      </c>
      <c r="L31">
        <v>232.9611146</v>
      </c>
      <c r="M31">
        <v>270.68708429999998</v>
      </c>
      <c r="N31">
        <v>295.34810540000001</v>
      </c>
      <c r="O31">
        <v>317.8593975</v>
      </c>
      <c r="P31">
        <v>335.92328839999999</v>
      </c>
      <c r="Q31">
        <v>373.90997979999997</v>
      </c>
      <c r="R31">
        <v>414.6795338</v>
      </c>
      <c r="S31">
        <v>467.1058941</v>
      </c>
      <c r="T31">
        <v>504.44035209999998</v>
      </c>
      <c r="U31">
        <v>560.93890839999995</v>
      </c>
      <c r="V31">
        <v>627.66615409999997</v>
      </c>
      <c r="W31">
        <v>718.91293719999999</v>
      </c>
      <c r="X31">
        <v>817.30222879999997</v>
      </c>
      <c r="Y31">
        <v>885.75586120000003</v>
      </c>
      <c r="Z31">
        <v>933.08926499999995</v>
      </c>
      <c r="AA31">
        <v>960.10002540000005</v>
      </c>
      <c r="AB31">
        <v>968.18727420000005</v>
      </c>
      <c r="AC31">
        <v>958.64852710000002</v>
      </c>
      <c r="AD31">
        <v>933.64546740000003</v>
      </c>
      <c r="AE31">
        <v>897.67620039999997</v>
      </c>
      <c r="AF31">
        <v>855.10980199999995</v>
      </c>
      <c r="AG31">
        <v>809.58721309999999</v>
      </c>
      <c r="AH31">
        <v>763.56278829999997</v>
      </c>
      <c r="AI31">
        <v>718.52278020000006</v>
      </c>
      <c r="AJ31">
        <v>675.16924140000003</v>
      </c>
      <c r="AK31">
        <v>633.83785609999995</v>
      </c>
      <c r="AL31">
        <v>594.6545787</v>
      </c>
      <c r="AM31">
        <v>557.62545160000002</v>
      </c>
      <c r="AN31">
        <v>522.84370430000001</v>
      </c>
      <c r="AO31">
        <v>490.2016342</v>
      </c>
      <c r="AP31">
        <v>459.58215890000002</v>
      </c>
      <c r="AQ31">
        <v>430.86748230000001</v>
      </c>
      <c r="AR31">
        <v>402.14810629999999</v>
      </c>
      <c r="AS31">
        <v>375.34086739999998</v>
      </c>
      <c r="AT31">
        <v>350.31949059999999</v>
      </c>
      <c r="AU31">
        <v>326.96554529999997</v>
      </c>
      <c r="AV31">
        <v>305.16819179999999</v>
      </c>
      <c r="AW31">
        <v>284.82382130000002</v>
      </c>
    </row>
    <row r="32" spans="2:49" x14ac:dyDescent="0.25">
      <c r="B32" t="s">
        <v>132</v>
      </c>
      <c r="C32">
        <v>1571.8931047778699</v>
      </c>
      <c r="D32">
        <v>1597.13035701831</v>
      </c>
      <c r="E32">
        <v>1622.772802</v>
      </c>
      <c r="F32">
        <v>1972.771356</v>
      </c>
      <c r="G32">
        <v>2311.6524989999998</v>
      </c>
      <c r="H32">
        <v>2680.3209780000002</v>
      </c>
      <c r="I32">
        <v>3014.4125739999999</v>
      </c>
      <c r="J32">
        <v>3322.1584790000002</v>
      </c>
      <c r="K32">
        <v>3548.5576430000001</v>
      </c>
      <c r="L32">
        <v>3740.5518619999998</v>
      </c>
      <c r="M32">
        <v>3923.6350480000001</v>
      </c>
      <c r="N32">
        <v>4073.5224579999999</v>
      </c>
      <c r="O32">
        <v>4233.3322369999996</v>
      </c>
      <c r="P32">
        <v>4416.1513940000004</v>
      </c>
      <c r="Q32">
        <v>4604.4583810000004</v>
      </c>
      <c r="R32">
        <v>4787.2975640000004</v>
      </c>
      <c r="S32">
        <v>4911.8373099999999</v>
      </c>
      <c r="T32">
        <v>4978.6477050000003</v>
      </c>
      <c r="U32">
        <v>5020.2061890000004</v>
      </c>
      <c r="V32">
        <v>5052.0667890000004</v>
      </c>
      <c r="W32">
        <v>5155.7135639999997</v>
      </c>
      <c r="X32">
        <v>5269.665317</v>
      </c>
      <c r="Y32">
        <v>5291.670083</v>
      </c>
      <c r="Z32">
        <v>5253.6923729999999</v>
      </c>
      <c r="AA32">
        <v>5161.2502189999996</v>
      </c>
      <c r="AB32">
        <v>5019.4751429999997</v>
      </c>
      <c r="AC32">
        <v>4836.1486210000003</v>
      </c>
      <c r="AD32">
        <v>4621.5234049999999</v>
      </c>
      <c r="AE32">
        <v>4388.492389</v>
      </c>
      <c r="AF32">
        <v>4148.2438529999999</v>
      </c>
      <c r="AG32">
        <v>3909.4046130000002</v>
      </c>
      <c r="AH32">
        <v>3677.3781170000002</v>
      </c>
      <c r="AI32">
        <v>3455.136806</v>
      </c>
      <c r="AJ32">
        <v>3243.8183060000001</v>
      </c>
      <c r="AK32">
        <v>3043.7452790000002</v>
      </c>
      <c r="AL32">
        <v>2854.7984820000001</v>
      </c>
      <c r="AM32">
        <v>2676.6222640000001</v>
      </c>
      <c r="AN32">
        <v>2509.4568960000001</v>
      </c>
      <c r="AO32">
        <v>2352.6772540000002</v>
      </c>
      <c r="AP32">
        <v>2205.6653449999999</v>
      </c>
      <c r="AQ32">
        <v>2067.8263120000001</v>
      </c>
      <c r="AR32">
        <v>1929.9789740000001</v>
      </c>
      <c r="AS32">
        <v>1801.3175920000001</v>
      </c>
      <c r="AT32">
        <v>1681.231687</v>
      </c>
      <c r="AU32">
        <v>1569.150537</v>
      </c>
      <c r="AV32">
        <v>1464.540978</v>
      </c>
      <c r="AW32">
        <v>1366.9051460000001</v>
      </c>
    </row>
    <row r="33" spans="2:49" x14ac:dyDescent="0.25">
      <c r="B33" t="s">
        <v>133</v>
      </c>
      <c r="C33">
        <v>3720.5673609549599</v>
      </c>
      <c r="D33">
        <v>3780.3022733867101</v>
      </c>
      <c r="E33">
        <v>3840.9962489999998</v>
      </c>
      <c r="F33">
        <v>4323.674677</v>
      </c>
      <c r="G33">
        <v>4769.7642960000003</v>
      </c>
      <c r="H33">
        <v>5259.5512220000001</v>
      </c>
      <c r="I33">
        <v>5702.8884459999999</v>
      </c>
      <c r="J33">
        <v>6104.548358</v>
      </c>
      <c r="K33">
        <v>6384.070318</v>
      </c>
      <c r="L33">
        <v>6612.9132440000003</v>
      </c>
      <c r="M33">
        <v>6829.0612739999997</v>
      </c>
      <c r="N33">
        <v>7004.6758049999999</v>
      </c>
      <c r="O33">
        <v>7196.9475560000001</v>
      </c>
      <c r="P33">
        <v>7437.4263600000004</v>
      </c>
      <c r="Q33">
        <v>7677.7033819999997</v>
      </c>
      <c r="R33">
        <v>7909.8433679999998</v>
      </c>
      <c r="S33">
        <v>8043.0971760000002</v>
      </c>
      <c r="T33">
        <v>8101.3640740000001</v>
      </c>
      <c r="U33">
        <v>8103.7328360000001</v>
      </c>
      <c r="V33">
        <v>8084.1623120000004</v>
      </c>
      <c r="W33">
        <v>8166.1696789999996</v>
      </c>
      <c r="X33">
        <v>8263.0882540000002</v>
      </c>
      <c r="Y33">
        <v>8233.595722</v>
      </c>
      <c r="Z33">
        <v>8122.9867919999997</v>
      </c>
      <c r="AA33">
        <v>7939.4105810000001</v>
      </c>
      <c r="AB33">
        <v>7690.5580250000003</v>
      </c>
      <c r="AC33">
        <v>7387.6429740000003</v>
      </c>
      <c r="AD33">
        <v>7045.1817449999999</v>
      </c>
      <c r="AE33">
        <v>6680.8886210000001</v>
      </c>
      <c r="AF33">
        <v>6309.8792139999996</v>
      </c>
      <c r="AG33">
        <v>5943.6602130000001</v>
      </c>
      <c r="AH33">
        <v>5589.3271889999996</v>
      </c>
      <c r="AI33">
        <v>5250.6875030000001</v>
      </c>
      <c r="AJ33">
        <v>4929.1006440000001</v>
      </c>
      <c r="AK33">
        <v>4624.8464629999999</v>
      </c>
      <c r="AL33">
        <v>4337.6267600000001</v>
      </c>
      <c r="AM33">
        <v>4066.83959</v>
      </c>
      <c r="AN33">
        <v>3812.8174469999999</v>
      </c>
      <c r="AO33">
        <v>3574.593159</v>
      </c>
      <c r="AP33">
        <v>3351.2189210000001</v>
      </c>
      <c r="AQ33">
        <v>3141.7863510000002</v>
      </c>
      <c r="AR33">
        <v>2932.343284</v>
      </c>
      <c r="AS33">
        <v>2736.858393</v>
      </c>
      <c r="AT33">
        <v>2554.403476</v>
      </c>
      <c r="AU33">
        <v>2384.1110530000001</v>
      </c>
      <c r="AV33">
        <v>2225.1708779999999</v>
      </c>
      <c r="AW33">
        <v>2076.826427</v>
      </c>
    </row>
    <row r="34" spans="2:49" x14ac:dyDescent="0.25">
      <c r="B34" t="s">
        <v>134</v>
      </c>
      <c r="C34">
        <v>5208.7853750706299</v>
      </c>
      <c r="D34">
        <v>5292.4141090967596</v>
      </c>
      <c r="E34">
        <v>5377.3855290000001</v>
      </c>
      <c r="F34">
        <v>5766.1231580000003</v>
      </c>
      <c r="G34">
        <v>6121.354722</v>
      </c>
      <c r="H34">
        <v>6522.9187730000003</v>
      </c>
      <c r="I34">
        <v>6883.6249369999996</v>
      </c>
      <c r="J34">
        <v>7205.2242980000001</v>
      </c>
      <c r="K34">
        <v>7409.8925310000004</v>
      </c>
      <c r="L34">
        <v>7568.0867230000003</v>
      </c>
      <c r="M34">
        <v>7716.7728710000001</v>
      </c>
      <c r="N34">
        <v>7819.8114809999997</v>
      </c>
      <c r="O34">
        <v>7942.5852590000004</v>
      </c>
      <c r="P34">
        <v>8122.4856820000005</v>
      </c>
      <c r="Q34">
        <v>8297.1232720000007</v>
      </c>
      <c r="R34">
        <v>8468.411795</v>
      </c>
      <c r="S34">
        <v>8536.6393559999997</v>
      </c>
      <c r="T34">
        <v>8550.0502209999995</v>
      </c>
      <c r="U34">
        <v>8499.59405899999</v>
      </c>
      <c r="V34">
        <v>8424.5865740000008</v>
      </c>
      <c r="W34">
        <v>8445.9898379999995</v>
      </c>
      <c r="X34">
        <v>8482.7555570000004</v>
      </c>
      <c r="Y34">
        <v>8404.3081760000005</v>
      </c>
      <c r="Z34">
        <v>8252.9936149999994</v>
      </c>
      <c r="AA34">
        <v>8036.5494769999996</v>
      </c>
      <c r="AB34">
        <v>7762.2768029999997</v>
      </c>
      <c r="AC34">
        <v>7440.7384830000001</v>
      </c>
      <c r="AD34">
        <v>7085.4993629999999</v>
      </c>
      <c r="AE34">
        <v>6712.8149199999998</v>
      </c>
      <c r="AF34">
        <v>6336.4208570000001</v>
      </c>
      <c r="AG34">
        <v>5966.6872309999999</v>
      </c>
      <c r="AH34">
        <v>5609.9356699999998</v>
      </c>
      <c r="AI34">
        <v>5269.4901760000002</v>
      </c>
      <c r="AJ34">
        <v>4946.460376</v>
      </c>
      <c r="AK34">
        <v>4640.9845960000002</v>
      </c>
      <c r="AL34">
        <v>4352.6856859999998</v>
      </c>
      <c r="AM34">
        <v>4080.9192480000002</v>
      </c>
      <c r="AN34">
        <v>3825.9978729999998</v>
      </c>
      <c r="AO34">
        <v>3586.9400740000001</v>
      </c>
      <c r="AP34">
        <v>3362.789256</v>
      </c>
      <c r="AQ34">
        <v>3152.631077</v>
      </c>
      <c r="AR34">
        <v>2942.4636869999999</v>
      </c>
      <c r="AS34">
        <v>2746.3034210000001</v>
      </c>
      <c r="AT34">
        <v>2563.218492</v>
      </c>
      <c r="AU34">
        <v>2392.3382280000001</v>
      </c>
      <c r="AV34">
        <v>2232.8494879999998</v>
      </c>
      <c r="AW34">
        <v>2083.9930869999998</v>
      </c>
    </row>
    <row r="35" spans="2:49" x14ac:dyDescent="0.25">
      <c r="B35" t="s">
        <v>135</v>
      </c>
      <c r="C35">
        <v>13521.9613593495</v>
      </c>
      <c r="D35">
        <v>13739.0608227762</v>
      </c>
      <c r="E35" s="39">
        <v>13959.64589</v>
      </c>
      <c r="F35" s="39">
        <v>13632.51072</v>
      </c>
      <c r="G35" s="39">
        <v>13305.809240000001</v>
      </c>
      <c r="H35" s="39">
        <v>13035.343629999999</v>
      </c>
      <c r="I35">
        <v>12769.16632</v>
      </c>
      <c r="J35">
        <v>12501.812320000001</v>
      </c>
      <c r="K35" s="39">
        <v>12185.448829999999</v>
      </c>
      <c r="L35" s="39">
        <v>11868.58475</v>
      </c>
      <c r="M35" s="39">
        <v>11567.202869999999</v>
      </c>
      <c r="N35" s="39">
        <v>11249.14604</v>
      </c>
      <c r="O35" s="39">
        <v>10963.9719</v>
      </c>
      <c r="P35">
        <v>10760.665650000001</v>
      </c>
      <c r="Q35">
        <v>10562.837729999999</v>
      </c>
      <c r="R35">
        <v>10371.297049999999</v>
      </c>
      <c r="S35">
        <v>10118.124019999999</v>
      </c>
      <c r="T35">
        <v>9862.4326980000005</v>
      </c>
      <c r="U35">
        <v>9534.7479509999994</v>
      </c>
      <c r="V35">
        <v>9188.1048769999998</v>
      </c>
      <c r="W35">
        <v>8906.3206219999902</v>
      </c>
      <c r="X35">
        <v>8647.1152189999902</v>
      </c>
      <c r="Y35">
        <v>8344.2123580000007</v>
      </c>
      <c r="Z35">
        <v>8018.7669310000001</v>
      </c>
      <c r="AA35">
        <v>7674.3793830000004</v>
      </c>
      <c r="AB35">
        <v>7314.4809839999998</v>
      </c>
      <c r="AC35">
        <v>6944.052506</v>
      </c>
      <c r="AD35">
        <v>6569.4843410000003</v>
      </c>
      <c r="AE35">
        <v>6198.2029270000003</v>
      </c>
      <c r="AF35">
        <v>5836.2573389999998</v>
      </c>
      <c r="AG35">
        <v>5488.016764</v>
      </c>
      <c r="AH35">
        <v>5155.9062350000004</v>
      </c>
      <c r="AI35">
        <v>4840.9415600000002</v>
      </c>
      <c r="AJ35">
        <v>4543.1232900000005</v>
      </c>
      <c r="AK35">
        <v>4262.0229870000003</v>
      </c>
      <c r="AL35">
        <v>3996.99791</v>
      </c>
      <c r="AM35">
        <v>3747.3062810000001</v>
      </c>
      <c r="AN35">
        <v>3513.1587</v>
      </c>
      <c r="AO35">
        <v>3293.6152160000001</v>
      </c>
      <c r="AP35">
        <v>3087.7783960000002</v>
      </c>
      <c r="AQ35">
        <v>2894.7991350000002</v>
      </c>
      <c r="AR35">
        <v>2701.8158749999998</v>
      </c>
      <c r="AS35">
        <v>2521.6964720000001</v>
      </c>
      <c r="AT35">
        <v>2353.5841890000002</v>
      </c>
      <c r="AU35">
        <v>2196.678977</v>
      </c>
      <c r="AV35">
        <v>2050.2339069999998</v>
      </c>
      <c r="AW35">
        <v>1913.5517420000001</v>
      </c>
    </row>
    <row r="36" spans="2:49" x14ac:dyDescent="0.25">
      <c r="B36" t="s">
        <v>136</v>
      </c>
      <c r="C36">
        <v>4769.5635809194901</v>
      </c>
      <c r="D36" s="39">
        <v>4846.1404669702097</v>
      </c>
      <c r="E36">
        <v>4923.9468200000001</v>
      </c>
      <c r="F36">
        <v>4800.6468329999998</v>
      </c>
      <c r="G36">
        <v>4668.4929679999996</v>
      </c>
      <c r="H36">
        <v>4552.4182540000002</v>
      </c>
      <c r="I36">
        <v>4440.6159369999996</v>
      </c>
      <c r="J36">
        <v>4326.4197329999997</v>
      </c>
      <c r="K36">
        <v>4197.4339220000002</v>
      </c>
      <c r="L36">
        <v>4066.252383</v>
      </c>
      <c r="M36">
        <v>3940.2710109999998</v>
      </c>
      <c r="N36">
        <v>3807.2207469999998</v>
      </c>
      <c r="O36">
        <v>3684.3393040000001</v>
      </c>
      <c r="P36">
        <v>3596.9702219999999</v>
      </c>
      <c r="Q36">
        <v>3509.1237249999999</v>
      </c>
      <c r="R36">
        <v>3421.7870360000002</v>
      </c>
      <c r="S36">
        <v>3312.0870100000002</v>
      </c>
      <c r="T36">
        <v>3185.8056670000001</v>
      </c>
      <c r="U36">
        <v>3035.4260119999999</v>
      </c>
      <c r="V36">
        <v>2879.6147860000001</v>
      </c>
      <c r="W36">
        <v>2736.7627900000002</v>
      </c>
      <c r="X36">
        <v>2601.8365269999999</v>
      </c>
      <c r="Y36">
        <v>2467.8091509999999</v>
      </c>
      <c r="Z36">
        <v>2336.8992859999998</v>
      </c>
      <c r="AA36">
        <v>2209.4073709999998</v>
      </c>
      <c r="AB36">
        <v>2085.6157389999998</v>
      </c>
      <c r="AC36">
        <v>1965.9254040000001</v>
      </c>
      <c r="AD36">
        <v>1850.8285269999999</v>
      </c>
      <c r="AE36">
        <v>1740.788665</v>
      </c>
      <c r="AF36">
        <v>1636.0864690000001</v>
      </c>
      <c r="AG36">
        <v>1536.8374879999999</v>
      </c>
      <c r="AH36">
        <v>1442.9957790000001</v>
      </c>
      <c r="AI36">
        <v>1354.4103930000001</v>
      </c>
      <c r="AJ36">
        <v>1270.864472</v>
      </c>
      <c r="AK36">
        <v>1192.1202840000001</v>
      </c>
      <c r="AL36">
        <v>1117.9354169999999</v>
      </c>
      <c r="AM36">
        <v>1048.0708320000001</v>
      </c>
      <c r="AN36">
        <v>982.56942760000004</v>
      </c>
      <c r="AO36">
        <v>921.16027550000001</v>
      </c>
      <c r="AP36">
        <v>863.58844079999994</v>
      </c>
      <c r="AQ36">
        <v>809.61448680000001</v>
      </c>
      <c r="AR36">
        <v>755.64033099999995</v>
      </c>
      <c r="AS36">
        <v>705.26437840000006</v>
      </c>
      <c r="AT36">
        <v>658.2467868</v>
      </c>
      <c r="AU36">
        <v>614.36368389999996</v>
      </c>
      <c r="AV36">
        <v>573.40611279999996</v>
      </c>
      <c r="AW36">
        <v>535.17904239999996</v>
      </c>
    </row>
    <row r="37" spans="2:49" x14ac:dyDescent="0.25">
      <c r="B37" t="s">
        <v>137</v>
      </c>
      <c r="C37">
        <v>2185.3248924602099</v>
      </c>
      <c r="D37">
        <v>2220.4109904720199</v>
      </c>
      <c r="E37">
        <v>2256.0604069999999</v>
      </c>
      <c r="F37">
        <v>2169.2670149999999</v>
      </c>
      <c r="G37">
        <v>2077.5964899999999</v>
      </c>
      <c r="H37">
        <v>1992.345624</v>
      </c>
      <c r="I37">
        <v>1911.3332720000001</v>
      </c>
      <c r="J37">
        <v>1829.7847810000001</v>
      </c>
      <c r="K37">
        <v>1747.0205100000001</v>
      </c>
      <c r="L37">
        <v>1663.4159279999999</v>
      </c>
      <c r="M37">
        <v>1583.5379740000001</v>
      </c>
      <c r="N37">
        <v>1509.0406519999999</v>
      </c>
      <c r="O37">
        <v>1437.9896510000001</v>
      </c>
      <c r="P37">
        <v>1382.804807</v>
      </c>
      <c r="Q37">
        <v>1326.5124020000001</v>
      </c>
      <c r="R37">
        <v>1269.622292</v>
      </c>
      <c r="S37">
        <v>1210.3032370000001</v>
      </c>
      <c r="T37">
        <v>1149.7880749999999</v>
      </c>
      <c r="U37">
        <v>1085.9109599999999</v>
      </c>
      <c r="V37">
        <v>1022.033845</v>
      </c>
      <c r="W37">
        <v>961.91420670000002</v>
      </c>
      <c r="X37">
        <v>905.33101810000005</v>
      </c>
      <c r="Y37">
        <v>851.86658790000001</v>
      </c>
      <c r="Z37">
        <v>801.36066370000003</v>
      </c>
      <c r="AA37">
        <v>753.66062420000003</v>
      </c>
      <c r="AB37">
        <v>708.62114469999995</v>
      </c>
      <c r="AC37">
        <v>666.10387600000001</v>
      </c>
      <c r="AD37">
        <v>625.97713650000003</v>
      </c>
      <c r="AE37">
        <v>588.11561610000001</v>
      </c>
      <c r="AF37">
        <v>552.4000929</v>
      </c>
      <c r="AG37">
        <v>518.71716040000001</v>
      </c>
      <c r="AH37">
        <v>486.95896690000001</v>
      </c>
      <c r="AI37">
        <v>457.02296480000001</v>
      </c>
      <c r="AJ37">
        <v>428.81167069999998</v>
      </c>
      <c r="AK37">
        <v>402.23243489999999</v>
      </c>
      <c r="AL37">
        <v>377.19722109999998</v>
      </c>
      <c r="AM37">
        <v>353.6223948</v>
      </c>
      <c r="AN37">
        <v>331.52099509999999</v>
      </c>
      <c r="AO37">
        <v>310.80093290000002</v>
      </c>
      <c r="AP37">
        <v>291.37587459999997</v>
      </c>
      <c r="AQ37">
        <v>273.16488249999998</v>
      </c>
      <c r="AR37">
        <v>254.95389030000001</v>
      </c>
      <c r="AS37">
        <v>237.95696430000001</v>
      </c>
      <c r="AT37">
        <v>222.09316670000001</v>
      </c>
      <c r="AU37">
        <v>207.2869555</v>
      </c>
      <c r="AV37">
        <v>193.46782519999999</v>
      </c>
      <c r="AW37">
        <v>180.5699702</v>
      </c>
    </row>
    <row r="38" spans="2:49" x14ac:dyDescent="0.25">
      <c r="B38" t="s">
        <v>138</v>
      </c>
      <c r="C38">
        <v>6.9573204344700098E-3</v>
      </c>
      <c r="D38" s="39">
        <v>7.06902246445449E-3</v>
      </c>
      <c r="E38">
        <v>7.1825179100000001E-3</v>
      </c>
      <c r="F38">
        <v>2.22022911E-2</v>
      </c>
      <c r="G38">
        <v>5.5931396500000001E-2</v>
      </c>
      <c r="H38">
        <v>0.12647004849999999</v>
      </c>
      <c r="I38">
        <v>0.22576430920000001</v>
      </c>
      <c r="J38">
        <v>0.37399294859999999</v>
      </c>
      <c r="K38">
        <v>0.56906384129999998</v>
      </c>
      <c r="L38">
        <v>0.85277130599999995</v>
      </c>
      <c r="M38">
        <v>1.297088945</v>
      </c>
      <c r="N38">
        <v>1.9095318100000001</v>
      </c>
      <c r="O38">
        <v>2.833586532</v>
      </c>
      <c r="P38">
        <v>3.5745854700000002</v>
      </c>
      <c r="Q38">
        <v>4.7242301610000004</v>
      </c>
      <c r="R38">
        <v>6.4316900029999999</v>
      </c>
      <c r="S38">
        <v>8.5161044159999904</v>
      </c>
      <c r="T38">
        <v>11.032591849999999</v>
      </c>
      <c r="U38">
        <v>16.25618317</v>
      </c>
      <c r="V38">
        <v>24.49618946</v>
      </c>
      <c r="W38">
        <v>37.592309999999998</v>
      </c>
      <c r="X38">
        <v>54.726045239999998</v>
      </c>
      <c r="Y38">
        <v>72.737121340000002</v>
      </c>
      <c r="Z38">
        <v>95.111973640000002</v>
      </c>
      <c r="AA38">
        <v>125.0524406</v>
      </c>
      <c r="AB38">
        <v>163.6612939</v>
      </c>
      <c r="AC38">
        <v>211.29418949999999</v>
      </c>
      <c r="AD38">
        <v>266.878263</v>
      </c>
      <c r="AE38">
        <v>329.25268870000002</v>
      </c>
      <c r="AF38">
        <v>396.15289799999999</v>
      </c>
      <c r="AG38">
        <v>465.71745900000002</v>
      </c>
      <c r="AH38">
        <v>536.48463489999995</v>
      </c>
      <c r="AI38">
        <v>610.19295810000006</v>
      </c>
      <c r="AJ38">
        <v>685.47235690000002</v>
      </c>
      <c r="AK38">
        <v>761.00543579999999</v>
      </c>
      <c r="AL38">
        <v>836.48910460000002</v>
      </c>
      <c r="AM38">
        <v>911.25676169999997</v>
      </c>
      <c r="AN38">
        <v>984.29406410000001</v>
      </c>
      <c r="AO38">
        <v>1055.781162</v>
      </c>
      <c r="AP38">
        <v>1125.423794</v>
      </c>
      <c r="AQ38">
        <v>1193.1781900000001</v>
      </c>
      <c r="AR38">
        <v>1271.711094</v>
      </c>
      <c r="AS38">
        <v>1349.639893</v>
      </c>
      <c r="AT38">
        <v>1426.2010029999999</v>
      </c>
      <c r="AU38">
        <v>1501.1137389999999</v>
      </c>
      <c r="AV38">
        <v>1574.010002</v>
      </c>
      <c r="AW38">
        <v>1642.973538</v>
      </c>
    </row>
    <row r="39" spans="2:49" x14ac:dyDescent="0.25">
      <c r="B39" t="s">
        <v>139</v>
      </c>
      <c r="C39">
        <v>1.59483191497851E-2</v>
      </c>
      <c r="D39">
        <v>1.6204374572364899E-2</v>
      </c>
      <c r="E39">
        <v>1.6464540999999999E-2</v>
      </c>
      <c r="F39">
        <v>4.3109634000000001E-2</v>
      </c>
      <c r="G39">
        <v>9.2030668299999896E-2</v>
      </c>
      <c r="H39">
        <v>0.18106148750000001</v>
      </c>
      <c r="I39">
        <v>0.30401057040000001</v>
      </c>
      <c r="J39">
        <v>0.4788309315</v>
      </c>
      <c r="K39">
        <v>0.69709123949999996</v>
      </c>
      <c r="L39">
        <v>0.99712555570000005</v>
      </c>
      <c r="M39">
        <v>1.4392628380000001</v>
      </c>
      <c r="N39">
        <v>2.0214072559999998</v>
      </c>
      <c r="O39">
        <v>2.874524836</v>
      </c>
      <c r="P39">
        <v>3.700246071</v>
      </c>
      <c r="Q39">
        <v>4.9017502850000003</v>
      </c>
      <c r="R39">
        <v>6.5967692500000004</v>
      </c>
      <c r="S39">
        <v>8.5649463860000008</v>
      </c>
      <c r="T39">
        <v>10.86227105</v>
      </c>
      <c r="U39">
        <v>15.00684324</v>
      </c>
      <c r="V39">
        <v>21.221515610000001</v>
      </c>
      <c r="W39">
        <v>31.070433309999999</v>
      </c>
      <c r="X39">
        <v>43.842159410000001</v>
      </c>
      <c r="Y39">
        <v>57.068832460000003</v>
      </c>
      <c r="Z39">
        <v>73.311874070000002</v>
      </c>
      <c r="AA39">
        <v>94.825602079999996</v>
      </c>
      <c r="AB39">
        <v>122.27133139999999</v>
      </c>
      <c r="AC39">
        <v>155.75412589999999</v>
      </c>
      <c r="AD39">
        <v>194.37242090000001</v>
      </c>
      <c r="AE39">
        <v>237.187647</v>
      </c>
      <c r="AF39">
        <v>282.52609180000002</v>
      </c>
      <c r="AG39">
        <v>329.0400836</v>
      </c>
      <c r="AH39">
        <v>375.69494859999998</v>
      </c>
      <c r="AI39">
        <v>423.62079119999999</v>
      </c>
      <c r="AJ39">
        <v>471.86250080000002</v>
      </c>
      <c r="AK39">
        <v>519.51541729999997</v>
      </c>
      <c r="AL39">
        <v>566.38359290000005</v>
      </c>
      <c r="AM39">
        <v>612.0195913</v>
      </c>
      <c r="AN39">
        <v>655.9358125</v>
      </c>
      <c r="AO39">
        <v>698.27298159999998</v>
      </c>
      <c r="AP39">
        <v>738.84059100000002</v>
      </c>
      <c r="AQ39">
        <v>777.62158239999997</v>
      </c>
      <c r="AR39">
        <v>819.40995950000001</v>
      </c>
      <c r="AS39">
        <v>860.24581000000001</v>
      </c>
      <c r="AT39">
        <v>899.67426639999996</v>
      </c>
      <c r="AU39">
        <v>937.53308790000006</v>
      </c>
      <c r="AV39">
        <v>973.6159629</v>
      </c>
      <c r="AW39">
        <v>1006.848896</v>
      </c>
    </row>
    <row r="40" spans="2:49" x14ac:dyDescent="0.25">
      <c r="B40" t="s">
        <v>140</v>
      </c>
      <c r="C40">
        <v>6.5291776385026298E-2</v>
      </c>
      <c r="D40" s="39">
        <v>6.63400569741113E-2</v>
      </c>
      <c r="E40">
        <v>6.7405168000000001E-2</v>
      </c>
      <c r="F40">
        <v>0.1642445042</v>
      </c>
      <c r="G40">
        <v>0.32000981000000001</v>
      </c>
      <c r="H40">
        <v>0.57100305730000001</v>
      </c>
      <c r="I40">
        <v>0.91099546119999997</v>
      </c>
      <c r="J40">
        <v>1.369711933</v>
      </c>
      <c r="K40">
        <v>1.90750668</v>
      </c>
      <c r="L40">
        <v>2.5930869649999999</v>
      </c>
      <c r="M40">
        <v>3.5140344309999998</v>
      </c>
      <c r="N40">
        <v>4.6348780290000002</v>
      </c>
      <c r="O40">
        <v>6.1905526000000002</v>
      </c>
      <c r="P40">
        <v>8.214114704</v>
      </c>
      <c r="Q40">
        <v>10.91364025</v>
      </c>
      <c r="R40">
        <v>14.43200948</v>
      </c>
      <c r="S40">
        <v>18.177902190000001</v>
      </c>
      <c r="T40">
        <v>22.27697057</v>
      </c>
      <c r="U40">
        <v>27.575823669999998</v>
      </c>
      <c r="V40">
        <v>34.439759520000003</v>
      </c>
      <c r="W40">
        <v>45.278957210000002</v>
      </c>
      <c r="X40">
        <v>58.994074410000003</v>
      </c>
      <c r="Y40">
        <v>72.566068110000003</v>
      </c>
      <c r="Z40">
        <v>88.673767310000002</v>
      </c>
      <c r="AA40">
        <v>109.37802720000001</v>
      </c>
      <c r="AB40">
        <v>134.95215590000001</v>
      </c>
      <c r="AC40">
        <v>165.0955774</v>
      </c>
      <c r="AD40">
        <v>198.6121852</v>
      </c>
      <c r="AE40">
        <v>234.36391660000001</v>
      </c>
      <c r="AF40">
        <v>270.67563689999997</v>
      </c>
      <c r="AG40">
        <v>306.29346579999998</v>
      </c>
      <c r="AH40">
        <v>340.33576499999998</v>
      </c>
      <c r="AI40">
        <v>373.66686549999997</v>
      </c>
      <c r="AJ40">
        <v>405.52300819999999</v>
      </c>
      <c r="AK40">
        <v>435.22095250000001</v>
      </c>
      <c r="AL40">
        <v>462.69645609999998</v>
      </c>
      <c r="AM40">
        <v>487.67207480000002</v>
      </c>
      <c r="AN40">
        <v>510.23520530000002</v>
      </c>
      <c r="AO40">
        <v>530.57954080000002</v>
      </c>
      <c r="AP40">
        <v>548.61677080000004</v>
      </c>
      <c r="AQ40">
        <v>564.40129400000001</v>
      </c>
      <c r="AR40">
        <v>575.08839569999998</v>
      </c>
      <c r="AS40">
        <v>584.34179300000005</v>
      </c>
      <c r="AT40">
        <v>591.95886970000004</v>
      </c>
      <c r="AU40">
        <v>597.89896220000003</v>
      </c>
      <c r="AV40">
        <v>602.1109768</v>
      </c>
      <c r="AW40">
        <v>604.18003350000004</v>
      </c>
    </row>
    <row r="41" spans="2:49" x14ac:dyDescent="0.25">
      <c r="B41" t="s">
        <v>141</v>
      </c>
      <c r="C41">
        <v>1.5338215665531501</v>
      </c>
      <c r="D41">
        <v>1.55844756793281</v>
      </c>
      <c r="E41">
        <v>1.5834689479999999</v>
      </c>
      <c r="F41">
        <v>3.8253580380000001</v>
      </c>
      <c r="G41">
        <v>7.365850547</v>
      </c>
      <c r="H41">
        <v>12.963408599999999</v>
      </c>
      <c r="I41">
        <v>20.521586710000001</v>
      </c>
      <c r="J41">
        <v>30.62753038</v>
      </c>
      <c r="K41">
        <v>42.341545379999999</v>
      </c>
      <c r="L41">
        <v>57.059789240000001</v>
      </c>
      <c r="M41">
        <v>76.457914540000004</v>
      </c>
      <c r="N41">
        <v>99.662075259999995</v>
      </c>
      <c r="O41">
        <v>131.47172080000001</v>
      </c>
      <c r="P41">
        <v>175.49809490000001</v>
      </c>
      <c r="Q41">
        <v>233.26186139999999</v>
      </c>
      <c r="R41">
        <v>307.32972919999997</v>
      </c>
      <c r="S41">
        <v>384.69600910000003</v>
      </c>
      <c r="T41">
        <v>468.09702770000001</v>
      </c>
      <c r="U41">
        <v>566.95162849999997</v>
      </c>
      <c r="V41">
        <v>690.19727599999999</v>
      </c>
      <c r="W41">
        <v>885.30173830000001</v>
      </c>
      <c r="X41">
        <v>1131.0935030000001</v>
      </c>
      <c r="Y41">
        <v>1371.867393</v>
      </c>
      <c r="Z41">
        <v>1655.910862</v>
      </c>
      <c r="AA41">
        <v>2019.458447</v>
      </c>
      <c r="AB41">
        <v>2466.5380890000001</v>
      </c>
      <c r="AC41">
        <v>2991.2072149999999</v>
      </c>
      <c r="AD41">
        <v>3572.1748550000002</v>
      </c>
      <c r="AE41">
        <v>4189.6262740000002</v>
      </c>
      <c r="AF41">
        <v>4814.7838890000003</v>
      </c>
      <c r="AG41">
        <v>5426.5654860000004</v>
      </c>
      <c r="AH41">
        <v>6010.5534479999997</v>
      </c>
      <c r="AI41">
        <v>6582.7002149999998</v>
      </c>
      <c r="AJ41">
        <v>7130.7358409999997</v>
      </c>
      <c r="AK41">
        <v>7643.808282</v>
      </c>
      <c r="AL41">
        <v>8121.7001179999997</v>
      </c>
      <c r="AM41">
        <v>8560.4991200000004</v>
      </c>
      <c r="AN41">
        <v>8961.547853</v>
      </c>
      <c r="AO41">
        <v>9328.5832829999999</v>
      </c>
      <c r="AP41">
        <v>9660.5507130000005</v>
      </c>
      <c r="AQ41">
        <v>9958.7744089999997</v>
      </c>
      <c r="AR41">
        <v>10204.441290000001</v>
      </c>
      <c r="AS41">
        <v>10432.78794</v>
      </c>
      <c r="AT41">
        <v>10640.25035</v>
      </c>
      <c r="AU41">
        <v>10826.194289999999</v>
      </c>
      <c r="AV41">
        <v>10989.65107</v>
      </c>
      <c r="AW41">
        <v>11122.06057</v>
      </c>
    </row>
    <row r="42" spans="2:49" x14ac:dyDescent="0.25">
      <c r="B42" t="s">
        <v>142</v>
      </c>
      <c r="C42">
        <v>0.60453762790594801</v>
      </c>
      <c r="D42" s="39">
        <v>0.61424367506521405</v>
      </c>
      <c r="E42">
        <v>0.62410555599999995</v>
      </c>
      <c r="F42">
        <v>1.505098166</v>
      </c>
      <c r="G42">
        <v>2.8909839860000002</v>
      </c>
      <c r="H42">
        <v>5.072754658</v>
      </c>
      <c r="I42">
        <v>8.0165232179999997</v>
      </c>
      <c r="J42">
        <v>11.944206899999999</v>
      </c>
      <c r="K42">
        <v>16.484242739999999</v>
      </c>
      <c r="L42" s="39">
        <v>22.167665759999998</v>
      </c>
      <c r="M42" s="39">
        <v>29.61996487</v>
      </c>
      <c r="N42" s="39">
        <v>38.490475199999999</v>
      </c>
      <c r="O42" s="39">
        <v>50.60482502</v>
      </c>
      <c r="P42" s="39">
        <v>67.663995200000002</v>
      </c>
      <c r="Q42" s="39">
        <v>89.949685020000004</v>
      </c>
      <c r="R42">
        <v>118.3988475</v>
      </c>
      <c r="S42">
        <v>147.95145539999999</v>
      </c>
      <c r="T42">
        <v>179.6629342</v>
      </c>
      <c r="U42">
        <v>216.04067190000001</v>
      </c>
      <c r="V42">
        <v>260.47683009999997</v>
      </c>
      <c r="W42">
        <v>330.80158039999998</v>
      </c>
      <c r="X42">
        <v>419.06835059999997</v>
      </c>
      <c r="Y42">
        <v>504.89619099999999</v>
      </c>
      <c r="Z42">
        <v>605.57255250000003</v>
      </c>
      <c r="AA42">
        <v>733.77211199999999</v>
      </c>
      <c r="AB42">
        <v>890.53289050000001</v>
      </c>
      <c r="AC42">
        <v>1073.3460789999999</v>
      </c>
      <c r="AD42">
        <v>1274.379402</v>
      </c>
      <c r="AE42">
        <v>1486.433145</v>
      </c>
      <c r="AF42">
        <v>1699.3329940000001</v>
      </c>
      <c r="AG42">
        <v>1905.73578</v>
      </c>
      <c r="AH42">
        <v>2100.7230679999998</v>
      </c>
      <c r="AI42">
        <v>2289.7533119999998</v>
      </c>
      <c r="AJ42">
        <v>2468.7112480000001</v>
      </c>
      <c r="AK42">
        <v>2634.013336</v>
      </c>
      <c r="AL42">
        <v>2785.7547239999999</v>
      </c>
      <c r="AM42">
        <v>2922.7590260000002</v>
      </c>
      <c r="AN42">
        <v>3046.0137549999999</v>
      </c>
      <c r="AO42">
        <v>3156.914569</v>
      </c>
      <c r="AP42">
        <v>3255.2122460000001</v>
      </c>
      <c r="AQ42">
        <v>3341.4666269999998</v>
      </c>
      <c r="AR42">
        <v>3404.010151</v>
      </c>
      <c r="AS42">
        <v>3460.4685949999998</v>
      </c>
      <c r="AT42">
        <v>3509.8114810000002</v>
      </c>
      <c r="AU42">
        <v>3551.9343260000001</v>
      </c>
      <c r="AV42">
        <v>3586.635037</v>
      </c>
      <c r="AW42">
        <v>3611.4002009999999</v>
      </c>
    </row>
    <row r="43" spans="2:49" x14ac:dyDescent="0.25">
      <c r="B43" t="s">
        <v>143</v>
      </c>
      <c r="C43">
        <v>8.2417488223721705E-3</v>
      </c>
      <c r="D43">
        <v>8.3740727655845504E-3</v>
      </c>
      <c r="E43">
        <v>8.5085212099999998E-3</v>
      </c>
      <c r="F43">
        <v>1.68648975E-2</v>
      </c>
      <c r="G43">
        <v>2.25244229E-2</v>
      </c>
      <c r="H43">
        <v>3.04285374E-2</v>
      </c>
      <c r="I43">
        <v>4.1353337800000001E-2</v>
      </c>
      <c r="J43">
        <v>5.6191818400000003E-2</v>
      </c>
      <c r="K43">
        <v>7.3511514799999997E-2</v>
      </c>
      <c r="L43">
        <v>9.5438962200000005E-2</v>
      </c>
      <c r="M43">
        <v>0.1245289983</v>
      </c>
      <c r="N43">
        <v>0.15945208289999999</v>
      </c>
      <c r="O43">
        <v>0.20752487950000001</v>
      </c>
      <c r="P43">
        <v>0.27423258490000002</v>
      </c>
      <c r="Q43">
        <v>0.36189747700000002</v>
      </c>
      <c r="R43">
        <v>0.47443909169999998</v>
      </c>
      <c r="S43">
        <v>0.59205258579999998</v>
      </c>
      <c r="T43">
        <v>0.71891032529999999</v>
      </c>
      <c r="U43">
        <v>0.86968150560000002</v>
      </c>
      <c r="V43">
        <v>1.058151053</v>
      </c>
      <c r="W43">
        <v>1.3567764490000001</v>
      </c>
      <c r="X43">
        <v>1.733287552</v>
      </c>
      <c r="Y43">
        <v>2.102494445</v>
      </c>
      <c r="Z43">
        <v>2.538500998</v>
      </c>
      <c r="AA43">
        <v>3.0971142610000002</v>
      </c>
      <c r="AB43">
        <v>3.7848237569999998</v>
      </c>
      <c r="AC43">
        <v>4.5928357819999999</v>
      </c>
      <c r="AD43">
        <v>5.4887164200000003</v>
      </c>
      <c r="AE43">
        <v>6.4422399830000003</v>
      </c>
      <c r="AF43">
        <v>7.4092689219999999</v>
      </c>
      <c r="AG43">
        <v>8.3574104919999996</v>
      </c>
      <c r="AH43">
        <v>9.2644563049999995</v>
      </c>
      <c r="AI43">
        <v>10.155186090000001</v>
      </c>
      <c r="AJ43">
        <v>11.01065622</v>
      </c>
      <c r="AK43">
        <v>11.814071419999999</v>
      </c>
      <c r="AL43">
        <v>12.565029190000001</v>
      </c>
      <c r="AM43">
        <v>13.257421600000001</v>
      </c>
      <c r="AN43">
        <v>13.89277023</v>
      </c>
      <c r="AO43">
        <v>14.4767797</v>
      </c>
      <c r="AP43">
        <v>15.007762209999999</v>
      </c>
      <c r="AQ43">
        <v>15.487702280000001</v>
      </c>
      <c r="AR43">
        <v>15.89639603</v>
      </c>
      <c r="AS43">
        <v>16.279360870000001</v>
      </c>
      <c r="AT43">
        <v>16.630886919999998</v>
      </c>
      <c r="AU43">
        <v>16.949885989999999</v>
      </c>
      <c r="AV43">
        <v>17.234717289999999</v>
      </c>
      <c r="AW43">
        <v>17.471560050000001</v>
      </c>
    </row>
    <row r="44" spans="2:49" x14ac:dyDescent="0.25">
      <c r="B44" t="s">
        <v>144</v>
      </c>
      <c r="C44">
        <v>0.101255771246286</v>
      </c>
      <c r="D44" s="39">
        <v>0.10288146540575301</v>
      </c>
      <c r="E44">
        <v>0.1045332606</v>
      </c>
      <c r="F44">
        <v>0.24925381730000001</v>
      </c>
      <c r="G44">
        <v>0.471205284</v>
      </c>
      <c r="H44">
        <v>0.8111054365</v>
      </c>
      <c r="I44">
        <v>1.2675322570000001</v>
      </c>
      <c r="J44">
        <v>1.8682243569999999</v>
      </c>
      <c r="K44">
        <v>2.5503144500000001</v>
      </c>
      <c r="L44">
        <v>3.384336813</v>
      </c>
      <c r="M44">
        <v>4.4429419179999998</v>
      </c>
      <c r="N44">
        <v>5.6642500470000003</v>
      </c>
      <c r="O44">
        <v>7.2934052640000004</v>
      </c>
      <c r="P44">
        <v>9.8517012420000007</v>
      </c>
      <c r="Q44">
        <v>13.104224670000001</v>
      </c>
      <c r="R44">
        <v>17.14172984</v>
      </c>
      <c r="S44">
        <v>21.192864220000001</v>
      </c>
      <c r="T44">
        <v>25.41636462</v>
      </c>
      <c r="U44">
        <v>29.361614800000002</v>
      </c>
      <c r="V44">
        <v>33.614028840000003</v>
      </c>
      <c r="W44">
        <v>40.38826633</v>
      </c>
      <c r="X44">
        <v>48.737406389999997</v>
      </c>
      <c r="Y44">
        <v>56.518597110000002</v>
      </c>
      <c r="Z44">
        <v>65.380590010000006</v>
      </c>
      <c r="AA44">
        <v>76.392360240000002</v>
      </c>
      <c r="AB44">
        <v>89.488265400000003</v>
      </c>
      <c r="AC44">
        <v>104.2955711</v>
      </c>
      <c r="AD44">
        <v>120.0311116</v>
      </c>
      <c r="AE44">
        <v>136.02513160000001</v>
      </c>
      <c r="AF44">
        <v>151.4306522</v>
      </c>
      <c r="AG44">
        <v>165.69353559999999</v>
      </c>
      <c r="AH44">
        <v>178.4946181</v>
      </c>
      <c r="AI44">
        <v>190.2932734</v>
      </c>
      <c r="AJ44">
        <v>200.850348</v>
      </c>
      <c r="AK44">
        <v>209.9784022</v>
      </c>
      <c r="AL44">
        <v>217.77126949999999</v>
      </c>
      <c r="AM44">
        <v>224.2213788</v>
      </c>
      <c r="AN44">
        <v>229.5505416</v>
      </c>
      <c r="AO44">
        <v>233.90751230000001</v>
      </c>
      <c r="AP44">
        <v>237.31751560000001</v>
      </c>
      <c r="AQ44">
        <v>239.8600951</v>
      </c>
      <c r="AR44">
        <v>240.0219108</v>
      </c>
      <c r="AS44">
        <v>239.88285239999999</v>
      </c>
      <c r="AT44">
        <v>239.4046755</v>
      </c>
      <c r="AU44">
        <v>238.59990329999999</v>
      </c>
      <c r="AV44">
        <v>237.47385700000001</v>
      </c>
      <c r="AW44">
        <v>235.90500879999999</v>
      </c>
    </row>
    <row r="45" spans="2:49" x14ac:dyDescent="0.25">
      <c r="B45" t="s">
        <v>145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2:49" x14ac:dyDescent="0.25">
      <c r="B46" t="s">
        <v>146</v>
      </c>
      <c r="C46">
        <v>30996.0941631817</v>
      </c>
      <c r="D46">
        <v>31493.7464809423</v>
      </c>
      <c r="E46">
        <v>31999.388770000001</v>
      </c>
      <c r="F46">
        <v>32682.55287</v>
      </c>
      <c r="G46">
        <v>33303.57617</v>
      </c>
      <c r="H46">
        <v>34123.088710000004</v>
      </c>
      <c r="I46">
        <v>34832.549679999996</v>
      </c>
      <c r="J46">
        <v>35442.430110000001</v>
      </c>
      <c r="K46">
        <v>35666.69023</v>
      </c>
      <c r="L46">
        <v>35752.766000000003</v>
      </c>
      <c r="M46">
        <v>35831.168129999998</v>
      </c>
      <c r="N46">
        <v>35758.76528</v>
      </c>
      <c r="O46">
        <v>35777.025309999997</v>
      </c>
      <c r="P46">
        <v>36052.427409999997</v>
      </c>
      <c r="Q46">
        <v>36351.668870000001</v>
      </c>
      <c r="R46">
        <v>36642.938629999997</v>
      </c>
      <c r="S46">
        <v>36599.194000000003</v>
      </c>
      <c r="T46">
        <v>36332.528789999997</v>
      </c>
      <c r="U46">
        <v>35840.556920000003</v>
      </c>
      <c r="V46">
        <v>35278.235339999999</v>
      </c>
      <c r="W46">
        <v>35091.783640000001</v>
      </c>
      <c r="X46">
        <v>34987.094120000002</v>
      </c>
      <c r="Y46">
        <v>34479.217940000002</v>
      </c>
      <c r="Z46">
        <v>33719.788930000002</v>
      </c>
      <c r="AA46">
        <v>32734.757679999999</v>
      </c>
      <c r="AB46">
        <v>31549.215110000001</v>
      </c>
      <c r="AC46">
        <v>30199.260389999999</v>
      </c>
      <c r="AD46">
        <v>28732.13998</v>
      </c>
      <c r="AE46">
        <v>27206.979340000002</v>
      </c>
      <c r="AF46">
        <v>25674.397629999999</v>
      </c>
      <c r="AG46">
        <v>24172.910680000001</v>
      </c>
      <c r="AH46">
        <v>22726.064750000001</v>
      </c>
      <c r="AI46">
        <v>21346.212179999999</v>
      </c>
      <c r="AJ46">
        <v>20037.348000000002</v>
      </c>
      <c r="AK46">
        <v>18799.7899</v>
      </c>
      <c r="AL46">
        <v>17631.896049999999</v>
      </c>
      <c r="AM46" s="39">
        <v>16531.00606</v>
      </c>
      <c r="AN46" s="39">
        <v>15498.365040000001</v>
      </c>
      <c r="AO46" s="39">
        <v>14529.98855</v>
      </c>
      <c r="AP46" s="39">
        <v>13621.998390000001</v>
      </c>
      <c r="AQ46" s="39">
        <v>12770.68973</v>
      </c>
      <c r="AR46" s="39">
        <v>11919.344150000001</v>
      </c>
      <c r="AS46" s="39">
        <v>11124.738090000001</v>
      </c>
      <c r="AT46" s="39">
        <v>10383.09729</v>
      </c>
      <c r="AU46" s="39">
        <v>9690.8949790000006</v>
      </c>
      <c r="AV46" s="39">
        <v>9044.8373819999997</v>
      </c>
      <c r="AW46" s="39">
        <v>8441.849236</v>
      </c>
    </row>
    <row r="47" spans="2:49" x14ac:dyDescent="0.25">
      <c r="B47" t="s">
        <v>147</v>
      </c>
      <c r="C47">
        <v>2.3360541304970401</v>
      </c>
      <c r="D47">
        <v>2.3735602351802898</v>
      </c>
      <c r="E47">
        <v>2.411668513</v>
      </c>
      <c r="F47" s="39">
        <v>5.8261313479999997</v>
      </c>
      <c r="G47" s="39">
        <v>11.218536110000001</v>
      </c>
      <c r="H47">
        <v>19.756231830000001</v>
      </c>
      <c r="I47">
        <v>31.28776586</v>
      </c>
      <c r="J47">
        <v>46.718689269999999</v>
      </c>
      <c r="K47">
        <v>64.623275840000005</v>
      </c>
      <c r="L47">
        <v>87.150214610000006</v>
      </c>
      <c r="M47">
        <v>116.8957365</v>
      </c>
      <c r="N47">
        <v>152.54206970000001</v>
      </c>
      <c r="O47">
        <v>201.47613999999999</v>
      </c>
      <c r="P47" s="39">
        <v>268.77697019999999</v>
      </c>
      <c r="Q47" s="39">
        <v>357.21728919999998</v>
      </c>
      <c r="R47" s="39">
        <v>470.80521440000001</v>
      </c>
      <c r="S47" s="39">
        <v>589.69133429999999</v>
      </c>
      <c r="T47" s="39">
        <v>718.06707040000003</v>
      </c>
      <c r="U47" s="39">
        <v>872.06244679999998</v>
      </c>
      <c r="V47" s="39">
        <v>1065.503751</v>
      </c>
      <c r="W47" s="39">
        <v>1371.790062</v>
      </c>
      <c r="X47" s="39">
        <v>1758.194827</v>
      </c>
      <c r="Y47" s="39">
        <v>2137.7566980000001</v>
      </c>
      <c r="Z47" s="39">
        <v>2586.5001200000002</v>
      </c>
      <c r="AA47" s="39">
        <v>3161.9761039999999</v>
      </c>
      <c r="AB47" s="39">
        <v>3871.22885</v>
      </c>
      <c r="AC47" s="39">
        <v>4705.5855940000001</v>
      </c>
      <c r="AD47" s="39">
        <v>5631.9369539999998</v>
      </c>
      <c r="AE47" s="39">
        <v>6619.3310439999996</v>
      </c>
      <c r="AF47" s="39">
        <v>7622.3114299999997</v>
      </c>
      <c r="AG47" s="39">
        <v>8607.4032210000005</v>
      </c>
      <c r="AH47" s="39">
        <v>9551.5509390000007</v>
      </c>
      <c r="AI47">
        <v>10480.382600000001</v>
      </c>
      <c r="AJ47">
        <v>11374.16596</v>
      </c>
      <c r="AK47">
        <v>12215.3559</v>
      </c>
      <c r="AL47">
        <v>13003.360290000001</v>
      </c>
      <c r="AM47">
        <v>13731.685369999999</v>
      </c>
      <c r="AN47">
        <v>14401.47</v>
      </c>
      <c r="AO47">
        <v>15018.51583</v>
      </c>
      <c r="AP47">
        <v>15580.96939</v>
      </c>
      <c r="AQ47">
        <v>16090.7899</v>
      </c>
      <c r="AR47">
        <v>16530.57919</v>
      </c>
      <c r="AS47">
        <v>16943.646239999998</v>
      </c>
      <c r="AT47">
        <v>17323.931540000001</v>
      </c>
      <c r="AU47">
        <v>17670.224190000001</v>
      </c>
      <c r="AV47">
        <v>17980.731619999999</v>
      </c>
      <c r="AW47">
        <v>18240.839810000001</v>
      </c>
    </row>
    <row r="48" spans="2:49" x14ac:dyDescent="0.25">
      <c r="B48" t="s">
        <v>148</v>
      </c>
      <c r="C48">
        <v>2.1906436884240502E-2</v>
      </c>
      <c r="D48">
        <v>2.2258151814254699E-2</v>
      </c>
      <c r="E48">
        <v>2.2615513600000001E-2</v>
      </c>
      <c r="F48" s="39">
        <v>2.1810911400000001E-2</v>
      </c>
      <c r="G48" s="39">
        <v>5.75652002E-2</v>
      </c>
      <c r="H48">
        <v>9.3278582200000001E-2</v>
      </c>
      <c r="I48">
        <v>0.12786564480000001</v>
      </c>
      <c r="J48">
        <v>0.17559521140000001</v>
      </c>
      <c r="K48" s="39">
        <v>0.22302920579999999</v>
      </c>
      <c r="L48" s="39">
        <v>0.26693807990000001</v>
      </c>
      <c r="M48" s="39">
        <v>0.3097436496</v>
      </c>
      <c r="N48" s="39">
        <v>0.33775535340000001</v>
      </c>
      <c r="O48" s="39">
        <v>0.36334823360000001</v>
      </c>
      <c r="P48" s="39">
        <v>0.38393948630000002</v>
      </c>
      <c r="Q48" s="39">
        <v>0.42704484100000001</v>
      </c>
      <c r="R48" s="39">
        <v>0.47328878289999998</v>
      </c>
      <c r="S48" s="39">
        <v>0.53264418810000003</v>
      </c>
      <c r="T48" s="39">
        <v>0.57489115830000004</v>
      </c>
      <c r="U48" s="39">
        <v>0.63876431550000001</v>
      </c>
      <c r="V48" s="39">
        <v>0.71418406270000001</v>
      </c>
      <c r="W48" s="39">
        <v>0.81737756549999996</v>
      </c>
      <c r="X48" s="39">
        <v>0.92865091990000004</v>
      </c>
      <c r="Y48" s="39">
        <v>1.006011269</v>
      </c>
      <c r="Z48" s="39">
        <v>1.059450177</v>
      </c>
      <c r="AA48" s="39">
        <v>1.0898742669999999</v>
      </c>
      <c r="AB48" s="39">
        <v>1.0988693979999999</v>
      </c>
      <c r="AC48" s="39">
        <v>1.087909274</v>
      </c>
      <c r="AD48" s="39">
        <v>1.059446401</v>
      </c>
      <c r="AE48" s="39">
        <v>1.0185755910000001</v>
      </c>
      <c r="AF48" s="39">
        <v>0.9702441799</v>
      </c>
      <c r="AG48" s="39">
        <v>0.91857429859999995</v>
      </c>
      <c r="AH48" s="39">
        <v>0.86634426019999999</v>
      </c>
      <c r="AI48" s="39">
        <v>0.81523619270000003</v>
      </c>
      <c r="AJ48" s="39">
        <v>0.76604440689999997</v>
      </c>
      <c r="AK48" s="39">
        <v>0.7191484789</v>
      </c>
      <c r="AL48" s="39">
        <v>0.67469059139999998</v>
      </c>
      <c r="AM48" s="39">
        <v>0.63267721560000001</v>
      </c>
      <c r="AN48">
        <v>0.59321392159999997</v>
      </c>
      <c r="AO48">
        <v>0.55617840299999999</v>
      </c>
      <c r="AP48">
        <v>0.52143776269999997</v>
      </c>
      <c r="AQ48">
        <v>0.48885832109999999</v>
      </c>
      <c r="AR48">
        <v>0.4562735618</v>
      </c>
      <c r="AS48">
        <v>0.4258583051</v>
      </c>
      <c r="AT48">
        <v>0.39746927599999998</v>
      </c>
      <c r="AU48">
        <v>0.37097210180000001</v>
      </c>
      <c r="AV48">
        <v>0.34624102369999998</v>
      </c>
      <c r="AW48">
        <v>0.32315848740000003</v>
      </c>
    </row>
    <row r="49" spans="2:99" x14ac:dyDescent="0.25">
      <c r="B49" t="s">
        <v>149</v>
      </c>
      <c r="C49">
        <v>2298.5980133353301</v>
      </c>
      <c r="D49">
        <v>2335.5027479420201</v>
      </c>
      <c r="E49">
        <v>2373</v>
      </c>
      <c r="F49" s="39">
        <v>2446.6775899999998</v>
      </c>
      <c r="G49" s="39">
        <v>2424.2765530000001</v>
      </c>
      <c r="H49">
        <v>2660.3639440000002</v>
      </c>
      <c r="I49">
        <v>2598.8489709999999</v>
      </c>
      <c r="J49">
        <v>2542.822412</v>
      </c>
      <c r="K49" s="39">
        <v>2194.0678939999998</v>
      </c>
      <c r="L49" s="39">
        <v>2073.8249529999998</v>
      </c>
      <c r="M49" s="39">
        <v>2079.3430400000002</v>
      </c>
      <c r="N49" s="39">
        <v>1940.3869999999999</v>
      </c>
      <c r="O49" s="39">
        <v>2042.316</v>
      </c>
      <c r="P49" s="39">
        <v>2141.6280000000002</v>
      </c>
      <c r="Q49" s="39">
        <v>2203.7420000000002</v>
      </c>
      <c r="R49" s="39">
        <v>2240.3020000000001</v>
      </c>
      <c r="S49" s="39">
        <v>1930.8286780000001</v>
      </c>
      <c r="T49" s="39">
        <v>1721.154794</v>
      </c>
      <c r="U49" s="39">
        <v>1720.3899369999999</v>
      </c>
      <c r="V49" s="39">
        <v>1790.6855700000001</v>
      </c>
      <c r="W49" s="39">
        <v>2257.7016159999998</v>
      </c>
      <c r="X49" s="39">
        <v>2426.6313500000001</v>
      </c>
      <c r="Y49" s="39">
        <v>2041.6830660000001</v>
      </c>
      <c r="Z49" s="39">
        <v>1860.2812859999999</v>
      </c>
      <c r="AA49" s="39">
        <v>1751.5333720000001</v>
      </c>
      <c r="AB49" s="39">
        <v>1668.9333140000001</v>
      </c>
      <c r="AC49" s="39">
        <v>1609.628659</v>
      </c>
      <c r="AD49" s="39">
        <v>1561.932519</v>
      </c>
      <c r="AE49" s="39">
        <v>1540.7058380000001</v>
      </c>
      <c r="AF49" s="39">
        <v>1524.6280509999999</v>
      </c>
      <c r="AG49" s="39">
        <v>1513.8919840000001</v>
      </c>
      <c r="AH49" s="39">
        <v>1504.2597760000001</v>
      </c>
      <c r="AI49" s="39">
        <v>1533.258752</v>
      </c>
      <c r="AJ49" s="39">
        <v>1549.52379</v>
      </c>
      <c r="AK49" s="39">
        <v>1550.6265069999999</v>
      </c>
      <c r="AL49" s="39">
        <v>1550.513815</v>
      </c>
      <c r="AM49" s="39">
        <v>1542.13861</v>
      </c>
      <c r="AN49">
        <v>1528.5618239999999</v>
      </c>
      <c r="AO49">
        <v>1517.4090200000001</v>
      </c>
      <c r="AP49">
        <v>1501.2449340000001</v>
      </c>
      <c r="AQ49">
        <v>1483.697328</v>
      </c>
      <c r="AR49">
        <v>1512.542357</v>
      </c>
      <c r="AS49">
        <v>1515.1225480000001</v>
      </c>
      <c r="AT49">
        <v>1509.8701140000001</v>
      </c>
      <c r="AU49">
        <v>1501.2255990000001</v>
      </c>
      <c r="AV49">
        <v>1488.524445</v>
      </c>
      <c r="AW49">
        <v>1458.8246429999999</v>
      </c>
    </row>
    <row r="50" spans="2:99" x14ac:dyDescent="0.25">
      <c r="B50" t="s">
        <v>150</v>
      </c>
      <c r="C50">
        <v>2297.4487143286601</v>
      </c>
      <c r="D50">
        <v>2334.33499656805</v>
      </c>
      <c r="E50">
        <v>2370.8204660000001</v>
      </c>
      <c r="F50" s="39">
        <v>2443.130486</v>
      </c>
      <c r="G50" s="39">
        <v>2418.5637109999998</v>
      </c>
      <c r="H50">
        <v>2651.2092280000002</v>
      </c>
      <c r="I50">
        <v>2586.2308440000002</v>
      </c>
      <c r="J50">
        <v>2525.6706610000001</v>
      </c>
      <c r="K50" s="39">
        <v>2173.5937800000002</v>
      </c>
      <c r="L50" s="39">
        <v>2047.7437339999999</v>
      </c>
      <c r="M50" s="39">
        <v>2044.804257</v>
      </c>
      <c r="N50" s="39">
        <v>1898.3114009999999</v>
      </c>
      <c r="O50" s="39">
        <v>1984.9921159999999</v>
      </c>
      <c r="P50" s="39">
        <v>2064.2533629999998</v>
      </c>
      <c r="Q50" s="39">
        <v>2101.8628319999998</v>
      </c>
      <c r="R50" s="39">
        <v>2108.8532100000002</v>
      </c>
      <c r="S50" s="39">
        <v>1788.4022970000001</v>
      </c>
      <c r="T50" s="39">
        <v>1563.294492</v>
      </c>
      <c r="U50" s="39">
        <v>1526.5019460000001</v>
      </c>
      <c r="V50" s="39">
        <v>1545.946475</v>
      </c>
      <c r="W50" s="39">
        <v>1888.7386140000001</v>
      </c>
      <c r="X50" s="39">
        <v>1959.533052</v>
      </c>
      <c r="Y50" s="39">
        <v>1558.2907929999999</v>
      </c>
      <c r="Z50" s="39">
        <v>1284.7933949999999</v>
      </c>
      <c r="AA50" s="39">
        <v>1022.099048</v>
      </c>
      <c r="AB50" s="39">
        <v>770.7178523</v>
      </c>
      <c r="AC50" s="39">
        <v>542.99818479999999</v>
      </c>
      <c r="AD50" s="39">
        <v>352.1121468</v>
      </c>
      <c r="AE50" s="39">
        <v>212.67040019999999</v>
      </c>
      <c r="AF50" s="39">
        <v>119.6639976</v>
      </c>
      <c r="AG50" s="39">
        <v>64.025107019999894</v>
      </c>
      <c r="AH50" s="39">
        <v>33.128186710000001</v>
      </c>
      <c r="AI50" s="39">
        <v>17.24158109</v>
      </c>
      <c r="AJ50" s="39">
        <v>8.8032349159999903</v>
      </c>
      <c r="AK50" s="39">
        <v>4.4262816029999996</v>
      </c>
      <c r="AL50" s="39">
        <v>2.2175574299999998</v>
      </c>
      <c r="AM50" s="39">
        <v>1.103511109</v>
      </c>
      <c r="AN50" s="39">
        <v>0.54686063979999999</v>
      </c>
      <c r="AO50" s="39">
        <v>0.27131760440000002</v>
      </c>
      <c r="AP50" s="39">
        <v>0.1341308349</v>
      </c>
      <c r="AQ50" s="39">
        <v>6.6234203199999994E-2</v>
      </c>
      <c r="AR50" s="39">
        <v>3.3736148000000001E-2</v>
      </c>
      <c r="AS50" s="39">
        <v>1.6883912500000001E-2</v>
      </c>
      <c r="AT50" s="39">
        <v>8.4060728600000006E-3</v>
      </c>
      <c r="AU50" s="39">
        <v>4.1756308900000004E-3</v>
      </c>
      <c r="AV50">
        <v>2.0684732700000001E-3</v>
      </c>
      <c r="AW50" s="39">
        <v>1.0127698E-3</v>
      </c>
    </row>
    <row r="51" spans="2:99" x14ac:dyDescent="0.25">
      <c r="B51" t="s">
        <v>151</v>
      </c>
      <c r="C51">
        <v>1.1492990066676601</v>
      </c>
      <c r="D51">
        <v>1.1677513739710099</v>
      </c>
      <c r="E51">
        <v>1.186003235</v>
      </c>
      <c r="F51" s="39">
        <v>0</v>
      </c>
      <c r="G51" s="39">
        <v>32.312598919999999</v>
      </c>
      <c r="H51">
        <v>33.974102899999998</v>
      </c>
      <c r="I51">
        <v>34.728416080000002</v>
      </c>
      <c r="J51">
        <v>48.051901690000001</v>
      </c>
      <c r="K51" s="39">
        <v>50.170853889999997</v>
      </c>
      <c r="L51" s="39">
        <v>49.379294229999999</v>
      </c>
      <c r="M51" s="39">
        <v>50.538831010000003</v>
      </c>
      <c r="N51" s="39">
        <v>39.548810699999997</v>
      </c>
      <c r="O51" s="39">
        <v>38.755437890000003</v>
      </c>
      <c r="P51" s="39">
        <v>33.956860759999998</v>
      </c>
      <c r="Q51" s="39">
        <v>54.782855869999999</v>
      </c>
      <c r="R51" s="39">
        <v>59.465052980000003</v>
      </c>
      <c r="S51" s="39">
        <v>73.160336939999894</v>
      </c>
      <c r="T51" s="39">
        <v>60.6897527</v>
      </c>
      <c r="U51" s="39">
        <v>84.523020380000006</v>
      </c>
      <c r="V51" s="39">
        <v>99.723652009999995</v>
      </c>
      <c r="W51" s="39">
        <v>128.16832149999999</v>
      </c>
      <c r="X51" s="39">
        <v>140.67828789999999</v>
      </c>
      <c r="Y51" s="39">
        <v>116.7195121</v>
      </c>
      <c r="Z51" s="39">
        <v>99.848573430000002</v>
      </c>
      <c r="AA51" s="39">
        <v>82.551788009999996</v>
      </c>
      <c r="AB51" s="39">
        <v>65.463744340000005</v>
      </c>
      <c r="AC51" s="39">
        <v>48.552489399999999</v>
      </c>
      <c r="AD51" s="39">
        <v>32.746851579999998</v>
      </c>
      <c r="AE51" s="39">
        <v>20.501224929999999</v>
      </c>
      <c r="AF51" s="39">
        <v>11.94835061</v>
      </c>
      <c r="AG51" s="39">
        <v>6.6182526629999998</v>
      </c>
      <c r="AH51" s="39">
        <v>3.5421393609999998</v>
      </c>
      <c r="AI51" s="39">
        <v>1.9003272389999999</v>
      </c>
      <c r="AJ51" s="39">
        <v>0.99971921029999999</v>
      </c>
      <c r="AK51" s="39">
        <v>0.5179478743</v>
      </c>
      <c r="AL51" s="39">
        <v>0.26721152129999998</v>
      </c>
      <c r="AM51" s="39">
        <v>0.13678410890000001</v>
      </c>
      <c r="AN51" s="39">
        <v>6.9843350400000004E-2</v>
      </c>
      <c r="AO51" s="39">
        <v>3.56614923E-2</v>
      </c>
      <c r="AP51" s="39">
        <v>1.8126763399999999E-2</v>
      </c>
      <c r="AQ51" s="39">
        <v>9.20837228E-3</v>
      </c>
      <c r="AR51" s="39">
        <v>5.1228246399999998E-3</v>
      </c>
      <c r="AS51" s="39">
        <v>2.6348621900000001E-3</v>
      </c>
      <c r="AT51" s="39">
        <v>1.34769281E-3</v>
      </c>
      <c r="AU51" s="39">
        <v>6.8740479900000003E-4</v>
      </c>
      <c r="AV51">
        <v>3.4950811E-4</v>
      </c>
      <c r="AW51" s="39">
        <v>1.7558184200000001E-4</v>
      </c>
    </row>
    <row r="52" spans="2:99" x14ac:dyDescent="0.25">
      <c r="B52" t="s">
        <v>152</v>
      </c>
      <c r="C52">
        <v>413.74764240035898</v>
      </c>
      <c r="D52">
        <v>420.39049462956399</v>
      </c>
      <c r="E52">
        <v>426.9611645</v>
      </c>
      <c r="F52" s="39">
        <v>439.251059</v>
      </c>
      <c r="G52" s="39">
        <v>447.38356720000002</v>
      </c>
      <c r="H52">
        <v>495.80936650000001</v>
      </c>
      <c r="I52">
        <v>481.5092497</v>
      </c>
      <c r="J52">
        <v>473.53859619999997</v>
      </c>
      <c r="K52" s="39">
        <v>409.1178802</v>
      </c>
      <c r="L52" s="39">
        <v>387.16488989999999</v>
      </c>
      <c r="M52" s="39">
        <v>388.81353860000002</v>
      </c>
      <c r="N52" s="39">
        <v>365.6873372</v>
      </c>
      <c r="O52" s="39">
        <v>383.85351450000002</v>
      </c>
      <c r="P52" s="39">
        <v>394.48576859999997</v>
      </c>
      <c r="Q52" s="39">
        <v>409.1145568</v>
      </c>
      <c r="R52" s="39">
        <v>413.06210220000003</v>
      </c>
      <c r="S52" s="39">
        <v>363.90462359999998</v>
      </c>
      <c r="T52" s="39">
        <v>312.40226109999998</v>
      </c>
      <c r="U52" s="39">
        <v>318.15002290000001</v>
      </c>
      <c r="V52" s="39">
        <v>327.16684620000001</v>
      </c>
      <c r="W52" s="39">
        <v>400.82717480000002</v>
      </c>
      <c r="X52" s="39">
        <v>417.2290213</v>
      </c>
      <c r="Y52" s="39">
        <v>333.20547319999997</v>
      </c>
      <c r="Z52" s="39">
        <v>275.75767059999998</v>
      </c>
      <c r="AA52" s="39">
        <v>220.27763010000001</v>
      </c>
      <c r="AB52" s="39">
        <v>166.6661728</v>
      </c>
      <c r="AC52" s="39">
        <v>117.8419864</v>
      </c>
      <c r="AD52" s="39">
        <v>76.709037969999997</v>
      </c>
      <c r="AE52" s="39">
        <v>46.496608940000002</v>
      </c>
      <c r="AF52" s="39">
        <v>26.259099290000002</v>
      </c>
      <c r="AG52" s="39">
        <v>14.102458520000001</v>
      </c>
      <c r="AH52" s="39">
        <v>7.3248068049999997</v>
      </c>
      <c r="AI52" s="39">
        <v>3.8270158329999999</v>
      </c>
      <c r="AJ52" s="39">
        <v>1.961549338</v>
      </c>
      <c r="AK52" s="39">
        <v>0.99009174209999995</v>
      </c>
      <c r="AL52" s="39">
        <v>0.4979293441</v>
      </c>
      <c r="AM52" s="39">
        <v>0.24868770549999999</v>
      </c>
      <c r="AN52" s="39">
        <v>0.1235229388</v>
      </c>
      <c r="AO52" s="39">
        <v>6.1414402399999998E-2</v>
      </c>
      <c r="AP52" s="39">
        <v>3.04192449E-2</v>
      </c>
      <c r="AQ52" s="39">
        <v>1.5051429200000001E-2</v>
      </c>
      <c r="AR52" s="39">
        <v>7.7492952599999996E-3</v>
      </c>
      <c r="AS52" s="39">
        <v>3.8826918600000002E-3</v>
      </c>
      <c r="AT52" s="39">
        <v>1.9349672800000001E-3</v>
      </c>
      <c r="AU52" s="39">
        <v>9.61945128E-4</v>
      </c>
      <c r="AV52">
        <v>4.76823712E-4</v>
      </c>
      <c r="AW52" s="39">
        <v>2.3357542500000001E-4</v>
      </c>
    </row>
    <row r="53" spans="2:99" x14ac:dyDescent="0.25">
      <c r="B53" t="s">
        <v>153</v>
      </c>
      <c r="C53">
        <v>652.80183578723302</v>
      </c>
      <c r="D53">
        <v>663.28278041553403</v>
      </c>
      <c r="E53">
        <v>673.64983729999994</v>
      </c>
      <c r="F53" s="39">
        <v>693.93322139999998</v>
      </c>
      <c r="G53" s="39">
        <v>683.89172589999998</v>
      </c>
      <c r="H53">
        <v>752.12396290000004</v>
      </c>
      <c r="I53">
        <v>732.61254110000004</v>
      </c>
      <c r="J53">
        <v>715.31877669999994</v>
      </c>
      <c r="K53" s="39">
        <v>615.27211899999998</v>
      </c>
      <c r="L53" s="39">
        <v>579.96679410000002</v>
      </c>
      <c r="M53" s="39">
        <v>579.85825869999996</v>
      </c>
      <c r="N53" s="39">
        <v>551.21290050000005</v>
      </c>
      <c r="O53" s="39">
        <v>577.52892050000003</v>
      </c>
      <c r="P53" s="39">
        <v>600.32618149999996</v>
      </c>
      <c r="Q53" s="39">
        <v>612.14834020000001</v>
      </c>
      <c r="R53" s="39">
        <v>616.02515559999995</v>
      </c>
      <c r="S53" s="39">
        <v>528.74597559999995</v>
      </c>
      <c r="T53" s="39">
        <v>460.42175680000003</v>
      </c>
      <c r="U53" s="39">
        <v>452.4445442</v>
      </c>
      <c r="V53" s="39">
        <v>457.1196425</v>
      </c>
      <c r="W53" s="39">
        <v>557.54632690000005</v>
      </c>
      <c r="X53" s="39">
        <v>577.2814975</v>
      </c>
      <c r="Y53" s="39">
        <v>458.48512040000003</v>
      </c>
      <c r="Z53" s="39">
        <v>377.54891909999998</v>
      </c>
      <c r="AA53" s="39">
        <v>299.93490800000001</v>
      </c>
      <c r="AB53" s="39">
        <v>225.6142117</v>
      </c>
      <c r="AC53" s="39">
        <v>158.51843070000001</v>
      </c>
      <c r="AD53" s="39">
        <v>102.5775038</v>
      </c>
      <c r="AE53" s="39">
        <v>61.826739709999998</v>
      </c>
      <c r="AF53" s="39">
        <v>34.712573849999998</v>
      </c>
      <c r="AG53" s="39">
        <v>18.529732020000001</v>
      </c>
      <c r="AH53" s="39">
        <v>9.5645401210000003</v>
      </c>
      <c r="AI53" s="39">
        <v>4.9664936040000001</v>
      </c>
      <c r="AJ53" s="39">
        <v>2.5296535950000001</v>
      </c>
      <c r="AK53" s="39">
        <v>1.2685864929999999</v>
      </c>
      <c r="AL53" s="39">
        <v>0.63381100469999996</v>
      </c>
      <c r="AM53" s="39">
        <v>0.31450188470000001</v>
      </c>
      <c r="AN53" s="39">
        <v>0.15533197700000001</v>
      </c>
      <c r="AO53" s="39">
        <v>7.6801902599999999E-2</v>
      </c>
      <c r="AP53" s="39">
        <v>3.7835043899999997E-2</v>
      </c>
      <c r="AQ53" s="39">
        <v>1.8612477200000001E-2</v>
      </c>
      <c r="AR53" s="39">
        <v>9.3565312200000004E-3</v>
      </c>
      <c r="AS53" s="39">
        <v>4.6609474300000004E-3</v>
      </c>
      <c r="AT53" s="39">
        <v>2.3094024900000001E-3</v>
      </c>
      <c r="AU53" s="39">
        <v>1.1414831199999999E-3</v>
      </c>
      <c r="AV53">
        <v>5.6255684299999996E-4</v>
      </c>
      <c r="AW53" s="39">
        <v>2.7398123699999999E-4</v>
      </c>
    </row>
    <row r="54" spans="2:99" x14ac:dyDescent="0.25">
      <c r="B54" t="s">
        <v>154</v>
      </c>
      <c r="C54">
        <v>643.60744373389196</v>
      </c>
      <c r="D54">
        <v>653.94076942376603</v>
      </c>
      <c r="E54">
        <v>664.16181140000003</v>
      </c>
      <c r="F54" s="39">
        <v>684.49383250000005</v>
      </c>
      <c r="G54" s="39">
        <v>672.36833809999996</v>
      </c>
      <c r="H54">
        <v>738.23856009999997</v>
      </c>
      <c r="I54">
        <v>719.46669689999999</v>
      </c>
      <c r="J54">
        <v>700.19873259999997</v>
      </c>
      <c r="K54" s="39">
        <v>600.95556939999994</v>
      </c>
      <c r="L54" s="39">
        <v>565.73828149999997</v>
      </c>
      <c r="M54" s="39">
        <v>564.9309174</v>
      </c>
      <c r="N54" s="39">
        <v>527.46111800000006</v>
      </c>
      <c r="O54" s="39">
        <v>552.86340929999994</v>
      </c>
      <c r="P54" s="39">
        <v>577.02968629999998</v>
      </c>
      <c r="Q54" s="39">
        <v>580.76187400000003</v>
      </c>
      <c r="R54" s="39">
        <v>586.1446866</v>
      </c>
      <c r="S54" s="39">
        <v>491.64815069999997</v>
      </c>
      <c r="T54" s="39">
        <v>440.24283320000001</v>
      </c>
      <c r="U54" s="39">
        <v>424.5466275</v>
      </c>
      <c r="V54" s="39">
        <v>424.96863639999998</v>
      </c>
      <c r="W54" s="39">
        <v>516.96717999999998</v>
      </c>
      <c r="X54" s="39">
        <v>533.58865070000002</v>
      </c>
      <c r="Y54" s="39">
        <v>422.50274999999999</v>
      </c>
      <c r="Z54" s="39">
        <v>346.9645802</v>
      </c>
      <c r="AA54" s="39">
        <v>274.80548219999997</v>
      </c>
      <c r="AB54" s="39">
        <v>205.9992068</v>
      </c>
      <c r="AC54" s="39">
        <v>144.19828799999999</v>
      </c>
      <c r="AD54" s="39">
        <v>92.998138249999997</v>
      </c>
      <c r="AE54" s="39">
        <v>55.873985920000003</v>
      </c>
      <c r="AF54" s="39">
        <v>31.26676239</v>
      </c>
      <c r="AG54" s="39">
        <v>16.633499350000001</v>
      </c>
      <c r="AH54" s="39">
        <v>8.5558206059999904</v>
      </c>
      <c r="AI54" s="39">
        <v>4.4276002380000001</v>
      </c>
      <c r="AJ54" s="39">
        <v>2.247371051</v>
      </c>
      <c r="AK54" s="39">
        <v>1.123003639</v>
      </c>
      <c r="AL54" s="39">
        <v>0.55905239790000005</v>
      </c>
      <c r="AM54" s="39">
        <v>0.27641788839999998</v>
      </c>
      <c r="AN54" s="39">
        <v>0.1360782234</v>
      </c>
      <c r="AO54" s="39">
        <v>6.7067712900000007E-2</v>
      </c>
      <c r="AP54" s="39">
        <v>3.2936812400000001E-2</v>
      </c>
      <c r="AQ54" s="39">
        <v>1.61494571E-2</v>
      </c>
      <c r="AR54" s="39">
        <v>8.01534481E-3</v>
      </c>
      <c r="AS54" s="39">
        <v>3.9799014100000002E-3</v>
      </c>
      <c r="AT54" s="39">
        <v>1.9656054799999999E-3</v>
      </c>
      <c r="AU54" s="39">
        <v>9.6845868200000004E-4</v>
      </c>
      <c r="AV54">
        <v>4.75777755E-4</v>
      </c>
      <c r="AW54" s="39">
        <v>2.3099183800000001E-4</v>
      </c>
    </row>
    <row r="55" spans="2:99" x14ac:dyDescent="0.25">
      <c r="B55" t="s">
        <v>155</v>
      </c>
      <c r="C55">
        <v>413.74764240035898</v>
      </c>
      <c r="D55">
        <v>420.39049462956399</v>
      </c>
      <c r="E55">
        <v>426.9611645</v>
      </c>
      <c r="F55" s="39">
        <v>440.64535430000001</v>
      </c>
      <c r="G55" s="39">
        <v>423.08660980000002</v>
      </c>
      <c r="H55">
        <v>461.35389529999998</v>
      </c>
      <c r="I55">
        <v>450.76659489999997</v>
      </c>
      <c r="J55">
        <v>434.95014259999999</v>
      </c>
      <c r="K55" s="39">
        <v>371.23619170000001</v>
      </c>
      <c r="L55" s="39">
        <v>353.335601</v>
      </c>
      <c r="M55" s="39">
        <v>351.39028029999997</v>
      </c>
      <c r="N55" s="39">
        <v>318.13932729999999</v>
      </c>
      <c r="O55" s="39">
        <v>333.52890070000001</v>
      </c>
      <c r="P55" s="39">
        <v>344.89234320000003</v>
      </c>
      <c r="Q55" s="39">
        <v>340.20535580000001</v>
      </c>
      <c r="R55" s="39">
        <v>336.6012063</v>
      </c>
      <c r="S55" s="39">
        <v>265.39182549999998</v>
      </c>
      <c r="T55" s="39">
        <v>250.21487999999999</v>
      </c>
      <c r="U55" s="39">
        <v>220.22818150000001</v>
      </c>
      <c r="V55" s="39">
        <v>214.22445260000001</v>
      </c>
      <c r="W55" s="39">
        <v>258.69250160000001</v>
      </c>
      <c r="X55" s="39">
        <v>264.69581069999998</v>
      </c>
      <c r="Y55" s="39">
        <v>207.75354949999999</v>
      </c>
      <c r="Z55" s="39">
        <v>169.27072100000001</v>
      </c>
      <c r="AA55" s="39">
        <v>132.92000730000001</v>
      </c>
      <c r="AB55" s="39">
        <v>98.729851010000004</v>
      </c>
      <c r="AC55" s="39">
        <v>68.440381259999995</v>
      </c>
      <c r="AD55" s="39">
        <v>43.74825053</v>
      </c>
      <c r="AE55" s="39">
        <v>26.066429020000001</v>
      </c>
      <c r="AF55" s="39">
        <v>14.463496640000001</v>
      </c>
      <c r="AG55" s="39">
        <v>7.6287751559999997</v>
      </c>
      <c r="AH55" s="39">
        <v>3.8904977619999999</v>
      </c>
      <c r="AI55" s="39">
        <v>1.99677339</v>
      </c>
      <c r="AJ55" s="39">
        <v>1.0052832270000001</v>
      </c>
      <c r="AK55" s="39">
        <v>0.49824803769999998</v>
      </c>
      <c r="AL55" s="39">
        <v>0.2460631415</v>
      </c>
      <c r="AM55" s="39">
        <v>0.1207404037</v>
      </c>
      <c r="AN55" s="39">
        <v>5.9061664399999998E-2</v>
      </c>
      <c r="AO55" s="39">
        <v>2.8934953999999999E-2</v>
      </c>
      <c r="AP55" s="39">
        <v>1.41304134E-2</v>
      </c>
      <c r="AQ55" s="39">
        <v>6.8888970199999996E-3</v>
      </c>
      <c r="AR55" s="39">
        <v>3.3488811200000001E-3</v>
      </c>
      <c r="AS55" s="39">
        <v>1.65602759E-3</v>
      </c>
      <c r="AT55" s="39">
        <v>8.1481866199999999E-4</v>
      </c>
      <c r="AU55" s="39">
        <v>4.0010819600000001E-4</v>
      </c>
      <c r="AV55">
        <v>1.95969894E-4</v>
      </c>
      <c r="AW55" s="39">
        <v>9.4892456899999997E-5</v>
      </c>
    </row>
    <row r="56" spans="2:99" x14ac:dyDescent="0.25">
      <c r="B56" t="s">
        <v>156</v>
      </c>
      <c r="C56">
        <v>137.915880800119</v>
      </c>
      <c r="D56">
        <v>140.13016487652101</v>
      </c>
      <c r="E56">
        <v>142.3203882</v>
      </c>
      <c r="F56" s="39">
        <v>147.5170881</v>
      </c>
      <c r="G56" s="39">
        <v>131.88171059999999</v>
      </c>
      <c r="H56">
        <v>140.69239959999999</v>
      </c>
      <c r="I56">
        <v>138.58068739999999</v>
      </c>
      <c r="J56">
        <v>130.03767260000001</v>
      </c>
      <c r="K56" s="39">
        <v>108.9672739</v>
      </c>
      <c r="L56" s="39">
        <v>99.677327070000004</v>
      </c>
      <c r="M56" s="39">
        <v>97.662509130000004</v>
      </c>
      <c r="N56" s="39">
        <v>83.664641149999994</v>
      </c>
      <c r="O56" s="39">
        <v>86.515698119999996</v>
      </c>
      <c r="P56" s="39">
        <v>96.847883359999997</v>
      </c>
      <c r="Q56" s="39">
        <v>92.002014419999995</v>
      </c>
      <c r="R56" s="39">
        <v>88.119497019999997</v>
      </c>
      <c r="S56" s="39">
        <v>61.389325190000001</v>
      </c>
      <c r="T56" s="39">
        <v>39.323007789999998</v>
      </c>
      <c r="U56" s="39">
        <v>26.609549040000001</v>
      </c>
      <c r="V56" s="39">
        <v>22.743245210000001</v>
      </c>
      <c r="W56" s="39">
        <v>26.537108929999999</v>
      </c>
      <c r="X56" s="39">
        <v>26.05978356</v>
      </c>
      <c r="Y56" s="39">
        <v>19.624387460000001</v>
      </c>
      <c r="Z56" s="39">
        <v>15.402930789999999</v>
      </c>
      <c r="AA56" s="39">
        <v>11.609232179999999</v>
      </c>
      <c r="AB56" s="39">
        <v>8.2446657430000005</v>
      </c>
      <c r="AC56" s="39">
        <v>5.4466090109999996</v>
      </c>
      <c r="AD56" s="39">
        <v>3.3323647080000001</v>
      </c>
      <c r="AE56" s="39">
        <v>1.9054116409999999</v>
      </c>
      <c r="AF56" s="39">
        <v>1.0137147769999999</v>
      </c>
      <c r="AG56" s="39">
        <v>0.5123893128</v>
      </c>
      <c r="AH56" s="39">
        <v>0.25038205149999998</v>
      </c>
      <c r="AI56" s="39">
        <v>0.12337078899999999</v>
      </c>
      <c r="AJ56" s="39">
        <v>5.9658494499999999E-2</v>
      </c>
      <c r="AK56" s="39">
        <v>2.8403817200000001E-2</v>
      </c>
      <c r="AL56" s="39">
        <v>1.3490020300000001E-2</v>
      </c>
      <c r="AM56" s="39">
        <v>6.3791173800000003E-3</v>
      </c>
      <c r="AN56" s="39">
        <v>3.0224859399999998E-3</v>
      </c>
      <c r="AO56" s="39">
        <v>1.4371402799999999E-3</v>
      </c>
      <c r="AP56" s="39">
        <v>6.8255683399999999E-4</v>
      </c>
      <c r="AQ56" s="39">
        <v>3.2357033900000002E-4</v>
      </c>
      <c r="AR56" s="39">
        <v>1.4327090399999999E-4</v>
      </c>
      <c r="AS56" s="39">
        <v>6.9482055899999998E-5</v>
      </c>
      <c r="AT56" s="39">
        <v>3.3586129799999999E-5</v>
      </c>
      <c r="AU56" s="39">
        <v>1.6230960600000001E-5</v>
      </c>
      <c r="AV56" s="39">
        <v>7.8369569299999999E-6</v>
      </c>
      <c r="AW56" s="39">
        <v>3.7469977400000001E-6</v>
      </c>
    </row>
    <row r="57" spans="2:99" x14ac:dyDescent="0.25">
      <c r="B57" t="s">
        <v>157</v>
      </c>
      <c r="C57">
        <v>34.478970200029899</v>
      </c>
      <c r="D57">
        <v>35.032541219130302</v>
      </c>
      <c r="E57">
        <v>35.580097039999998</v>
      </c>
      <c r="F57" s="39">
        <v>37.289930320000003</v>
      </c>
      <c r="G57" s="39">
        <v>27.639160650000001</v>
      </c>
      <c r="H57">
        <v>29.01694118</v>
      </c>
      <c r="I57">
        <v>28.56665769</v>
      </c>
      <c r="J57">
        <v>23.57483852</v>
      </c>
      <c r="K57" s="39">
        <v>17.87389181</v>
      </c>
      <c r="L57" s="39">
        <v>12.48154656</v>
      </c>
      <c r="M57" s="39">
        <v>11.60992162</v>
      </c>
      <c r="N57" s="39">
        <v>12.597266469999999</v>
      </c>
      <c r="O57" s="39">
        <v>11.946234860000001</v>
      </c>
      <c r="P57" s="39">
        <v>16.71463907</v>
      </c>
      <c r="Q57" s="39">
        <v>12.84783528</v>
      </c>
      <c r="R57" s="39">
        <v>9.4355096879999998</v>
      </c>
      <c r="S57" s="39">
        <v>4.1620597930000001</v>
      </c>
      <c r="T57" s="39">
        <v>1.7118550200000002E-8</v>
      </c>
      <c r="U57" s="39">
        <v>0</v>
      </c>
      <c r="V57" s="39">
        <v>0</v>
      </c>
      <c r="W57" s="39">
        <v>0</v>
      </c>
      <c r="X57" s="39">
        <v>0</v>
      </c>
      <c r="Y57" s="39">
        <v>0</v>
      </c>
      <c r="Z57" s="39">
        <v>0</v>
      </c>
      <c r="AA57" s="39">
        <v>0</v>
      </c>
      <c r="AB57" s="39">
        <v>0</v>
      </c>
      <c r="AC57" s="39">
        <v>0</v>
      </c>
      <c r="AD57" s="39">
        <v>0</v>
      </c>
      <c r="AE57" s="39">
        <v>0</v>
      </c>
      <c r="AF57" s="39">
        <v>0</v>
      </c>
      <c r="AG57" s="39">
        <v>0</v>
      </c>
      <c r="AH57" s="39">
        <v>0</v>
      </c>
      <c r="AI57" s="39">
        <v>0</v>
      </c>
      <c r="AJ57" s="39">
        <v>0</v>
      </c>
      <c r="AK57" s="39">
        <v>0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>
        <v>0</v>
      </c>
      <c r="AS57">
        <v>0</v>
      </c>
      <c r="AT57">
        <v>0</v>
      </c>
      <c r="AU57">
        <v>0</v>
      </c>
      <c r="AV57" s="39">
        <v>0</v>
      </c>
      <c r="AW57" s="39">
        <v>0</v>
      </c>
      <c r="CT57" s="39"/>
      <c r="CU57" s="39"/>
    </row>
    <row r="58" spans="2:99" x14ac:dyDescent="0.25">
      <c r="B58" t="s">
        <v>158</v>
      </c>
      <c r="C58">
        <v>1.1492990066676601</v>
      </c>
      <c r="D58">
        <v>1.1677513739710099</v>
      </c>
      <c r="E58">
        <v>2.1795339579999999</v>
      </c>
      <c r="F58" s="39">
        <v>3.5471046039999998</v>
      </c>
      <c r="G58" s="39">
        <v>5.7128419910000003</v>
      </c>
      <c r="H58">
        <v>9.1547151979999999</v>
      </c>
      <c r="I58">
        <v>12.618126780000001</v>
      </c>
      <c r="J58">
        <v>17.151750530000001</v>
      </c>
      <c r="K58" s="39">
        <v>20.474114480000001</v>
      </c>
      <c r="L58" s="39">
        <v>26.081218939999999</v>
      </c>
      <c r="M58" s="39">
        <v>34.53878374</v>
      </c>
      <c r="N58" s="39">
        <v>42.075598640000003</v>
      </c>
      <c r="O58" s="39">
        <v>57.323884120000002</v>
      </c>
      <c r="P58" s="39">
        <v>77.374637230000005</v>
      </c>
      <c r="Q58" s="39">
        <v>101.8791676</v>
      </c>
      <c r="R58" s="39">
        <v>131.4487896</v>
      </c>
      <c r="S58" s="39">
        <v>142.42638070000001</v>
      </c>
      <c r="T58" s="39">
        <v>157.8603028</v>
      </c>
      <c r="U58" s="39">
        <v>193.8879915</v>
      </c>
      <c r="V58" s="39">
        <v>244.7390948</v>
      </c>
      <c r="W58" s="39">
        <v>368.96300259999998</v>
      </c>
      <c r="X58" s="39">
        <v>467.09829810000002</v>
      </c>
      <c r="Y58" s="39">
        <v>483.39227369999998</v>
      </c>
      <c r="Z58" s="39">
        <v>575.48789090000002</v>
      </c>
      <c r="AA58" s="39">
        <v>729.43432399999995</v>
      </c>
      <c r="AB58" s="39">
        <v>898.21546179999996</v>
      </c>
      <c r="AC58" s="39">
        <v>1066.6304749999999</v>
      </c>
      <c r="AD58" s="39">
        <v>1209.8203719999999</v>
      </c>
      <c r="AE58" s="39">
        <v>1328.035437</v>
      </c>
      <c r="AF58" s="39">
        <v>1404.9640529999999</v>
      </c>
      <c r="AG58" s="39">
        <v>1449.8668769999999</v>
      </c>
      <c r="AH58" s="39">
        <v>1471.1315890000001</v>
      </c>
      <c r="AI58" s="39">
        <v>1516.017171</v>
      </c>
      <c r="AJ58" s="39">
        <v>1540.7205550000001</v>
      </c>
      <c r="AK58" s="39">
        <v>1546.200225</v>
      </c>
      <c r="AL58" s="39">
        <v>1548.296257</v>
      </c>
      <c r="AM58" s="39">
        <v>1541.0350989999999</v>
      </c>
      <c r="AN58">
        <v>1528.014964</v>
      </c>
      <c r="AO58">
        <v>1517.137702</v>
      </c>
      <c r="AP58">
        <v>1501.110803</v>
      </c>
      <c r="AQ58">
        <v>1483.6310940000001</v>
      </c>
      <c r="AR58">
        <v>1512.5086200000001</v>
      </c>
      <c r="AS58">
        <v>1515.1056639999999</v>
      </c>
      <c r="AT58">
        <v>1509.8617079999999</v>
      </c>
      <c r="AU58">
        <v>1501.2214240000001</v>
      </c>
      <c r="AV58">
        <v>1488.5223759999999</v>
      </c>
      <c r="AW58">
        <v>1458.8236300000001</v>
      </c>
    </row>
    <row r="59" spans="2:99" x14ac:dyDescent="0.25">
      <c r="B59" t="s">
        <v>159</v>
      </c>
      <c r="C59">
        <v>3.4228836395600501E-3</v>
      </c>
      <c r="D59">
        <v>3.4778391435562701E-3</v>
      </c>
      <c r="E59">
        <v>6.4911664299999996E-3</v>
      </c>
      <c r="F59" s="39">
        <v>1.5414811699999999E-2</v>
      </c>
      <c r="G59" s="39">
        <v>3.4950231399999997E-2</v>
      </c>
      <c r="H59">
        <v>7.3614878800000005E-2</v>
      </c>
      <c r="I59">
        <v>0.1062501134</v>
      </c>
      <c r="J59">
        <v>0.16064567630000001</v>
      </c>
      <c r="K59" s="39">
        <v>0.2156405049</v>
      </c>
      <c r="L59" s="39">
        <v>0.31500597600000002</v>
      </c>
      <c r="M59" s="39">
        <v>0.49122006109999999</v>
      </c>
      <c r="N59" s="39">
        <v>0.68378275669999999</v>
      </c>
      <c r="O59" s="39">
        <v>1.029078972</v>
      </c>
      <c r="P59" s="39">
        <v>0.88267826449999998</v>
      </c>
      <c r="Q59" s="39">
        <v>1.3283739640000001</v>
      </c>
      <c r="R59" s="39">
        <v>1.94367135</v>
      </c>
      <c r="S59" s="39">
        <v>2.405998914</v>
      </c>
      <c r="T59" s="39">
        <v>2.9422926519999999</v>
      </c>
      <c r="U59" s="39">
        <v>5.8365130880000002</v>
      </c>
      <c r="V59" s="39">
        <v>9.1962523580000006</v>
      </c>
      <c r="W59" s="39">
        <v>14.537072869999999</v>
      </c>
      <c r="X59" s="39">
        <v>19.34504759</v>
      </c>
      <c r="Y59" s="39">
        <v>21.24292917</v>
      </c>
      <c r="Z59" s="39">
        <v>26.687329850000001</v>
      </c>
      <c r="AA59" s="39">
        <v>35.601893910000001</v>
      </c>
      <c r="AB59" s="39">
        <v>46.08210673</v>
      </c>
      <c r="AC59" s="39">
        <v>57.452573219999998</v>
      </c>
      <c r="AD59" s="39">
        <v>68.312639129999994</v>
      </c>
      <c r="AE59" s="39">
        <v>78.516256179999999</v>
      </c>
      <c r="AF59" s="39">
        <v>86.895311809999995</v>
      </c>
      <c r="AG59" s="39">
        <v>93.720225549999995</v>
      </c>
      <c r="AH59" s="39">
        <v>99.280489709999998</v>
      </c>
      <c r="AI59" s="39">
        <v>106.688936</v>
      </c>
      <c r="AJ59" s="39">
        <v>112.9456307</v>
      </c>
      <c r="AK59" s="39">
        <v>118.021035</v>
      </c>
      <c r="AL59" s="39">
        <v>122.84915239999999</v>
      </c>
      <c r="AM59" s="39">
        <v>127.04822609999999</v>
      </c>
      <c r="AN59">
        <v>129.99084999999999</v>
      </c>
      <c r="AO59">
        <v>133.00547700000001</v>
      </c>
      <c r="AP59">
        <v>135.62895409999999</v>
      </c>
      <c r="AQ59">
        <v>138.09338389999999</v>
      </c>
      <c r="AR59">
        <v>158.0781159</v>
      </c>
      <c r="AS59">
        <v>162.7095387</v>
      </c>
      <c r="AT59">
        <v>166.53710269999999</v>
      </c>
      <c r="AU59">
        <v>169.9928036</v>
      </c>
      <c r="AV59">
        <v>172.97051239999999</v>
      </c>
      <c r="AW59">
        <v>173.897536</v>
      </c>
    </row>
    <row r="60" spans="2:99" x14ac:dyDescent="0.25">
      <c r="B60" t="s">
        <v>160</v>
      </c>
      <c r="C60">
        <v>7.8463024968376607E-3</v>
      </c>
      <c r="D60">
        <v>7.9722774213828399E-3</v>
      </c>
      <c r="E60">
        <v>1.48797507E-2</v>
      </c>
      <c r="F60" s="39">
        <v>2.7550642699999999E-2</v>
      </c>
      <c r="G60" s="39">
        <v>5.1292064200000001E-2</v>
      </c>
      <c r="H60">
        <v>9.4092506000000006E-2</v>
      </c>
      <c r="I60">
        <v>0.13290746470000001</v>
      </c>
      <c r="J60">
        <v>0.19154094250000001</v>
      </c>
      <c r="K60" s="39">
        <v>0.2445960093</v>
      </c>
      <c r="L60" s="39">
        <v>0.33837433439999998</v>
      </c>
      <c r="M60" s="39">
        <v>0.4969791878</v>
      </c>
      <c r="N60" s="39">
        <v>0.66130387420000003</v>
      </c>
      <c r="O60" s="39">
        <v>0.96429497900000005</v>
      </c>
      <c r="P60" s="39">
        <v>0.96944747659999997</v>
      </c>
      <c r="Q60" s="39">
        <v>1.3865165180000001</v>
      </c>
      <c r="R60" s="39">
        <v>1.940106479</v>
      </c>
      <c r="S60" s="39">
        <v>2.2980155980000001</v>
      </c>
      <c r="T60" s="39">
        <v>2.725571988</v>
      </c>
      <c r="U60" s="39">
        <v>4.7480316910000004</v>
      </c>
      <c r="V60" s="39">
        <v>7.0974278489999998</v>
      </c>
      <c r="W60" s="39">
        <v>11.09724215</v>
      </c>
      <c r="X60" s="39">
        <v>14.599398649999999</v>
      </c>
      <c r="Y60" s="39">
        <v>15.81577695</v>
      </c>
      <c r="Z60" s="39">
        <v>19.62656922</v>
      </c>
      <c r="AA60" s="39">
        <v>25.87753004</v>
      </c>
      <c r="AB60" s="39">
        <v>33.112597940000001</v>
      </c>
      <c r="AC60" s="39">
        <v>40.819074360000002</v>
      </c>
      <c r="AD60" s="39">
        <v>48.001073759999997</v>
      </c>
      <c r="AE60" s="39">
        <v>54.571622509999997</v>
      </c>
      <c r="AF60" s="39">
        <v>59.742552879999998</v>
      </c>
      <c r="AG60" s="39">
        <v>63.741192480000002</v>
      </c>
      <c r="AH60" s="39">
        <v>66.800176289999996</v>
      </c>
      <c r="AI60" s="39">
        <v>71.021843540000006</v>
      </c>
      <c r="AJ60" s="39">
        <v>74.391141129999994</v>
      </c>
      <c r="AK60" s="39">
        <v>76.900592149999994</v>
      </c>
      <c r="AL60" s="39">
        <v>79.203160100000005</v>
      </c>
      <c r="AM60" s="39">
        <v>81.034973010000002</v>
      </c>
      <c r="AN60">
        <v>82.167445639999997</v>
      </c>
      <c r="AO60">
        <v>83.333157310000004</v>
      </c>
      <c r="AP60">
        <v>84.209670810000006</v>
      </c>
      <c r="AQ60">
        <v>84.958528369999996</v>
      </c>
      <c r="AR60">
        <v>93.629815890000003</v>
      </c>
      <c r="AS60">
        <v>95.463181109999894</v>
      </c>
      <c r="AT60">
        <v>96.77817709</v>
      </c>
      <c r="AU60">
        <v>97.837105940000001</v>
      </c>
      <c r="AV60">
        <v>98.5850808</v>
      </c>
      <c r="AW60">
        <v>98.140663889999999</v>
      </c>
    </row>
    <row r="61" spans="2:99" x14ac:dyDescent="0.25">
      <c r="B61" t="s">
        <v>161</v>
      </c>
      <c r="C61">
        <v>3.2122446463563603E-2</v>
      </c>
      <c r="D61">
        <v>3.2638182731835802E-2</v>
      </c>
      <c r="E61">
        <v>6.0917100299999999E-2</v>
      </c>
      <c r="F61" s="39">
        <v>0.10054662039999999</v>
      </c>
      <c r="G61" s="39">
        <v>0.16479875350000001</v>
      </c>
      <c r="H61">
        <v>0.26859378690000002</v>
      </c>
      <c r="I61">
        <v>0.37139757200000001</v>
      </c>
      <c r="J61">
        <v>0.50882122220000003</v>
      </c>
      <c r="K61" s="39">
        <v>0.61312890330000003</v>
      </c>
      <c r="L61" s="39">
        <v>0.7904931529</v>
      </c>
      <c r="M61" s="39">
        <v>1.0635672490000001</v>
      </c>
      <c r="N61" s="39">
        <v>1.314115492</v>
      </c>
      <c r="O61" s="39">
        <v>1.810592862</v>
      </c>
      <c r="P61" s="39">
        <v>2.3330897340000001</v>
      </c>
      <c r="Q61" s="39">
        <v>3.1102312780000001</v>
      </c>
      <c r="R61" s="39">
        <v>4.064051246</v>
      </c>
      <c r="S61" s="39">
        <v>4.467493181</v>
      </c>
      <c r="T61" s="39">
        <v>5.0079634899999999</v>
      </c>
      <c r="U61" s="39">
        <v>6.5364625780000001</v>
      </c>
      <c r="V61" s="39">
        <v>8.4860431280000004</v>
      </c>
      <c r="W61" s="39">
        <v>12.86506589</v>
      </c>
      <c r="X61" s="39">
        <v>16.378585269999999</v>
      </c>
      <c r="Y61" s="39">
        <v>17.05589573</v>
      </c>
      <c r="Z61" s="39">
        <v>20.410035260000001</v>
      </c>
      <c r="AA61" s="39">
        <v>25.982460280000002</v>
      </c>
      <c r="AB61" s="39">
        <v>32.110664249999999</v>
      </c>
      <c r="AC61" s="39">
        <v>38.240550800000001</v>
      </c>
      <c r="AD61" s="39">
        <v>43.462124580000001</v>
      </c>
      <c r="AE61" s="39">
        <v>47.764565189999999</v>
      </c>
      <c r="AF61" s="39">
        <v>50.544346750000003</v>
      </c>
      <c r="AG61" s="39">
        <v>52.122440900000001</v>
      </c>
      <c r="AH61" s="39">
        <v>52.794960449999998</v>
      </c>
      <c r="AI61" s="39">
        <v>54.253381109999999</v>
      </c>
      <c r="AJ61" s="39">
        <v>54.92199857</v>
      </c>
      <c r="AK61" s="39">
        <v>54.833668000000003</v>
      </c>
      <c r="AL61" s="39">
        <v>54.563944579999998</v>
      </c>
      <c r="AM61" s="39">
        <v>53.894147240000002</v>
      </c>
      <c r="AN61">
        <v>53.042635140000002</v>
      </c>
      <c r="AO61">
        <v>52.234035839999997</v>
      </c>
      <c r="AP61">
        <v>51.198451300000002</v>
      </c>
      <c r="AQ61">
        <v>50.073071349999999</v>
      </c>
      <c r="AR61">
        <v>48.313854659999997</v>
      </c>
      <c r="AS61">
        <v>47.592623670000002</v>
      </c>
      <c r="AT61">
        <v>46.573196269999997</v>
      </c>
      <c r="AU61" s="39">
        <v>45.404017160000002</v>
      </c>
      <c r="AV61">
        <v>44.071945399999997</v>
      </c>
      <c r="AW61">
        <v>42.209788469999999</v>
      </c>
    </row>
    <row r="62" spans="2:99" x14ac:dyDescent="0.25">
      <c r="B62" t="s">
        <v>162</v>
      </c>
      <c r="C62">
        <v>0.75461419315223899</v>
      </c>
      <c r="D62">
        <v>0.76672976811017601</v>
      </c>
      <c r="E62">
        <v>1.431052537</v>
      </c>
      <c r="F62" s="39">
        <v>2.3289798830000001</v>
      </c>
      <c r="G62" s="39">
        <v>3.7508872009999998</v>
      </c>
      <c r="H62">
        <v>6.0026798350000004</v>
      </c>
      <c r="I62">
        <v>8.2711655779999997</v>
      </c>
      <c r="J62">
        <v>11.23463095</v>
      </c>
      <c r="K62" s="39">
        <v>13.398529160000001</v>
      </c>
      <c r="L62" s="39">
        <v>17.047028860000001</v>
      </c>
      <c r="M62" s="39">
        <v>22.536413710000001</v>
      </c>
      <c r="N62" s="39">
        <v>27.40934601</v>
      </c>
      <c r="O62" s="39">
        <v>37.291059730000001</v>
      </c>
      <c r="P62" s="39">
        <v>50.599960129999999</v>
      </c>
      <c r="Q62" s="39">
        <v>66.538671199999996</v>
      </c>
      <c r="R62" s="39">
        <v>85.730960850000002</v>
      </c>
      <c r="S62" s="39">
        <v>92.732766380000001</v>
      </c>
      <c r="T62" s="39">
        <v>102.63581910000001</v>
      </c>
      <c r="U62" s="39">
        <v>124.8599912</v>
      </c>
      <c r="V62" s="39">
        <v>156.59574330000001</v>
      </c>
      <c r="W62" s="39">
        <v>235.70430200000001</v>
      </c>
      <c r="X62" s="39">
        <v>297.86833799999999</v>
      </c>
      <c r="Y62" s="39">
        <v>307.57074999999998</v>
      </c>
      <c r="Z62" s="39">
        <v>365.37948010000002</v>
      </c>
      <c r="AA62" s="39">
        <v>462.11370849999997</v>
      </c>
      <c r="AB62" s="39">
        <v>567.76440979999995</v>
      </c>
      <c r="AC62" s="39">
        <v>672.66141100000004</v>
      </c>
      <c r="AD62" s="39">
        <v>761.16084609999996</v>
      </c>
      <c r="AE62" s="39">
        <v>833.51038189999997</v>
      </c>
      <c r="AF62" s="39">
        <v>879.58836029999998</v>
      </c>
      <c r="AG62" s="39">
        <v>905.36598019999997</v>
      </c>
      <c r="AH62" s="39">
        <v>916.22666489999995</v>
      </c>
      <c r="AI62" s="39">
        <v>941.64800400000001</v>
      </c>
      <c r="AJ62" s="39">
        <v>954.37514550000003</v>
      </c>
      <c r="AK62" s="39">
        <v>955.06019949999995</v>
      </c>
      <c r="AL62" s="39">
        <v>953.64753780000001</v>
      </c>
      <c r="AM62" s="39">
        <v>946.40526</v>
      </c>
      <c r="AN62">
        <v>936.07992769999998</v>
      </c>
      <c r="AO62">
        <v>927.13217080000004</v>
      </c>
      <c r="AP62">
        <v>915.00388569999996</v>
      </c>
      <c r="AQ62">
        <v>902.00811529999999</v>
      </c>
      <c r="AR62">
        <v>909.58517180000001</v>
      </c>
      <c r="AS62">
        <v>908.64273960000003</v>
      </c>
      <c r="AT62">
        <v>902.98161000000005</v>
      </c>
      <c r="AU62">
        <v>895.29395520000003</v>
      </c>
      <c r="AV62">
        <v>885.20306730000004</v>
      </c>
      <c r="AW62">
        <v>865.05290890000003</v>
      </c>
    </row>
    <row r="63" spans="2:99" x14ac:dyDescent="0.25">
      <c r="B63" t="s">
        <v>163</v>
      </c>
      <c r="C63">
        <v>0.29742225840361802</v>
      </c>
      <c r="D63">
        <v>0.302197468966243</v>
      </c>
      <c r="E63">
        <v>0.56403243039999995</v>
      </c>
      <c r="F63" s="39">
        <v>0.91531841570000005</v>
      </c>
      <c r="G63" s="39">
        <v>1.4686662189999999</v>
      </c>
      <c r="H63">
        <v>2.3407747909999999</v>
      </c>
      <c r="I63">
        <v>3.2227700659999998</v>
      </c>
      <c r="J63">
        <v>4.3685924570000001</v>
      </c>
      <c r="K63" s="39">
        <v>5.1969672180000002</v>
      </c>
      <c r="L63" s="39">
        <v>6.5900563769999998</v>
      </c>
      <c r="M63" s="39">
        <v>8.6715207289999903</v>
      </c>
      <c r="N63" s="39">
        <v>10.499608390000001</v>
      </c>
      <c r="O63" s="39">
        <v>14.23132595</v>
      </c>
      <c r="P63" s="39">
        <v>19.589411429999998</v>
      </c>
      <c r="Q63" s="39">
        <v>25.668889579999998</v>
      </c>
      <c r="R63" s="39">
        <v>32.946646780000002</v>
      </c>
      <c r="S63" s="39">
        <v>35.472550269999999</v>
      </c>
      <c r="T63" s="39">
        <v>39.109051559999997</v>
      </c>
      <c r="U63" s="39">
        <v>46.359011809999998</v>
      </c>
      <c r="V63" s="39">
        <v>57.144432960000003</v>
      </c>
      <c r="W63" s="39">
        <v>85.646916809999894</v>
      </c>
      <c r="X63" s="39">
        <v>107.7256867</v>
      </c>
      <c r="Y63" s="39">
        <v>110.5759714</v>
      </c>
      <c r="Z63" s="39">
        <v>130.61091830000001</v>
      </c>
      <c r="AA63" s="39">
        <v>164.2455448</v>
      </c>
      <c r="AB63" s="39">
        <v>200.61170139999999</v>
      </c>
      <c r="AC63" s="39">
        <v>236.24516209999999</v>
      </c>
      <c r="AD63" s="39">
        <v>265.69272480000001</v>
      </c>
      <c r="AE63" s="39">
        <v>289.13314309999998</v>
      </c>
      <c r="AF63" s="39">
        <v>303.16906749999998</v>
      </c>
      <c r="AG63" s="39">
        <v>310.02065229999999</v>
      </c>
      <c r="AH63" s="39">
        <v>311.6649888</v>
      </c>
      <c r="AI63" s="39">
        <v>318.17305520000002</v>
      </c>
      <c r="AJ63" s="39">
        <v>320.3007326</v>
      </c>
      <c r="AK63" s="39">
        <v>318.32138070000002</v>
      </c>
      <c r="AL63" s="39">
        <v>315.68412660000001</v>
      </c>
      <c r="AM63" s="39">
        <v>311.11397219999998</v>
      </c>
      <c r="AN63">
        <v>305.92716869999998</v>
      </c>
      <c r="AO63">
        <v>301.27667380000003</v>
      </c>
      <c r="AP63">
        <v>295.60483720000002</v>
      </c>
      <c r="AQ63">
        <v>289.70514589999999</v>
      </c>
      <c r="AR63">
        <v>285.30796629999998</v>
      </c>
      <c r="AS63">
        <v>283.3924543</v>
      </c>
      <c r="AT63">
        <v>280.04079209999998</v>
      </c>
      <c r="AU63">
        <v>276.11027730000001</v>
      </c>
      <c r="AV63">
        <v>271.4963328</v>
      </c>
      <c r="AW63">
        <v>263.87416639999998</v>
      </c>
    </row>
    <row r="64" spans="2:99" x14ac:dyDescent="0.25">
      <c r="B64" t="s">
        <v>164</v>
      </c>
      <c r="C64">
        <v>4.0548006191711396E-3</v>
      </c>
      <c r="D64">
        <v>4.1199017546743504E-3</v>
      </c>
      <c r="E64">
        <v>7.6895356100000001E-3</v>
      </c>
      <c r="F64" s="39">
        <v>8.8243449599999906E-3</v>
      </c>
      <c r="G64" s="39">
        <v>6.5870947600000004E-3</v>
      </c>
      <c r="H64">
        <v>9.1429577499999998E-3</v>
      </c>
      <c r="I64" s="39">
        <v>1.2598369999999999E-2</v>
      </c>
      <c r="J64" s="39">
        <v>1.7112914100000001E-2</v>
      </c>
      <c r="K64" s="39">
        <v>2.0410246399999998E-2</v>
      </c>
      <c r="L64" s="39">
        <v>2.59705808E-2</v>
      </c>
      <c r="M64" s="39">
        <v>3.4339178999999997E-2</v>
      </c>
      <c r="N64" s="39">
        <v>4.1772179499999999E-2</v>
      </c>
      <c r="O64" s="39">
        <v>5.6842661099999997E-2</v>
      </c>
      <c r="P64" s="39">
        <v>7.7083949400000004E-2</v>
      </c>
      <c r="Q64" s="39">
        <v>0.1013765214</v>
      </c>
      <c r="R64" s="39">
        <v>0.13063648850000001</v>
      </c>
      <c r="S64" s="39">
        <v>0.1413354486</v>
      </c>
      <c r="T64" s="39">
        <v>0.1564603688</v>
      </c>
      <c r="U64" s="39">
        <v>0.1907106429</v>
      </c>
      <c r="V64" s="39">
        <v>0.23962728259999999</v>
      </c>
      <c r="W64" s="39">
        <v>0.36086957580000001</v>
      </c>
      <c r="X64" s="39">
        <v>0.4563214827</v>
      </c>
      <c r="Y64" s="39">
        <v>0.47156639420000002</v>
      </c>
      <c r="Z64" s="39">
        <v>0.56066037319999995</v>
      </c>
      <c r="AA64" s="39">
        <v>0.70971451289999998</v>
      </c>
      <c r="AB64" s="39">
        <v>0.87279600599999996</v>
      </c>
      <c r="AC64" s="39">
        <v>1.0351014510000001</v>
      </c>
      <c r="AD64" s="39">
        <v>1.1725574919999999</v>
      </c>
      <c r="AE64" s="39">
        <v>1.285502379</v>
      </c>
      <c r="AF64" s="39">
        <v>1.3582580879999999</v>
      </c>
      <c r="AG64" s="39">
        <v>1.39992626</v>
      </c>
      <c r="AH64" s="39">
        <v>1.4187240059999999</v>
      </c>
      <c r="AI64" s="39">
        <v>1.4602660300000001</v>
      </c>
      <c r="AJ64" s="39">
        <v>1.482333476</v>
      </c>
      <c r="AK64" s="39">
        <v>1.485893884</v>
      </c>
      <c r="AL64" s="39">
        <v>1.486273422</v>
      </c>
      <c r="AM64" s="39">
        <v>1.4777067370000001</v>
      </c>
      <c r="AN64">
        <v>1.46393748</v>
      </c>
      <c r="AO64">
        <v>1.452307609</v>
      </c>
      <c r="AP64">
        <v>1.4357812430000001</v>
      </c>
      <c r="AQ64">
        <v>1.417925203</v>
      </c>
      <c r="AR64">
        <v>1.4412072359999999</v>
      </c>
      <c r="AS64">
        <v>1.4427245799999999</v>
      </c>
      <c r="AT64">
        <v>1.4368167709999999</v>
      </c>
      <c r="AU64">
        <v>1.4277248680000001</v>
      </c>
      <c r="AV64">
        <v>1.4148236999999999</v>
      </c>
      <c r="AW64" s="39">
        <v>1.3858239130000001</v>
      </c>
      <c r="BV64" s="39"/>
    </row>
    <row r="65" spans="2:49" x14ac:dyDescent="0.25">
      <c r="B65" t="s">
        <v>165</v>
      </c>
      <c r="C65">
        <v>4.9816121892674002E-2</v>
      </c>
      <c r="D65">
        <v>5.0615935843142099E-2</v>
      </c>
      <c r="E65">
        <v>9.4471437500000005E-2</v>
      </c>
      <c r="F65" s="39">
        <v>0.150469886</v>
      </c>
      <c r="G65" s="39">
        <v>0.23566042670000001</v>
      </c>
      <c r="H65">
        <v>0.3658164431</v>
      </c>
      <c r="I65">
        <v>0.50103761960000004</v>
      </c>
      <c r="J65">
        <v>0.6704063737</v>
      </c>
      <c r="K65" s="39">
        <v>0.78484243269999998</v>
      </c>
      <c r="L65" s="39">
        <v>0.97428965810000001</v>
      </c>
      <c r="M65" s="39">
        <v>1.2447436300000001</v>
      </c>
      <c r="N65" s="39">
        <v>1.465669935</v>
      </c>
      <c r="O65" s="39">
        <v>1.940688969</v>
      </c>
      <c r="P65" s="39">
        <v>2.9229662410000001</v>
      </c>
      <c r="Q65" s="39">
        <v>3.7451084899999998</v>
      </c>
      <c r="R65" s="39">
        <v>4.6927164049999996</v>
      </c>
      <c r="S65" s="39">
        <v>4.9082208730000003</v>
      </c>
      <c r="T65" s="39">
        <v>5.2831436119999999</v>
      </c>
      <c r="U65" s="39">
        <v>5.3572704340000001</v>
      </c>
      <c r="V65" s="39">
        <v>5.9795678499999996</v>
      </c>
      <c r="W65" s="39">
        <v>8.7515333050000006</v>
      </c>
      <c r="X65" s="39">
        <v>10.724920429999999</v>
      </c>
      <c r="Y65" s="39">
        <v>10.65938401</v>
      </c>
      <c r="Z65" s="39">
        <v>12.212897870000001</v>
      </c>
      <c r="AA65" s="39">
        <v>14.903472020000001</v>
      </c>
      <c r="AB65" s="39">
        <v>17.66118565</v>
      </c>
      <c r="AC65" s="39">
        <v>20.17660167</v>
      </c>
      <c r="AD65" s="39">
        <v>22.018406209999998</v>
      </c>
      <c r="AE65" s="39">
        <v>23.25396624</v>
      </c>
      <c r="AF65" s="39">
        <v>23.666156130000001</v>
      </c>
      <c r="AG65" s="39">
        <v>23.496459779999999</v>
      </c>
      <c r="AH65" s="39">
        <v>22.945584620000002</v>
      </c>
      <c r="AI65" s="39">
        <v>22.771685170000001</v>
      </c>
      <c r="AJ65" s="39">
        <v>22.30357287</v>
      </c>
      <c r="AK65" s="39">
        <v>21.577455950000001</v>
      </c>
      <c r="AL65" s="39">
        <v>20.8620625</v>
      </c>
      <c r="AM65" s="39">
        <v>20.060813629999998</v>
      </c>
      <c r="AN65">
        <v>19.342998940000001</v>
      </c>
      <c r="AO65">
        <v>18.703879579999999</v>
      </c>
      <c r="AP65">
        <v>18.029222770000001</v>
      </c>
      <c r="AQ65">
        <v>17.3749243</v>
      </c>
      <c r="AR65">
        <v>16.152488720000001</v>
      </c>
      <c r="AS65">
        <v>15.86240227</v>
      </c>
      <c r="AT65">
        <v>15.51401323</v>
      </c>
      <c r="AU65">
        <v>15.15553953</v>
      </c>
      <c r="AV65">
        <v>14.78061389</v>
      </c>
      <c r="AW65">
        <v>14.262742299999999</v>
      </c>
    </row>
    <row r="66" spans="2:49" x14ac:dyDescent="0.25">
      <c r="B66" t="s">
        <v>166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2:49" x14ac:dyDescent="0.25">
      <c r="B67" t="s">
        <v>167</v>
      </c>
      <c r="C67">
        <v>5.2121797950038999</v>
      </c>
      <c r="D67">
        <v>5.29586302754001</v>
      </c>
      <c r="E67">
        <v>5.3808898210000002</v>
      </c>
      <c r="F67">
        <v>5.4333735259999996</v>
      </c>
      <c r="G67">
        <v>4.4765585049999999</v>
      </c>
      <c r="H67">
        <v>3.8835830950000001</v>
      </c>
      <c r="I67">
        <v>3.7590803529999999</v>
      </c>
      <c r="J67">
        <v>3.5837179539999999</v>
      </c>
      <c r="K67">
        <v>3.455909809</v>
      </c>
      <c r="L67">
        <v>3.7090351789999998</v>
      </c>
      <c r="M67">
        <v>3.8184024750000001</v>
      </c>
      <c r="N67">
        <v>3.896642425</v>
      </c>
      <c r="O67">
        <v>3.004026809</v>
      </c>
      <c r="P67">
        <v>2.4920615640000001</v>
      </c>
      <c r="Q67">
        <v>2.1638498080000002</v>
      </c>
      <c r="R67">
        <v>1.958080042</v>
      </c>
      <c r="S67">
        <v>1.7896973410000001</v>
      </c>
      <c r="T67">
        <v>1.760025102</v>
      </c>
      <c r="U67">
        <v>1.7434572429999999</v>
      </c>
      <c r="V67">
        <v>1.7351000489999999</v>
      </c>
      <c r="W67">
        <v>1.5812828569999999</v>
      </c>
      <c r="X67">
        <v>1.385038325</v>
      </c>
      <c r="Y67">
        <v>1.2620478319999999</v>
      </c>
      <c r="Z67">
        <v>1.171157056</v>
      </c>
      <c r="AA67">
        <v>1.0970583220000001</v>
      </c>
      <c r="AB67">
        <v>1.0342390690000001</v>
      </c>
      <c r="AC67">
        <v>0.98211881540000001</v>
      </c>
      <c r="AD67">
        <v>0.98166756529999999</v>
      </c>
      <c r="AE67">
        <v>0.99266198059999999</v>
      </c>
      <c r="AF67">
        <v>1.0057697940000001</v>
      </c>
      <c r="AG67">
        <v>1.0208325840000001</v>
      </c>
      <c r="AH67">
        <v>1.035076973</v>
      </c>
      <c r="AI67">
        <v>1.050076883</v>
      </c>
      <c r="AJ67">
        <v>1.0666373730000001</v>
      </c>
      <c r="AK67">
        <v>1.0837351180000001</v>
      </c>
      <c r="AL67">
        <v>1.101773677</v>
      </c>
      <c r="AM67">
        <v>1.120520438</v>
      </c>
      <c r="AN67">
        <v>1.133318673</v>
      </c>
      <c r="AO67">
        <v>1.144825193</v>
      </c>
      <c r="AP67">
        <v>1.1544922609999999</v>
      </c>
      <c r="AQ67">
        <v>1.1635086400000001</v>
      </c>
      <c r="AR67">
        <v>1.1704339159999999</v>
      </c>
      <c r="AS67">
        <v>1.1806904469999999</v>
      </c>
      <c r="AT67">
        <v>1.191538124</v>
      </c>
      <c r="AU67">
        <v>1.2023788070000001</v>
      </c>
      <c r="AV67">
        <v>1.2128231840000001</v>
      </c>
      <c r="AW67">
        <v>1.2231599310000001</v>
      </c>
    </row>
    <row r="68" spans="2:49" x14ac:dyDescent="0.25">
      <c r="B68" t="s">
        <v>168</v>
      </c>
      <c r="C68">
        <v>0.35839918454870201</v>
      </c>
      <c r="D68">
        <v>0.36415339938413299</v>
      </c>
      <c r="E68">
        <v>0.37</v>
      </c>
      <c r="F68">
        <v>0.36104416519999999</v>
      </c>
      <c r="G68">
        <v>0.35167955210000001</v>
      </c>
      <c r="H68">
        <v>0.34252428820000003</v>
      </c>
      <c r="I68">
        <v>0.3351020139</v>
      </c>
      <c r="J68">
        <v>0.32776384949999998</v>
      </c>
      <c r="K68">
        <v>0.31954872499999998</v>
      </c>
      <c r="L68">
        <v>0.31039964549999999</v>
      </c>
      <c r="M68">
        <v>0.30143637070000001</v>
      </c>
      <c r="N68">
        <v>0.29368456009999999</v>
      </c>
      <c r="O68">
        <v>0.28822183829999998</v>
      </c>
      <c r="P68">
        <v>0.2837556242</v>
      </c>
      <c r="Q68">
        <v>0.27871352729999999</v>
      </c>
      <c r="R68">
        <v>0.27116307210000001</v>
      </c>
      <c r="S68">
        <v>0.26291969450000002</v>
      </c>
      <c r="T68">
        <v>0.25390219250000001</v>
      </c>
      <c r="U68">
        <v>0.24509812180000001</v>
      </c>
      <c r="V68">
        <v>0.2362159096</v>
      </c>
      <c r="W68">
        <v>0.22671756270000001</v>
      </c>
      <c r="X68">
        <v>0.21677865700000001</v>
      </c>
      <c r="Y68">
        <v>0.20677076559999999</v>
      </c>
      <c r="Z68">
        <v>0.19718163189999999</v>
      </c>
      <c r="AA68">
        <v>0.188236599</v>
      </c>
      <c r="AB68">
        <v>0.17997094769999999</v>
      </c>
      <c r="AC68">
        <v>0.17205763239999999</v>
      </c>
      <c r="AD68">
        <v>0.1643058302</v>
      </c>
      <c r="AE68">
        <v>0.15694666769999999</v>
      </c>
      <c r="AF68">
        <v>0.15007093269999999</v>
      </c>
      <c r="AG68">
        <v>0.14364450989999999</v>
      </c>
      <c r="AH68">
        <v>0.13766746669999999</v>
      </c>
      <c r="AI68">
        <v>0.1321347377</v>
      </c>
      <c r="AJ68">
        <v>0.12700217320000001</v>
      </c>
      <c r="AK68" s="39">
        <v>0.12224672559999999</v>
      </c>
      <c r="AL68" s="39">
        <v>0.1178273204</v>
      </c>
      <c r="AM68" s="39">
        <v>0.1135922981</v>
      </c>
      <c r="AN68" s="39">
        <v>0.1095688197</v>
      </c>
      <c r="AO68" s="39">
        <v>0.1057549594</v>
      </c>
      <c r="AP68" s="39">
        <v>0.1021237081</v>
      </c>
      <c r="AQ68" s="39">
        <v>9.8662385899999996E-2</v>
      </c>
      <c r="AR68" s="39">
        <v>9.5363710599999998E-2</v>
      </c>
      <c r="AS68" s="39">
        <v>9.2209263E-2</v>
      </c>
      <c r="AT68" s="39">
        <v>8.9151608800000004E-2</v>
      </c>
      <c r="AU68" s="39">
        <v>8.6180963799999996E-2</v>
      </c>
      <c r="AV68">
        <v>8.3294597299999995E-2</v>
      </c>
      <c r="AW68">
        <v>8.0518409400000004E-2</v>
      </c>
    </row>
    <row r="69" spans="2:49" x14ac:dyDescent="0.25">
      <c r="B69" t="s">
        <v>169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2:49" x14ac:dyDescent="0.25">
      <c r="B70" t="s">
        <v>170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2:49" x14ac:dyDescent="0.25">
      <c r="B71" t="s">
        <v>171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2:49" x14ac:dyDescent="0.25">
      <c r="B72" t="s">
        <v>172</v>
      </c>
      <c r="C72">
        <v>2.1503951072922098</v>
      </c>
      <c r="D72">
        <v>2.1849203963048001</v>
      </c>
      <c r="E72">
        <v>2.2200000000000002</v>
      </c>
      <c r="F72">
        <v>2.2910498669999999</v>
      </c>
      <c r="G72">
        <v>2.1881597089999998</v>
      </c>
      <c r="H72">
        <v>2.3131563270000002</v>
      </c>
      <c r="I72">
        <v>2.3834038319999999</v>
      </c>
      <c r="J72">
        <v>2.2556878469999999</v>
      </c>
      <c r="K72">
        <v>2.1717798419999998</v>
      </c>
      <c r="L72">
        <v>2.1170983649999999</v>
      </c>
      <c r="M72">
        <v>2.2705745909999999</v>
      </c>
      <c r="N72">
        <v>2.4325525049999999</v>
      </c>
      <c r="O72">
        <v>2.5218308650000001</v>
      </c>
      <c r="P72">
        <v>2.5355813669999998</v>
      </c>
      <c r="Q72">
        <v>2.358517242</v>
      </c>
      <c r="R72">
        <v>2.3616340870000001</v>
      </c>
      <c r="S72">
        <v>2.3810507140000001</v>
      </c>
      <c r="T72">
        <v>2.3993895460000001</v>
      </c>
      <c r="U72">
        <v>2.4153703850000001</v>
      </c>
      <c r="V72">
        <v>2.4526987419999999</v>
      </c>
      <c r="W72">
        <v>2.4657229780000001</v>
      </c>
      <c r="X72">
        <v>2.462417345</v>
      </c>
      <c r="Y72">
        <v>2.505454302</v>
      </c>
      <c r="Z72">
        <v>2.5520977920000001</v>
      </c>
      <c r="AA72">
        <v>2.5976781839999998</v>
      </c>
      <c r="AB72">
        <v>2.639639984</v>
      </c>
      <c r="AC72">
        <v>2.675982705</v>
      </c>
      <c r="AD72">
        <v>2.7125023800000001</v>
      </c>
      <c r="AE72">
        <v>2.7526173919999999</v>
      </c>
      <c r="AF72">
        <v>2.7937810289999998</v>
      </c>
      <c r="AG72">
        <v>2.8366512350000002</v>
      </c>
      <c r="AH72">
        <v>2.8812754229999999</v>
      </c>
      <c r="AI72">
        <v>2.929673958</v>
      </c>
      <c r="AJ72">
        <v>2.9838030959999999</v>
      </c>
      <c r="AK72">
        <v>3.0371640800000002</v>
      </c>
      <c r="AL72">
        <v>3.0950895379999999</v>
      </c>
      <c r="AM72">
        <v>3.1522408139999998</v>
      </c>
      <c r="AN72">
        <v>3.2053451709999998</v>
      </c>
      <c r="AO72">
        <v>3.2624141080000002</v>
      </c>
      <c r="AP72">
        <v>3.3163671020000001</v>
      </c>
      <c r="AQ72">
        <v>3.3708833299999998</v>
      </c>
      <c r="AR72">
        <v>3.425085793</v>
      </c>
      <c r="AS72">
        <v>3.4744296600000002</v>
      </c>
      <c r="AT72">
        <v>3.5229716230000001</v>
      </c>
      <c r="AU72">
        <v>3.5735005910000002</v>
      </c>
      <c r="AV72">
        <v>3.6250390549999998</v>
      </c>
      <c r="AW72">
        <v>3.6774973630000001</v>
      </c>
    </row>
    <row r="73" spans="2:49" x14ac:dyDescent="0.25">
      <c r="B73" t="s">
        <v>173</v>
      </c>
      <c r="C73">
        <v>17.283948650263198</v>
      </c>
      <c r="D73">
        <v>17.561448036494799</v>
      </c>
      <c r="E73">
        <v>17.843402770000001</v>
      </c>
      <c r="F73">
        <v>18.09939073</v>
      </c>
      <c r="G73">
        <v>16.94071907</v>
      </c>
      <c r="H73">
        <v>16.01818098</v>
      </c>
      <c r="I73">
        <v>14.925751379999999</v>
      </c>
      <c r="J73">
        <v>14.842106100000001</v>
      </c>
      <c r="K73">
        <v>13.696087110000001</v>
      </c>
      <c r="L73">
        <v>13.42595912</v>
      </c>
      <c r="M73">
        <v>13.72414317</v>
      </c>
      <c r="N73">
        <v>14.380357419999999</v>
      </c>
      <c r="O73">
        <v>13.525700970000001</v>
      </c>
      <c r="P73">
        <v>12.288308750000001</v>
      </c>
      <c r="Q73">
        <v>10.948094530000001</v>
      </c>
      <c r="R73">
        <v>10.09991583</v>
      </c>
      <c r="S73">
        <v>9.3519631719999996</v>
      </c>
      <c r="T73">
        <v>9.1116783550000005</v>
      </c>
      <c r="U73">
        <v>8.9250259599999904</v>
      </c>
      <c r="V73">
        <v>8.7875281679999997</v>
      </c>
      <c r="W73">
        <v>7.8564763400000004</v>
      </c>
      <c r="X73">
        <v>6.7327033910000003</v>
      </c>
      <c r="Y73">
        <v>6.0916150800000004</v>
      </c>
      <c r="Z73">
        <v>5.6138547269999997</v>
      </c>
      <c r="AA73">
        <v>5.2426321229999999</v>
      </c>
      <c r="AB73">
        <v>4.947102406</v>
      </c>
      <c r="AC73">
        <v>4.7231107789999998</v>
      </c>
      <c r="AD73">
        <v>4.7299797669999997</v>
      </c>
      <c r="AE73">
        <v>4.8039187800000001</v>
      </c>
      <c r="AF73">
        <v>4.8922127130000002</v>
      </c>
      <c r="AG73">
        <v>4.9920656729999999</v>
      </c>
      <c r="AH73">
        <v>5.0914203359999997</v>
      </c>
      <c r="AI73">
        <v>5.1982720159999998</v>
      </c>
      <c r="AJ73">
        <v>5.31674604</v>
      </c>
      <c r="AK73">
        <v>5.4418534129999996</v>
      </c>
      <c r="AL73">
        <v>5.5772323699999999</v>
      </c>
      <c r="AM73">
        <v>5.7232903559999997</v>
      </c>
      <c r="AN73">
        <v>5.8481809309999999</v>
      </c>
      <c r="AO73">
        <v>5.974470803</v>
      </c>
      <c r="AP73">
        <v>6.1016882109999999</v>
      </c>
      <c r="AQ73">
        <v>6.2394662160000003</v>
      </c>
      <c r="AR73">
        <v>6.3823451440000003</v>
      </c>
      <c r="AS73">
        <v>6.5080535260000003</v>
      </c>
      <c r="AT73">
        <v>6.6364130279999998</v>
      </c>
      <c r="AU73">
        <v>6.7694028639999999</v>
      </c>
      <c r="AV73">
        <v>6.9065737030000003</v>
      </c>
      <c r="AW73">
        <v>7.0515600210000002</v>
      </c>
    </row>
    <row r="74" spans="2:49" x14ac:dyDescent="0.25">
      <c r="B74" t="s">
        <v>174</v>
      </c>
      <c r="C74">
        <v>9.6518912203120095</v>
      </c>
      <c r="D74">
        <v>9.8068554558467902</v>
      </c>
      <c r="E74">
        <v>9.9643076920000002</v>
      </c>
      <c r="F74">
        <v>9.517511034</v>
      </c>
      <c r="G74">
        <v>8.8361318460000007</v>
      </c>
      <c r="H74">
        <v>9.0463648120000002</v>
      </c>
      <c r="I74">
        <v>8.4198485030000008</v>
      </c>
      <c r="J74">
        <v>7.8379351130000003</v>
      </c>
      <c r="K74">
        <v>7.4119266750000001</v>
      </c>
      <c r="L74">
        <v>7.2287033799999998</v>
      </c>
      <c r="M74">
        <v>7.0924019749999996</v>
      </c>
      <c r="N74">
        <v>7.174767203</v>
      </c>
      <c r="O74">
        <v>7.1602441690000003</v>
      </c>
      <c r="P74">
        <v>6.8967414180000004</v>
      </c>
      <c r="Q74">
        <v>6.5669774519999997</v>
      </c>
      <c r="R74">
        <v>6.5159331680000001</v>
      </c>
      <c r="S74">
        <v>6.2714561150000003</v>
      </c>
      <c r="T74">
        <v>6.0993810249999996</v>
      </c>
      <c r="U74">
        <v>5.9260819339999999</v>
      </c>
      <c r="V74">
        <v>5.7150374089999998</v>
      </c>
      <c r="W74">
        <v>5.5527130580000001</v>
      </c>
      <c r="X74">
        <v>5.3433172630000003</v>
      </c>
      <c r="Y74">
        <v>5.2229514999999997</v>
      </c>
      <c r="Z74">
        <v>5.0533882019999998</v>
      </c>
      <c r="AA74">
        <v>4.8905699130000002</v>
      </c>
      <c r="AB74">
        <v>4.7092780999999997</v>
      </c>
      <c r="AC74">
        <v>4.5360462330000004</v>
      </c>
      <c r="AD74">
        <v>4.3745977590000003</v>
      </c>
      <c r="AE74">
        <v>4.2241633270000003</v>
      </c>
      <c r="AF74">
        <v>4.0823505879999997</v>
      </c>
      <c r="AG74">
        <v>3.957090064</v>
      </c>
      <c r="AH74">
        <v>3.8304258419999999</v>
      </c>
      <c r="AI74">
        <v>3.7145179590000001</v>
      </c>
      <c r="AJ74">
        <v>3.6139225179999999</v>
      </c>
      <c r="AK74">
        <v>3.5201594940000001</v>
      </c>
      <c r="AL74">
        <v>3.4390852070000002</v>
      </c>
      <c r="AM74">
        <v>3.3632212090000002</v>
      </c>
      <c r="AN74">
        <v>3.2597061169999999</v>
      </c>
      <c r="AO74">
        <v>3.162869846</v>
      </c>
      <c r="AP74">
        <v>3.0702891559999999</v>
      </c>
      <c r="AQ74">
        <v>2.9816576320000001</v>
      </c>
      <c r="AR74">
        <v>2.8971258870000001</v>
      </c>
      <c r="AS74">
        <v>2.8161698080000002</v>
      </c>
      <c r="AT74">
        <v>2.7340692459999998</v>
      </c>
      <c r="AU74">
        <v>2.6556521860000002</v>
      </c>
      <c r="AV74">
        <v>2.577661655</v>
      </c>
      <c r="AW74">
        <v>2.50234836</v>
      </c>
    </row>
    <row r="75" spans="2:49" x14ac:dyDescent="0.25">
      <c r="B75" t="s">
        <v>175</v>
      </c>
      <c r="C75">
        <v>4.6065844460580001</v>
      </c>
      <c r="D75">
        <v>4.68054464938142</v>
      </c>
      <c r="E75">
        <v>4.7556923080000004</v>
      </c>
      <c r="F75">
        <v>4.8593875850000003</v>
      </c>
      <c r="G75">
        <v>4.6774654099999999</v>
      </c>
      <c r="H75">
        <v>4.6213727310000001</v>
      </c>
      <c r="I75">
        <v>4.5570436560000003</v>
      </c>
      <c r="J75">
        <v>4.3654949719999996</v>
      </c>
      <c r="K75">
        <v>4.1563463809999996</v>
      </c>
      <c r="L75">
        <v>4.0894768810000004</v>
      </c>
      <c r="M75">
        <v>4.1227220950000003</v>
      </c>
      <c r="N75">
        <v>4.2755145710000004</v>
      </c>
      <c r="O75">
        <v>4.0470276299999997</v>
      </c>
      <c r="P75">
        <v>3.7767108540000001</v>
      </c>
      <c r="Q75">
        <v>3.5229146469999999</v>
      </c>
      <c r="R75">
        <v>3.3331093269999998</v>
      </c>
      <c r="S75">
        <v>3.1173306090000001</v>
      </c>
      <c r="T75">
        <v>3.1102965010000001</v>
      </c>
      <c r="U75">
        <v>3.1162613220000002</v>
      </c>
      <c r="V75">
        <v>3.1132433229999998</v>
      </c>
      <c r="W75">
        <v>2.658643997</v>
      </c>
      <c r="X75">
        <v>2.3126016639999998</v>
      </c>
      <c r="Y75">
        <v>2.0775882750000001</v>
      </c>
      <c r="Z75">
        <v>1.8891647279999999</v>
      </c>
      <c r="AA75">
        <v>1.7342933389999999</v>
      </c>
      <c r="AB75">
        <v>1.615392505</v>
      </c>
      <c r="AC75">
        <v>1.5140238349999999</v>
      </c>
      <c r="AD75">
        <v>1.5055201300000001</v>
      </c>
      <c r="AE75">
        <v>1.5052428090000001</v>
      </c>
      <c r="AF75">
        <v>1.505522722</v>
      </c>
      <c r="AG75">
        <v>1.507065254</v>
      </c>
      <c r="AH75">
        <v>1.5064790859999999</v>
      </c>
      <c r="AI75">
        <v>1.5031460350000001</v>
      </c>
      <c r="AJ75">
        <v>1.4998387719999999</v>
      </c>
      <c r="AK75">
        <v>1.4964137829999999</v>
      </c>
      <c r="AL75">
        <v>1.4969339719999999</v>
      </c>
      <c r="AM75">
        <v>1.4972917400000001</v>
      </c>
      <c r="AN75">
        <v>1.4917210649999999</v>
      </c>
      <c r="AO75">
        <v>1.486125227</v>
      </c>
      <c r="AP75">
        <v>1.4804487310000001</v>
      </c>
      <c r="AQ75">
        <v>1.4741791360000001</v>
      </c>
      <c r="AR75">
        <v>1.4672409710000001</v>
      </c>
      <c r="AS75">
        <v>1.4647872799999999</v>
      </c>
      <c r="AT75">
        <v>1.4615013299999999</v>
      </c>
      <c r="AU75">
        <v>1.4585597610000001</v>
      </c>
      <c r="AV75">
        <v>1.4547016290000001</v>
      </c>
      <c r="AW75">
        <v>1.450348081</v>
      </c>
    </row>
    <row r="76" spans="2:49" x14ac:dyDescent="0.25">
      <c r="B76" t="s">
        <v>176</v>
      </c>
      <c r="C76">
        <v>23.690015269078899</v>
      </c>
      <c r="D76">
        <v>24.070366126976499</v>
      </c>
      <c r="E76">
        <v>24.45682364</v>
      </c>
      <c r="F76">
        <v>24.569569619999999</v>
      </c>
      <c r="G76">
        <v>24.624710100000001</v>
      </c>
      <c r="H76">
        <v>24.808703179999998</v>
      </c>
      <c r="I76">
        <v>24.945291640000001</v>
      </c>
      <c r="J76">
        <v>25.023434380000001</v>
      </c>
      <c r="K76">
        <v>24.885860709999999</v>
      </c>
      <c r="L76">
        <v>24.677117899999999</v>
      </c>
      <c r="M76">
        <v>24.47528484</v>
      </c>
      <c r="N76">
        <v>24.202573730000001</v>
      </c>
      <c r="O76">
        <v>23.993328120000001</v>
      </c>
      <c r="P76">
        <v>23.971571839999999</v>
      </c>
      <c r="Q76">
        <v>23.95145935</v>
      </c>
      <c r="R76">
        <v>23.927119609999998</v>
      </c>
      <c r="S76">
        <v>23.698841340000001</v>
      </c>
      <c r="T76">
        <v>23.356612169999998</v>
      </c>
      <c r="U76">
        <v>22.858451039999998</v>
      </c>
      <c r="V76">
        <v>22.31241296</v>
      </c>
      <c r="W76">
        <v>21.971176589999999</v>
      </c>
      <c r="X76">
        <v>21.681088840000001</v>
      </c>
      <c r="Y76">
        <v>21.194234080000001</v>
      </c>
      <c r="Z76">
        <v>20.589273420000001</v>
      </c>
      <c r="AA76">
        <v>19.879836910000002</v>
      </c>
      <c r="AB76">
        <v>19.07880243</v>
      </c>
      <c r="AC76">
        <v>18.205099799999999</v>
      </c>
      <c r="AD76">
        <v>17.283284250000001</v>
      </c>
      <c r="AE76">
        <v>16.343052419999999</v>
      </c>
      <c r="AF76">
        <v>15.409430199999999</v>
      </c>
      <c r="AG76">
        <v>14.5011761</v>
      </c>
      <c r="AH76">
        <v>13.62948836</v>
      </c>
      <c r="AI76">
        <v>12.79997112</v>
      </c>
      <c r="AJ76">
        <v>12.01409866</v>
      </c>
      <c r="AK76">
        <v>11.271549439999999</v>
      </c>
      <c r="AL76">
        <v>10.57106089</v>
      </c>
      <c r="AM76">
        <v>9.9108946600000003</v>
      </c>
      <c r="AN76">
        <v>9.2917226750000008</v>
      </c>
      <c r="AO76">
        <v>8.7111178529999904</v>
      </c>
      <c r="AP76">
        <v>8.1667358869999997</v>
      </c>
      <c r="AQ76">
        <v>7.6563457990000003</v>
      </c>
      <c r="AR76">
        <v>7.1459382189999996</v>
      </c>
      <c r="AS76">
        <v>6.6695500409999999</v>
      </c>
      <c r="AT76">
        <v>6.2249171859999999</v>
      </c>
      <c r="AU76">
        <v>5.8099245909999997</v>
      </c>
      <c r="AV76">
        <v>5.4225972139999996</v>
      </c>
      <c r="AW76">
        <v>5.0610911850000004</v>
      </c>
    </row>
    <row r="77" spans="2:49" x14ac:dyDescent="0.25">
      <c r="B77" t="s">
        <v>177</v>
      </c>
      <c r="C77">
        <v>20.7498358478441</v>
      </c>
      <c r="D77">
        <v>21.0829811741058</v>
      </c>
      <c r="E77">
        <v>21.430976439999998</v>
      </c>
      <c r="F77">
        <v>21.89397031</v>
      </c>
      <c r="G77">
        <v>21.069856980000001</v>
      </c>
      <c r="H77">
        <v>19.550411700000002</v>
      </c>
      <c r="I77">
        <v>19.937074639999999</v>
      </c>
      <c r="J77">
        <v>19.38902959</v>
      </c>
      <c r="K77">
        <v>19.569900619999999</v>
      </c>
      <c r="L77">
        <v>19.089461780000001</v>
      </c>
      <c r="M77">
        <v>19.026458349999999</v>
      </c>
      <c r="N77">
        <v>19.032668300000001</v>
      </c>
      <c r="O77">
        <v>18.853573709999999</v>
      </c>
      <c r="P77">
        <v>19.055951260000001</v>
      </c>
      <c r="Q77">
        <v>18.84438243</v>
      </c>
      <c r="R77">
        <v>18.72165</v>
      </c>
      <c r="S77">
        <v>18.553121019999999</v>
      </c>
      <c r="T77">
        <v>18.623181809999998</v>
      </c>
      <c r="U77">
        <v>18.724000279999998</v>
      </c>
      <c r="V77">
        <v>18.976036659999998</v>
      </c>
      <c r="W77">
        <v>19.084166110000002</v>
      </c>
      <c r="X77">
        <v>19.079998849999999</v>
      </c>
      <c r="Y77">
        <v>18.876543609999999</v>
      </c>
      <c r="Z77">
        <v>18.718982029999999</v>
      </c>
      <c r="AA77">
        <v>18.56471427</v>
      </c>
      <c r="AB77">
        <v>18.31683116</v>
      </c>
      <c r="AC77">
        <v>18.053548190000001</v>
      </c>
      <c r="AD77">
        <v>17.521708570000001</v>
      </c>
      <c r="AE77">
        <v>16.985617569999999</v>
      </c>
      <c r="AF77">
        <v>16.447868369999998</v>
      </c>
      <c r="AG77">
        <v>15.914651559999999</v>
      </c>
      <c r="AH77">
        <v>15.386320550000001</v>
      </c>
      <c r="AI77">
        <v>14.76601202</v>
      </c>
      <c r="AJ77">
        <v>14.143499390000001</v>
      </c>
      <c r="AK77">
        <v>13.489832079999999</v>
      </c>
      <c r="AL77">
        <v>12.87220995</v>
      </c>
      <c r="AM77">
        <v>12.218591350000001</v>
      </c>
      <c r="AN77">
        <v>11.809912819999999</v>
      </c>
      <c r="AO77">
        <v>11.4167475</v>
      </c>
      <c r="AP77">
        <v>10.98453894</v>
      </c>
      <c r="AQ77">
        <v>10.549492280000001</v>
      </c>
      <c r="AR77">
        <v>10.11203332</v>
      </c>
      <c r="AS77">
        <v>9.9569436949999997</v>
      </c>
      <c r="AT77">
        <v>9.80390491</v>
      </c>
      <c r="AU77">
        <v>9.6491152339999999</v>
      </c>
      <c r="AV77">
        <v>9.4920694099999903</v>
      </c>
      <c r="AW77">
        <v>9.3330604630000007</v>
      </c>
    </row>
    <row r="78" spans="2:49" x14ac:dyDescent="0.25">
      <c r="B78" t="s">
        <v>178</v>
      </c>
      <c r="C78">
        <v>0.28090746897060398</v>
      </c>
      <c r="D78">
        <v>0.28541752924702302</v>
      </c>
      <c r="E78">
        <v>0.28999999999999998</v>
      </c>
      <c r="F78">
        <v>0.30086265629999998</v>
      </c>
      <c r="G78">
        <v>0.303040431</v>
      </c>
      <c r="H78">
        <v>0.2949822184</v>
      </c>
      <c r="I78">
        <v>0.31062466589999999</v>
      </c>
      <c r="J78">
        <v>0.31350884979999999</v>
      </c>
      <c r="K78">
        <v>0.3204779666</v>
      </c>
      <c r="L78">
        <v>0.31185894310000001</v>
      </c>
      <c r="M78">
        <v>0.32329433419999998</v>
      </c>
      <c r="N78">
        <v>0.31578115810000001</v>
      </c>
      <c r="O78">
        <v>0.30271696520000002</v>
      </c>
      <c r="P78">
        <v>0.30828261439999999</v>
      </c>
      <c r="Q78">
        <v>0.30964533589999998</v>
      </c>
      <c r="R78">
        <v>0.30791722230000002</v>
      </c>
      <c r="S78">
        <v>0.31148359060000003</v>
      </c>
      <c r="T78">
        <v>0.31633573659999997</v>
      </c>
      <c r="U78">
        <v>0.3211921049</v>
      </c>
      <c r="V78">
        <v>0.32984075950000002</v>
      </c>
      <c r="W78">
        <v>0.33095910099999998</v>
      </c>
      <c r="X78">
        <v>0.33123794960000003</v>
      </c>
      <c r="Y78">
        <v>0.33068055969999999</v>
      </c>
      <c r="Z78">
        <v>0.33321111939999998</v>
      </c>
      <c r="AA78">
        <v>0.33659094849999999</v>
      </c>
      <c r="AB78">
        <v>0.34052062100000002</v>
      </c>
      <c r="AC78">
        <v>0.34416750699999998</v>
      </c>
      <c r="AD78">
        <v>0.34830906969999997</v>
      </c>
      <c r="AE78">
        <v>0.35262784520000001</v>
      </c>
      <c r="AF78">
        <v>0.3571892357</v>
      </c>
      <c r="AG78">
        <v>0.36128348809999999</v>
      </c>
      <c r="AH78">
        <v>0.36673024510000002</v>
      </c>
      <c r="AI78">
        <v>0.373236138</v>
      </c>
      <c r="AJ78">
        <v>0.37945726530000001</v>
      </c>
      <c r="AK78">
        <v>0.38543599039999998</v>
      </c>
      <c r="AL78">
        <v>0.39186909759999999</v>
      </c>
      <c r="AM78">
        <v>0.39724671490000002</v>
      </c>
      <c r="AN78">
        <v>0.40392966720000001</v>
      </c>
      <c r="AO78">
        <v>0.4114693733</v>
      </c>
      <c r="AP78">
        <v>0.41863539929999999</v>
      </c>
      <c r="AQ78">
        <v>0.42581972509999999</v>
      </c>
      <c r="AR78">
        <v>0.43281256699999998</v>
      </c>
      <c r="AS78">
        <v>0.43993357760000001</v>
      </c>
      <c r="AT78">
        <v>0.44735348660000002</v>
      </c>
      <c r="AU78">
        <v>0.4548597029</v>
      </c>
      <c r="AV78">
        <v>0.46247857860000002</v>
      </c>
      <c r="AW78">
        <v>0.4701584506</v>
      </c>
    </row>
    <row r="79" spans="2:49" x14ac:dyDescent="0.25">
      <c r="B79" t="s">
        <v>179</v>
      </c>
      <c r="C79">
        <v>11.323476938849501</v>
      </c>
      <c r="D79">
        <v>11.5052790237851</v>
      </c>
      <c r="E79">
        <v>11.69</v>
      </c>
      <c r="F79">
        <v>11.904773280000001</v>
      </c>
      <c r="G79">
        <v>11.90253308</v>
      </c>
      <c r="H79">
        <v>10.439356889999999</v>
      </c>
      <c r="I79">
        <v>11.08076</v>
      </c>
      <c r="J79">
        <v>11.56822444</v>
      </c>
      <c r="K79">
        <v>11.425135859999999</v>
      </c>
      <c r="L79">
        <v>11.250561250000001</v>
      </c>
      <c r="M79">
        <v>11.19800541</v>
      </c>
      <c r="N79">
        <v>11.010772510000001</v>
      </c>
      <c r="O79">
        <v>10.29849317</v>
      </c>
      <c r="P79">
        <v>10.112607390000001</v>
      </c>
      <c r="Q79">
        <v>9.9815233689999996</v>
      </c>
      <c r="R79">
        <v>9.625087594</v>
      </c>
      <c r="S79">
        <v>9.3345402859999904</v>
      </c>
      <c r="T79">
        <v>9.4701094710000007</v>
      </c>
      <c r="U79">
        <v>9.6873318850000008</v>
      </c>
      <c r="V79">
        <v>9.9895226800000003</v>
      </c>
      <c r="W79">
        <v>11.52744364</v>
      </c>
      <c r="X79">
        <v>12.90649595</v>
      </c>
      <c r="Y79">
        <v>13.932258900000001</v>
      </c>
      <c r="Z79">
        <v>14.8625431</v>
      </c>
      <c r="AA79">
        <v>15.72657182</v>
      </c>
      <c r="AB79">
        <v>16.565889559999999</v>
      </c>
      <c r="AC79">
        <v>17.418374700000001</v>
      </c>
      <c r="AD79">
        <v>17.61630671</v>
      </c>
      <c r="AE79">
        <v>17.763490560000001</v>
      </c>
      <c r="AF79">
        <v>17.907653310000001</v>
      </c>
      <c r="AG79">
        <v>18.044770459999999</v>
      </c>
      <c r="AH79">
        <v>18.217242110000001</v>
      </c>
      <c r="AI79">
        <v>18.431037119999999</v>
      </c>
      <c r="AJ79">
        <v>18.635575939999999</v>
      </c>
      <c r="AK79">
        <v>18.837936819999999</v>
      </c>
      <c r="AL79">
        <v>19.058502399999998</v>
      </c>
      <c r="AM79">
        <v>19.252524439999998</v>
      </c>
      <c r="AN79">
        <v>19.472674309999999</v>
      </c>
      <c r="AO79">
        <v>19.716371689999999</v>
      </c>
      <c r="AP79">
        <v>19.94657552</v>
      </c>
      <c r="AQ79">
        <v>20.182570429999998</v>
      </c>
      <c r="AR79">
        <v>20.407486370000001</v>
      </c>
      <c r="AS79">
        <v>20.623679360000001</v>
      </c>
      <c r="AT79">
        <v>20.85027191</v>
      </c>
      <c r="AU79">
        <v>21.07872592</v>
      </c>
      <c r="AV79">
        <v>21.30957759</v>
      </c>
      <c r="AW79">
        <v>21.54432516</v>
      </c>
    </row>
    <row r="80" spans="2:49" x14ac:dyDescent="0.25">
      <c r="B80" t="s">
        <v>180</v>
      </c>
      <c r="C80">
        <v>12.401465507675301</v>
      </c>
      <c r="D80">
        <v>12.6005750477687</v>
      </c>
      <c r="E80">
        <v>12.802881360000001</v>
      </c>
      <c r="F80">
        <v>12.979877220000001</v>
      </c>
      <c r="G80">
        <v>13.40611071</v>
      </c>
      <c r="H80">
        <v>13.15479509</v>
      </c>
      <c r="I80">
        <v>13.458592960000001</v>
      </c>
      <c r="J80">
        <v>13.849528279999999</v>
      </c>
      <c r="K80">
        <v>14.197373219999999</v>
      </c>
      <c r="L80">
        <v>14.26200624</v>
      </c>
      <c r="M80">
        <v>14.225634790000001</v>
      </c>
      <c r="N80">
        <v>14.024228150000001</v>
      </c>
      <c r="O80">
        <v>13.94650521</v>
      </c>
      <c r="P80">
        <v>14.181504459999999</v>
      </c>
      <c r="Q80">
        <v>14.610951119999999</v>
      </c>
      <c r="R80">
        <v>14.647023669999999</v>
      </c>
      <c r="S80">
        <v>14.695407400000001</v>
      </c>
      <c r="T80">
        <v>14.685056080000001</v>
      </c>
      <c r="U80">
        <v>14.79150267</v>
      </c>
      <c r="V80">
        <v>14.884860720000001</v>
      </c>
      <c r="W80">
        <v>14.90173572</v>
      </c>
      <c r="X80">
        <v>14.899076880000001</v>
      </c>
      <c r="Y80">
        <v>14.79261726</v>
      </c>
      <c r="Z80">
        <v>14.71078632</v>
      </c>
      <c r="AA80">
        <v>14.62831574</v>
      </c>
      <c r="AB80">
        <v>14.61432237</v>
      </c>
      <c r="AC80">
        <v>14.57984164</v>
      </c>
      <c r="AD80">
        <v>14.490628579999999</v>
      </c>
      <c r="AE80">
        <v>14.390973600000001</v>
      </c>
      <c r="AF80">
        <v>14.289844950000001</v>
      </c>
      <c r="AG80">
        <v>14.180644109999999</v>
      </c>
      <c r="AH80">
        <v>14.081878590000001</v>
      </c>
      <c r="AI80">
        <v>13.97762393</v>
      </c>
      <c r="AJ80">
        <v>13.86167375</v>
      </c>
      <c r="AK80">
        <v>13.747750119999999</v>
      </c>
      <c r="AL80">
        <v>13.64704476</v>
      </c>
      <c r="AM80">
        <v>13.527061420000001</v>
      </c>
      <c r="AN80">
        <v>13.414150729999999</v>
      </c>
      <c r="AO80">
        <v>13.307695580000001</v>
      </c>
      <c r="AP80">
        <v>13.20182462</v>
      </c>
      <c r="AQ80">
        <v>13.096248879999999</v>
      </c>
      <c r="AR80">
        <v>12.990420390000001</v>
      </c>
      <c r="AS80">
        <v>12.90515577</v>
      </c>
      <c r="AT80">
        <v>12.816426939999999</v>
      </c>
      <c r="AU80">
        <v>12.72852146</v>
      </c>
      <c r="AV80">
        <v>12.637424019999999</v>
      </c>
      <c r="AW80">
        <v>12.55008202</v>
      </c>
    </row>
    <row r="81" spans="2:99" x14ac:dyDescent="0.25">
      <c r="B81" t="s">
        <v>181</v>
      </c>
      <c r="C81">
        <v>10.826676236859401</v>
      </c>
      <c r="D81">
        <v>11.000502025829901</v>
      </c>
      <c r="E81">
        <v>11.17711864</v>
      </c>
      <c r="F81">
        <v>11.890026260000001</v>
      </c>
      <c r="G81">
        <v>12.51207323</v>
      </c>
      <c r="H81">
        <v>11.803011</v>
      </c>
      <c r="I81">
        <v>12.341002939999999</v>
      </c>
      <c r="J81">
        <v>12.921196500000001</v>
      </c>
      <c r="K81">
        <v>13.287962650000001</v>
      </c>
      <c r="L81">
        <v>13.381846899999999</v>
      </c>
      <c r="M81">
        <v>13.44844245</v>
      </c>
      <c r="N81">
        <v>13.311592879999999</v>
      </c>
      <c r="O81">
        <v>12.78583087</v>
      </c>
      <c r="P81">
        <v>12.8827547</v>
      </c>
      <c r="Q81">
        <v>13.309422469999999</v>
      </c>
      <c r="R81">
        <v>13.16857005</v>
      </c>
      <c r="S81">
        <v>12.975211910000001</v>
      </c>
      <c r="T81">
        <v>13.07153737</v>
      </c>
      <c r="U81">
        <v>13.110018159999999</v>
      </c>
      <c r="V81">
        <v>13.131261439999999</v>
      </c>
      <c r="W81">
        <v>13.357504560000001</v>
      </c>
      <c r="X81">
        <v>13.06766077</v>
      </c>
      <c r="Y81">
        <v>12.504997299999999</v>
      </c>
      <c r="Z81">
        <v>11.883391080000001</v>
      </c>
      <c r="AA81">
        <v>11.259437220000001</v>
      </c>
      <c r="AB81">
        <v>10.74888041</v>
      </c>
      <c r="AC81">
        <v>10.26466572</v>
      </c>
      <c r="AD81">
        <v>10.21564579</v>
      </c>
      <c r="AE81">
        <v>10.185313799999999</v>
      </c>
      <c r="AF81">
        <v>10.15337443</v>
      </c>
      <c r="AG81">
        <v>10.12105073</v>
      </c>
      <c r="AH81">
        <v>10.085313469999999</v>
      </c>
      <c r="AI81">
        <v>10.035012439999999</v>
      </c>
      <c r="AJ81">
        <v>9.974863568</v>
      </c>
      <c r="AK81">
        <v>9.9120358910000004</v>
      </c>
      <c r="AL81">
        <v>9.8735032920000005</v>
      </c>
      <c r="AM81">
        <v>9.825046897</v>
      </c>
      <c r="AN81">
        <v>9.7512291050000002</v>
      </c>
      <c r="AO81">
        <v>9.6799884370000004</v>
      </c>
      <c r="AP81">
        <v>9.6075184989999904</v>
      </c>
      <c r="AQ81">
        <v>9.5306064619999997</v>
      </c>
      <c r="AR81">
        <v>9.4487586570000008</v>
      </c>
      <c r="AS81">
        <v>9.3977802260000001</v>
      </c>
      <c r="AT81">
        <v>9.3436589080000001</v>
      </c>
      <c r="AU81">
        <v>9.2902873780000004</v>
      </c>
      <c r="AV81">
        <v>9.2311557900000007</v>
      </c>
      <c r="AW81">
        <v>9.1683517349999999</v>
      </c>
    </row>
    <row r="82" spans="2:99" x14ac:dyDescent="0.25">
      <c r="B82" t="s">
        <v>182</v>
      </c>
      <c r="C82" s="39">
        <v>4.42659733299524E-4</v>
      </c>
      <c r="D82" s="39">
        <v>4.4976677849999601E-4</v>
      </c>
      <c r="E82" s="39">
        <v>4.5698792999999998E-4</v>
      </c>
      <c r="F82" s="39">
        <v>1.13983208E-3</v>
      </c>
      <c r="G82" s="39">
        <v>2.1524777499999999E-3</v>
      </c>
      <c r="H82">
        <v>3.7845566500000001E-3</v>
      </c>
      <c r="I82">
        <v>5.9836367000000003E-3</v>
      </c>
      <c r="J82" s="39">
        <v>8.8590273299999998E-3</v>
      </c>
      <c r="K82" s="39">
        <v>1.2202362600000001E-2</v>
      </c>
      <c r="L82" s="39">
        <v>1.6437613399999999E-2</v>
      </c>
      <c r="M82" s="39">
        <v>2.2078781499999998E-2</v>
      </c>
      <c r="N82" s="39">
        <v>2.8859426000000001E-2</v>
      </c>
      <c r="O82" s="39">
        <v>3.8219499300000001E-2</v>
      </c>
      <c r="P82" s="39">
        <v>5.0436848999999999E-2</v>
      </c>
      <c r="Q82" s="39">
        <v>6.6180953900000006E-2</v>
      </c>
      <c r="R82" s="39">
        <v>8.6197971200000001E-2</v>
      </c>
      <c r="S82" s="39">
        <v>0.1093786896</v>
      </c>
      <c r="T82" s="39">
        <v>0.1349126131</v>
      </c>
      <c r="U82" s="39">
        <v>0.16593726440000001</v>
      </c>
      <c r="V82" s="39">
        <v>0.20530102610000001</v>
      </c>
      <c r="W82" s="39">
        <v>0.25605433960000001</v>
      </c>
      <c r="X82" s="39">
        <v>0.31759046769999999</v>
      </c>
      <c r="Y82" s="39">
        <v>0.38520234269999998</v>
      </c>
      <c r="Z82" s="39">
        <v>0.46491192730000003</v>
      </c>
      <c r="AA82" s="39">
        <v>0.56694594710000001</v>
      </c>
      <c r="AB82" s="39">
        <v>0.69239533860000002</v>
      </c>
      <c r="AC82" s="39">
        <v>0.83953441569999998</v>
      </c>
      <c r="AD82" s="39">
        <v>1.009534215</v>
      </c>
      <c r="AE82" s="39">
        <v>1.192082377</v>
      </c>
      <c r="AF82" s="39">
        <v>1.379108164</v>
      </c>
      <c r="AG82" s="39">
        <v>1.5645660969999999</v>
      </c>
      <c r="AH82" s="39">
        <v>1.74420099</v>
      </c>
      <c r="AI82" s="39">
        <v>1.9175646209999999</v>
      </c>
      <c r="AJ82" s="39">
        <v>2.0851677949999998</v>
      </c>
      <c r="AK82" s="39">
        <v>2.243750151</v>
      </c>
      <c r="AL82" s="39">
        <v>2.3931462510000001</v>
      </c>
      <c r="AM82" s="39">
        <v>2.5321015569999998</v>
      </c>
      <c r="AN82" s="39">
        <v>2.659984042</v>
      </c>
      <c r="AO82" s="39">
        <v>2.7785164980000001</v>
      </c>
      <c r="AP82" s="39">
        <v>2.8873073909999998</v>
      </c>
      <c r="AQ82" s="39">
        <v>2.986670621</v>
      </c>
      <c r="AR82" s="39">
        <v>3.0733235969999999</v>
      </c>
      <c r="AS82" s="39">
        <v>3.1531552980000002</v>
      </c>
      <c r="AT82" s="39">
        <v>3.2270285460000001</v>
      </c>
      <c r="AU82" s="39">
        <v>3.2946999510000001</v>
      </c>
      <c r="AV82" s="39">
        <v>3.3558166850000002</v>
      </c>
      <c r="AW82" s="39">
        <v>3.4076294260000002</v>
      </c>
    </row>
    <row r="83" spans="2:99" x14ac:dyDescent="0.25">
      <c r="B83" t="s">
        <v>183</v>
      </c>
      <c r="C83">
        <v>1.1996237928359601</v>
      </c>
      <c r="D83">
        <v>1.2188841408592499</v>
      </c>
      <c r="E83">
        <v>1.2389114290000001</v>
      </c>
      <c r="F83">
        <v>1.2858676469999999</v>
      </c>
      <c r="G83">
        <v>1.264010056</v>
      </c>
      <c r="H83">
        <v>1.1129910890000001</v>
      </c>
      <c r="I83">
        <v>1.1662031150000001</v>
      </c>
      <c r="J83">
        <v>1.1822929929999999</v>
      </c>
      <c r="K83">
        <v>1.197727921</v>
      </c>
      <c r="L83">
        <v>1.19735668</v>
      </c>
      <c r="M83">
        <v>1.198228428</v>
      </c>
      <c r="N83">
        <v>1.1868995920000001</v>
      </c>
      <c r="O83">
        <v>1.18190602</v>
      </c>
      <c r="P83">
        <v>1.244765678</v>
      </c>
      <c r="Q83">
        <v>1.2761952059999999</v>
      </c>
      <c r="R83">
        <v>1.3138578949999999</v>
      </c>
      <c r="S83">
        <v>1.319073347</v>
      </c>
      <c r="T83">
        <v>1.3351524889999999</v>
      </c>
      <c r="U83">
        <v>1.3572444130000001</v>
      </c>
      <c r="V83">
        <v>1.387765903</v>
      </c>
      <c r="W83">
        <v>1.479770429</v>
      </c>
      <c r="X83">
        <v>1.562752769</v>
      </c>
      <c r="Y83">
        <v>1.689108464</v>
      </c>
      <c r="Z83">
        <v>1.8277779169999999</v>
      </c>
      <c r="AA83">
        <v>1.971719623</v>
      </c>
      <c r="AB83">
        <v>2.1361626340000002</v>
      </c>
      <c r="AC83">
        <v>2.305572277</v>
      </c>
      <c r="AD83">
        <v>2.5807555350000002</v>
      </c>
      <c r="AE83">
        <v>2.8558168190000002</v>
      </c>
      <c r="AF83">
        <v>3.1325203639999999</v>
      </c>
      <c r="AG83">
        <v>3.4113076800000002</v>
      </c>
      <c r="AH83">
        <v>3.6954685039999999</v>
      </c>
      <c r="AI83">
        <v>4.0451444700000003</v>
      </c>
      <c r="AJ83">
        <v>4.398785685</v>
      </c>
      <c r="AK83">
        <v>4.7498921110000003</v>
      </c>
      <c r="AL83">
        <v>5.1199130210000003</v>
      </c>
      <c r="AM83">
        <v>5.4830748910000002</v>
      </c>
      <c r="AN83">
        <v>5.7518619170000003</v>
      </c>
      <c r="AO83">
        <v>6.041460947</v>
      </c>
      <c r="AP83">
        <v>6.3180977949999999</v>
      </c>
      <c r="AQ83">
        <v>6.5982300330000001</v>
      </c>
      <c r="AR83">
        <v>6.8814917590000002</v>
      </c>
      <c r="AS83">
        <v>7.0425718159999997</v>
      </c>
      <c r="AT83">
        <v>7.2106102830000003</v>
      </c>
      <c r="AU83">
        <v>7.3813639020000004</v>
      </c>
      <c r="AV83">
        <v>7.5540509079999998</v>
      </c>
      <c r="AW83">
        <v>7.727510004</v>
      </c>
    </row>
    <row r="84" spans="2:99" x14ac:dyDescent="0.25">
      <c r="B84" t="s">
        <v>184</v>
      </c>
      <c r="C84">
        <v>0.33902625565417799</v>
      </c>
      <c r="D84">
        <v>0.34446943184985501</v>
      </c>
      <c r="E84">
        <v>0.35</v>
      </c>
      <c r="F84">
        <v>0.36473996580000001</v>
      </c>
      <c r="G84">
        <v>0.3552308669</v>
      </c>
      <c r="H84">
        <v>0.35592960550000002</v>
      </c>
      <c r="I84">
        <v>0.3766239575</v>
      </c>
      <c r="J84">
        <v>0.36949365890000002</v>
      </c>
      <c r="K84">
        <v>0.361227929</v>
      </c>
      <c r="L84">
        <v>0.34713686490000001</v>
      </c>
      <c r="M84">
        <v>0.36236976030000001</v>
      </c>
      <c r="N84">
        <v>0.36471241319999997</v>
      </c>
      <c r="O84">
        <v>0.35996211909999998</v>
      </c>
      <c r="P84">
        <v>0.36121727980000001</v>
      </c>
      <c r="Q84">
        <v>0.33923906520000002</v>
      </c>
      <c r="R84">
        <v>0.3286191229</v>
      </c>
      <c r="S84">
        <v>0.33048569189999999</v>
      </c>
      <c r="T84">
        <v>0.3343275309</v>
      </c>
      <c r="U84">
        <v>0.33824240350000001</v>
      </c>
      <c r="V84">
        <v>0.34882306079999997</v>
      </c>
      <c r="W84">
        <v>0.35260745830000001</v>
      </c>
      <c r="X84">
        <v>0.35535333229999999</v>
      </c>
      <c r="Y84">
        <v>0.35754022029999999</v>
      </c>
      <c r="Z84">
        <v>0.3613034356</v>
      </c>
      <c r="AA84">
        <v>0.36483910549999998</v>
      </c>
      <c r="AB84">
        <v>0.3681889035</v>
      </c>
      <c r="AC84">
        <v>0.371155399</v>
      </c>
      <c r="AD84">
        <v>0.37422190399999999</v>
      </c>
      <c r="AE84">
        <v>0.37715187700000002</v>
      </c>
      <c r="AF84">
        <v>0.37993726750000001</v>
      </c>
      <c r="AG84">
        <v>0.38266286030000002</v>
      </c>
      <c r="AH84">
        <v>0.38608131890000003</v>
      </c>
      <c r="AI84">
        <v>0.38990473539999998</v>
      </c>
      <c r="AJ84">
        <v>0.39428322919999997</v>
      </c>
      <c r="AK84">
        <v>0.39844028650000002</v>
      </c>
      <c r="AL84">
        <v>0.40302486659999998</v>
      </c>
      <c r="AM84">
        <v>0.40824132749999997</v>
      </c>
      <c r="AN84">
        <v>0.41521089529999999</v>
      </c>
      <c r="AO84">
        <v>0.42150644500000001</v>
      </c>
      <c r="AP84">
        <v>0.42671819129999999</v>
      </c>
      <c r="AQ84">
        <v>0.43171937780000003</v>
      </c>
      <c r="AR84">
        <v>0.4363623183</v>
      </c>
      <c r="AS84">
        <v>0.44070031139999999</v>
      </c>
      <c r="AT84">
        <v>0.44628270549999999</v>
      </c>
      <c r="AU84">
        <v>0.45168793350000003</v>
      </c>
      <c r="AV84">
        <v>0.45781832090000002</v>
      </c>
      <c r="AW84">
        <v>0.46433199670000003</v>
      </c>
    </row>
    <row r="85" spans="2:99" x14ac:dyDescent="0.25">
      <c r="B85" t="s">
        <v>185</v>
      </c>
      <c r="C85">
        <v>12.8442518570697</v>
      </c>
      <c r="D85">
        <v>13.0504704752259</v>
      </c>
      <c r="E85">
        <v>13.26</v>
      </c>
      <c r="F85">
        <v>13.61065982</v>
      </c>
      <c r="G85">
        <v>13.14641524</v>
      </c>
      <c r="H85">
        <v>12.026076010000001</v>
      </c>
      <c r="I85">
        <v>12.501705250000001</v>
      </c>
      <c r="J85">
        <v>12.683419649999999</v>
      </c>
      <c r="K85">
        <v>12.02882382</v>
      </c>
      <c r="L85">
        <v>11.7391983</v>
      </c>
      <c r="M85">
        <v>11.802325809999999</v>
      </c>
      <c r="N85">
        <v>11.96556575</v>
      </c>
      <c r="O85">
        <v>12.152635350000001</v>
      </c>
      <c r="P85" s="39">
        <v>12.3875992</v>
      </c>
      <c r="Q85" s="39">
        <v>12.061069809999999</v>
      </c>
      <c r="R85" s="39">
        <v>11.90557357</v>
      </c>
      <c r="S85" s="39">
        <v>11.999934530000001</v>
      </c>
      <c r="T85" s="39">
        <v>12.105539950000001</v>
      </c>
      <c r="U85" s="39">
        <v>12.18399297</v>
      </c>
      <c r="V85" s="39">
        <v>12.44665612</v>
      </c>
      <c r="W85" s="39">
        <v>10.327871679999999</v>
      </c>
      <c r="X85" s="39">
        <v>8.5775131039999994</v>
      </c>
      <c r="Y85" s="39">
        <v>7.394727294</v>
      </c>
      <c r="Z85" s="39">
        <v>6.590743035</v>
      </c>
      <c r="AA85" s="39">
        <v>5.9990819210000002</v>
      </c>
      <c r="AB85" s="39">
        <v>5.5513340380000002</v>
      </c>
      <c r="AC85" s="39">
        <v>5.2139565279999998</v>
      </c>
      <c r="AD85" s="39">
        <v>5.2023104790000003</v>
      </c>
      <c r="AE85" s="39">
        <v>5.2752720919999998</v>
      </c>
      <c r="AF85">
        <v>5.3650593840000003</v>
      </c>
      <c r="AG85">
        <v>5.4632126200000002</v>
      </c>
      <c r="AH85">
        <v>5.5597761170000002</v>
      </c>
      <c r="AI85">
        <v>5.6624901080000001</v>
      </c>
      <c r="AJ85">
        <v>5.7745686139999997</v>
      </c>
      <c r="AK85">
        <v>5.8890738679999997</v>
      </c>
      <c r="AL85">
        <v>6.0015475250000003</v>
      </c>
      <c r="AM85">
        <v>6.1196056820000004</v>
      </c>
      <c r="AN85">
        <v>6.2529762279999996</v>
      </c>
      <c r="AO85">
        <v>6.3900674630000003</v>
      </c>
      <c r="AP85">
        <v>6.5233248789999996</v>
      </c>
      <c r="AQ85">
        <v>6.6616895830000002</v>
      </c>
      <c r="AR85">
        <v>6.7976986799999999</v>
      </c>
      <c r="AS85">
        <v>6.9163581150000004</v>
      </c>
      <c r="AT85">
        <v>7.0400471830000004</v>
      </c>
      <c r="AU85">
        <v>7.1647795380000003</v>
      </c>
      <c r="AV85">
        <v>7.2933519929999999</v>
      </c>
      <c r="AW85">
        <v>7.426871845</v>
      </c>
    </row>
    <row r="86" spans="2:99" x14ac:dyDescent="0.25">
      <c r="B86" t="s">
        <v>186</v>
      </c>
      <c r="C86">
        <v>17.113958899133198</v>
      </c>
      <c r="D86">
        <v>17.388729044925601</v>
      </c>
      <c r="E86">
        <v>17.667910710000001</v>
      </c>
      <c r="F86">
        <v>17.707504910000001</v>
      </c>
      <c r="G86">
        <v>17.44505749</v>
      </c>
      <c r="H86">
        <v>17.246376810000001</v>
      </c>
      <c r="I86">
        <v>17.41379856</v>
      </c>
      <c r="J86">
        <v>17.226771719999999</v>
      </c>
      <c r="K86" s="39">
        <v>16.71502036</v>
      </c>
      <c r="L86" s="39">
        <v>16.360571069999999</v>
      </c>
      <c r="M86" s="39">
        <v>16.181147889999998</v>
      </c>
      <c r="N86" s="39">
        <v>16.106097219999999</v>
      </c>
      <c r="O86" s="39">
        <v>16.19059751</v>
      </c>
      <c r="P86" s="39">
        <v>16.01543852</v>
      </c>
      <c r="Q86" s="39">
        <v>15.34327032</v>
      </c>
      <c r="R86" s="39">
        <v>14.794415280000001</v>
      </c>
      <c r="S86" s="39">
        <v>14.49594183</v>
      </c>
      <c r="T86" s="39">
        <v>14.05571277</v>
      </c>
      <c r="U86" s="39">
        <v>13.758443310000001</v>
      </c>
      <c r="V86" s="39">
        <v>13.555850380000001</v>
      </c>
      <c r="W86" s="39">
        <v>13.282829960000001</v>
      </c>
      <c r="X86" s="39">
        <v>12.971692490000001</v>
      </c>
      <c r="Y86" s="39">
        <v>12.62740855</v>
      </c>
      <c r="Z86">
        <v>12.272453260000001</v>
      </c>
      <c r="AA86">
        <v>11.91362311</v>
      </c>
      <c r="AB86">
        <v>11.43740624</v>
      </c>
      <c r="AC86">
        <v>10.990521409999999</v>
      </c>
      <c r="AD86">
        <v>10.640792360000001</v>
      </c>
      <c r="AE86">
        <v>10.30481606</v>
      </c>
      <c r="AF86">
        <v>9.9875530650000002</v>
      </c>
      <c r="AG86">
        <v>9.6844782479999996</v>
      </c>
      <c r="AH86">
        <v>9.3908936369999996</v>
      </c>
      <c r="AI86">
        <v>9.1273524659999996</v>
      </c>
      <c r="AJ86">
        <v>8.8933259590000002</v>
      </c>
      <c r="AK86">
        <v>8.6705439549999994</v>
      </c>
      <c r="AL86">
        <v>8.4137096820000004</v>
      </c>
      <c r="AM86">
        <v>8.1926456319999996</v>
      </c>
      <c r="AN86">
        <v>8.0231792760000005</v>
      </c>
      <c r="AO86">
        <v>7.8413196440000004</v>
      </c>
      <c r="AP86">
        <v>7.665792401</v>
      </c>
      <c r="AQ86">
        <v>7.5003473039999999</v>
      </c>
      <c r="AR86">
        <v>7.3436122480000003</v>
      </c>
      <c r="AS86">
        <v>7.1407070350000001</v>
      </c>
      <c r="AT86" s="39">
        <v>6.9577056480000001</v>
      </c>
      <c r="AU86" s="39">
        <v>6.7707493019999996</v>
      </c>
      <c r="AV86">
        <v>6.5962247139999999</v>
      </c>
      <c r="AW86">
        <v>6.4291271529999996</v>
      </c>
    </row>
    <row r="87" spans="2:99" x14ac:dyDescent="0.25">
      <c r="B87" t="s">
        <v>187</v>
      </c>
      <c r="C87">
        <v>5.6395460874857797</v>
      </c>
      <c r="D87">
        <v>5.7300908240832298</v>
      </c>
      <c r="E87">
        <v>5.8220892859999998</v>
      </c>
      <c r="F87">
        <v>6.3500911929999999</v>
      </c>
      <c r="G87">
        <v>6.6544176100000003</v>
      </c>
      <c r="H87">
        <v>6.9197815570000003</v>
      </c>
      <c r="I87">
        <v>7.5236335390000004</v>
      </c>
      <c r="J87">
        <v>7.8861240019999999</v>
      </c>
      <c r="K87">
        <v>7.9914568109999999</v>
      </c>
      <c r="L87">
        <v>8.2924989409999998</v>
      </c>
      <c r="M87">
        <v>8.8549721110000004</v>
      </c>
      <c r="N87">
        <v>9.7260670430000005</v>
      </c>
      <c r="O87">
        <v>9.9098752860000001</v>
      </c>
      <c r="P87">
        <v>9.649129318</v>
      </c>
      <c r="Q87">
        <v>8.8505115930000002</v>
      </c>
      <c r="R87">
        <v>8.2509530410000007</v>
      </c>
      <c r="S87">
        <v>7.9356529910000004</v>
      </c>
      <c r="T87">
        <v>7.8724660430000002</v>
      </c>
      <c r="U87">
        <v>7.7875307349999998</v>
      </c>
      <c r="V87">
        <v>7.7890312740000001</v>
      </c>
      <c r="W87">
        <v>9.2899795489999999</v>
      </c>
      <c r="X87">
        <v>10.61657692</v>
      </c>
      <c r="Y87">
        <v>11.470603240000001</v>
      </c>
      <c r="Z87">
        <v>12.058662630000001</v>
      </c>
      <c r="AA87">
        <v>12.41366206</v>
      </c>
      <c r="AB87">
        <v>12.39076734</v>
      </c>
      <c r="AC87">
        <v>12.22008173</v>
      </c>
      <c r="AD87">
        <v>12.02236787</v>
      </c>
      <c r="AE87">
        <v>11.75115727</v>
      </c>
      <c r="AF87">
        <v>11.478551830000001</v>
      </c>
      <c r="AG87">
        <v>11.197836969999999</v>
      </c>
      <c r="AH87">
        <v>10.9352594</v>
      </c>
      <c r="AI87">
        <v>10.707892920000001</v>
      </c>
      <c r="AJ87">
        <v>10.4916856</v>
      </c>
      <c r="AK87">
        <v>10.278970810000001</v>
      </c>
      <c r="AL87">
        <v>10.010278169999999</v>
      </c>
      <c r="AM87">
        <v>9.7551963260000001</v>
      </c>
      <c r="AN87">
        <v>9.5707939230000001</v>
      </c>
      <c r="AO87">
        <v>9.3831198899999997</v>
      </c>
      <c r="AP87">
        <v>9.1973386010000002</v>
      </c>
      <c r="AQ87">
        <v>9.0207527029999994</v>
      </c>
      <c r="AR87">
        <v>8.8544334490000001</v>
      </c>
      <c r="AS87">
        <v>8.6206519690000007</v>
      </c>
      <c r="AT87">
        <v>8.3961501750000007</v>
      </c>
      <c r="AU87">
        <v>8.1680926520000003</v>
      </c>
      <c r="AV87">
        <v>7.9529669170000004</v>
      </c>
      <c r="AW87">
        <v>7.7454102730000001</v>
      </c>
    </row>
    <row r="88" spans="2:99" x14ac:dyDescent="0.25">
      <c r="B88" t="s">
        <v>188</v>
      </c>
      <c r="C88" s="39">
        <v>1.0609788529198101E-6</v>
      </c>
      <c r="D88" s="39">
        <v>1.0780132115867701E-6</v>
      </c>
      <c r="E88" s="39">
        <v>1.0953210600000001E-6</v>
      </c>
      <c r="F88" s="39">
        <v>1.1757854899999999E-6</v>
      </c>
      <c r="G88" s="39">
        <v>2.2552129800000001E-6</v>
      </c>
      <c r="H88" s="39">
        <v>3.34224438E-6</v>
      </c>
      <c r="I88" s="39">
        <v>4.3882707699999996E-6</v>
      </c>
      <c r="J88" s="39">
        <v>5.7868664700000002E-6</v>
      </c>
      <c r="K88" s="39">
        <v>7.1535312999999998E-6</v>
      </c>
      <c r="L88" s="39">
        <v>8.4134811400000006E-6</v>
      </c>
      <c r="M88" s="39">
        <v>9.6405749499999996E-6</v>
      </c>
      <c r="N88" s="39">
        <v>1.04523884E-5</v>
      </c>
      <c r="O88" s="39">
        <v>1.1200799E-5</v>
      </c>
      <c r="P88" s="39">
        <v>1.18188358E-5</v>
      </c>
      <c r="Q88" s="39">
        <v>1.3055677999999999E-5</v>
      </c>
      <c r="R88" s="39">
        <v>1.4376959300000001E-5</v>
      </c>
      <c r="S88" s="39">
        <v>1.6040599099999999E-5</v>
      </c>
      <c r="T88" s="39">
        <v>1.72183209E-5</v>
      </c>
      <c r="U88" s="39">
        <v>1.8981502700000001E-5</v>
      </c>
      <c r="V88" s="39">
        <v>2.10583802E-5</v>
      </c>
      <c r="W88" s="39">
        <v>2.3917670600000001E-5</v>
      </c>
      <c r="X88" s="39">
        <v>2.70014793E-5</v>
      </c>
      <c r="Y88" s="39">
        <v>2.91286692E-5</v>
      </c>
      <c r="Z88" s="39">
        <v>3.0582510400000001E-5</v>
      </c>
      <c r="AA88" s="39">
        <v>3.1389473400000001E-5</v>
      </c>
      <c r="AB88" s="39">
        <v>3.1594535700000001E-5</v>
      </c>
      <c r="AC88" s="39">
        <v>3.1240376599999997E-5</v>
      </c>
      <c r="AD88" s="39">
        <v>3.0397231799999999E-5</v>
      </c>
      <c r="AE88" s="39">
        <v>2.92085465E-5</v>
      </c>
      <c r="AF88" s="39">
        <v>2.7813223300000001E-5</v>
      </c>
      <c r="AG88" s="39">
        <v>2.6326792600000001E-5</v>
      </c>
      <c r="AH88" s="39">
        <v>2.48270014E-5</v>
      </c>
      <c r="AI88" s="39">
        <v>2.3360834000000001E-5</v>
      </c>
      <c r="AJ88" s="39">
        <v>2.19503988E-5</v>
      </c>
      <c r="AK88" s="39">
        <v>2.06061959E-5</v>
      </c>
      <c r="AL88" s="39">
        <v>1.9332088200000001E-5</v>
      </c>
      <c r="AM88" s="39">
        <v>1.8128148800000001E-5</v>
      </c>
      <c r="AN88" s="39">
        <v>1.6997342199999999E-5</v>
      </c>
      <c r="AO88" s="39">
        <v>1.59361325E-5</v>
      </c>
      <c r="AP88" s="39">
        <v>1.49406954E-5</v>
      </c>
      <c r="AQ88" s="39">
        <v>1.4007192E-5</v>
      </c>
      <c r="AR88" s="39">
        <v>1.30735403E-5</v>
      </c>
      <c r="AS88" s="39">
        <v>1.2202053800000001E-5</v>
      </c>
      <c r="AT88" s="39">
        <v>1.1388625899999999E-5</v>
      </c>
      <c r="AU88" s="39">
        <v>1.06294058E-5</v>
      </c>
      <c r="AV88" s="39">
        <v>9.9207897200000008E-6</v>
      </c>
      <c r="AW88" s="39">
        <v>9.2594092500000001E-6</v>
      </c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</row>
    <row r="89" spans="2:99" x14ac:dyDescent="0.25">
      <c r="B89" t="s">
        <v>189</v>
      </c>
      <c r="C89" s="39">
        <v>0.26347077198670499</v>
      </c>
      <c r="D89" s="39">
        <v>0.26770088045298701</v>
      </c>
      <c r="E89" s="39">
        <v>0.2720608135</v>
      </c>
      <c r="F89" s="39">
        <v>0.30055099330000001</v>
      </c>
      <c r="G89" s="39">
        <v>0.29146188090000003</v>
      </c>
      <c r="H89" s="39">
        <v>0.23686500150000001</v>
      </c>
      <c r="I89" s="39">
        <v>0.2368365744</v>
      </c>
      <c r="J89" s="39">
        <v>0.23141923580000001</v>
      </c>
      <c r="K89" s="39">
        <v>0.24911136919999999</v>
      </c>
      <c r="L89" s="39">
        <v>0.24425771499999999</v>
      </c>
      <c r="M89" s="39">
        <v>0.2359309809</v>
      </c>
      <c r="N89" s="39">
        <v>0.22963468870000001</v>
      </c>
      <c r="O89" s="39">
        <v>0.21770873630000001</v>
      </c>
      <c r="P89" s="39">
        <v>0.2237292957</v>
      </c>
      <c r="Q89" s="39">
        <v>0.2295397854</v>
      </c>
      <c r="R89" s="39">
        <v>0.23865376760000001</v>
      </c>
      <c r="S89" s="39">
        <v>0.25527314309999999</v>
      </c>
      <c r="T89" s="39">
        <v>0.3136917998</v>
      </c>
      <c r="U89" s="39">
        <v>0.36254760079999998</v>
      </c>
      <c r="V89" s="39">
        <v>0.40620275680000001</v>
      </c>
      <c r="W89" s="39">
        <v>0.41826125870000003</v>
      </c>
      <c r="X89" s="39">
        <v>0.4293469841</v>
      </c>
      <c r="Y89" s="39">
        <v>0.47351957249999999</v>
      </c>
      <c r="Z89" s="39">
        <v>0.52041896180000002</v>
      </c>
      <c r="AA89" s="39">
        <v>0.5685484972</v>
      </c>
      <c r="AB89" s="39">
        <v>0.61199567700000002</v>
      </c>
      <c r="AC89" s="39">
        <v>0.65715817389999998</v>
      </c>
      <c r="AD89" s="39">
        <v>0.72312730489999999</v>
      </c>
      <c r="AE89" s="39">
        <v>0.79067226599999996</v>
      </c>
      <c r="AF89" s="39">
        <v>0.8594487649</v>
      </c>
      <c r="AG89" s="39">
        <v>0.92809621890000005</v>
      </c>
      <c r="AH89" s="39">
        <v>0.99788836000000003</v>
      </c>
      <c r="AI89" s="39">
        <v>1.0830253080000001</v>
      </c>
      <c r="AJ89" s="39">
        <v>1.170118201</v>
      </c>
      <c r="AK89" s="39">
        <v>1.256551403</v>
      </c>
      <c r="AL89" s="39">
        <v>1.340862172</v>
      </c>
      <c r="AM89" s="39">
        <v>1.4226867110000001</v>
      </c>
      <c r="AN89" s="39">
        <v>1.4959870470000001</v>
      </c>
      <c r="AO89" s="39">
        <v>1.5767449419999999</v>
      </c>
      <c r="AP89" s="39">
        <v>1.6548433339999999</v>
      </c>
      <c r="AQ89" s="39">
        <v>1.7356179899999999</v>
      </c>
      <c r="AR89" s="39">
        <v>1.819820319</v>
      </c>
      <c r="AS89" s="39">
        <v>1.861995053</v>
      </c>
      <c r="AT89" s="39">
        <v>1.9040726459999999</v>
      </c>
      <c r="AU89" s="39">
        <v>1.9469554739999999</v>
      </c>
      <c r="AV89">
        <v>1.9909269780000001</v>
      </c>
      <c r="AW89">
        <v>2.0355606079999999</v>
      </c>
    </row>
    <row r="90" spans="2:99" x14ac:dyDescent="0.25">
      <c r="B90" t="s">
        <v>190</v>
      </c>
      <c r="C90">
        <v>2318131524.4374599</v>
      </c>
      <c r="D90">
        <v>2355349875.8831902</v>
      </c>
      <c r="E90">
        <v>2393165780</v>
      </c>
      <c r="F90">
        <v>2417743066</v>
      </c>
      <c r="G90">
        <v>2442572755</v>
      </c>
      <c r="H90">
        <v>2467657440</v>
      </c>
      <c r="I90">
        <v>2492999739</v>
      </c>
      <c r="J90">
        <v>2518602297</v>
      </c>
      <c r="K90">
        <v>2544467789</v>
      </c>
      <c r="L90">
        <v>2570598913</v>
      </c>
      <c r="M90">
        <v>2596998398</v>
      </c>
      <c r="N90">
        <v>2623669000</v>
      </c>
      <c r="O90">
        <v>2653988446</v>
      </c>
      <c r="P90">
        <v>2684658267</v>
      </c>
      <c r="Q90">
        <v>2715682513</v>
      </c>
      <c r="R90">
        <v>2745467125</v>
      </c>
      <c r="S90">
        <v>2775151740</v>
      </c>
      <c r="T90">
        <v>2804229571</v>
      </c>
      <c r="U90">
        <v>2833057577</v>
      </c>
      <c r="V90">
        <v>2863783189</v>
      </c>
      <c r="W90">
        <v>2893294392</v>
      </c>
      <c r="X90">
        <v>2920683496</v>
      </c>
      <c r="Y90">
        <v>2946016305</v>
      </c>
      <c r="Z90">
        <v>2969192311</v>
      </c>
      <c r="AA90">
        <v>2990333273</v>
      </c>
      <c r="AB90">
        <v>3009261245</v>
      </c>
      <c r="AC90">
        <v>3025888722</v>
      </c>
      <c r="AD90">
        <v>3041817748</v>
      </c>
      <c r="AE90">
        <v>3056903629</v>
      </c>
      <c r="AF90">
        <v>3071089561</v>
      </c>
      <c r="AG90">
        <v>3084363564</v>
      </c>
      <c r="AH90">
        <v>3096983722</v>
      </c>
      <c r="AI90">
        <v>3108626593</v>
      </c>
      <c r="AJ90">
        <v>3119146419</v>
      </c>
      <c r="AK90">
        <v>3128804146</v>
      </c>
      <c r="AL90">
        <v>3137546654</v>
      </c>
      <c r="AM90">
        <v>3145275685</v>
      </c>
      <c r="AN90">
        <v>3152779717</v>
      </c>
      <c r="AO90">
        <v>3159874851</v>
      </c>
      <c r="AP90">
        <v>3166558568</v>
      </c>
      <c r="AQ90">
        <v>3173103141</v>
      </c>
      <c r="AR90">
        <v>3179324132</v>
      </c>
      <c r="AS90">
        <v>3185265549</v>
      </c>
      <c r="AT90">
        <v>3191063906</v>
      </c>
      <c r="AU90">
        <v>3196626001</v>
      </c>
      <c r="AV90">
        <v>3201950414</v>
      </c>
      <c r="AW90">
        <v>3207035723</v>
      </c>
    </row>
    <row r="91" spans="2:99" x14ac:dyDescent="0.25">
      <c r="B91" t="s">
        <v>191</v>
      </c>
      <c r="C91">
        <v>640398.31806251395</v>
      </c>
      <c r="D91">
        <v>650680.12020171306</v>
      </c>
      <c r="E91">
        <v>661127</v>
      </c>
      <c r="F91">
        <v>1308886.115</v>
      </c>
      <c r="G91">
        <v>7437583.9869999997</v>
      </c>
      <c r="H91">
        <v>16210135.720000001</v>
      </c>
      <c r="I91">
        <v>25817886.460000001</v>
      </c>
      <c r="J91">
        <v>35748094.789999999</v>
      </c>
      <c r="K91">
        <v>46263741.509999998</v>
      </c>
      <c r="L91">
        <v>57280492.350000001</v>
      </c>
      <c r="M91">
        <v>69253499.079999998</v>
      </c>
      <c r="N91">
        <v>82163611.590000004</v>
      </c>
      <c r="O91">
        <v>96803709.25</v>
      </c>
      <c r="P91">
        <v>112433095.3</v>
      </c>
      <c r="Q91">
        <v>129771220.90000001</v>
      </c>
      <c r="R91">
        <v>149005807</v>
      </c>
      <c r="S91">
        <v>171831907.40000001</v>
      </c>
      <c r="T91">
        <v>196262163.30000001</v>
      </c>
      <c r="U91">
        <v>223918610.09999999</v>
      </c>
      <c r="V91">
        <v>252323906.80000001</v>
      </c>
      <c r="W91">
        <v>282849416</v>
      </c>
      <c r="X91">
        <v>318289082.19999999</v>
      </c>
      <c r="Y91">
        <v>357690842.30000001</v>
      </c>
      <c r="Z91">
        <v>400539344.60000002</v>
      </c>
      <c r="AA91">
        <v>445469219.5</v>
      </c>
      <c r="AB91">
        <v>491887915.5</v>
      </c>
      <c r="AC91">
        <v>538805309.39999998</v>
      </c>
      <c r="AD91">
        <v>586671506</v>
      </c>
      <c r="AE91">
        <v>635962584</v>
      </c>
      <c r="AF91">
        <v>685675407.39999998</v>
      </c>
      <c r="AG91">
        <v>735689482.20000005</v>
      </c>
      <c r="AH91">
        <v>786055324.70000005</v>
      </c>
      <c r="AI91">
        <v>836277873.39999998</v>
      </c>
      <c r="AJ91">
        <v>886164722</v>
      </c>
      <c r="AK91">
        <v>935784503.79999995</v>
      </c>
      <c r="AL91">
        <v>984853818.79999995</v>
      </c>
      <c r="AM91">
        <v>1033441259</v>
      </c>
      <c r="AN91">
        <v>1082277465</v>
      </c>
      <c r="AO91">
        <v>1130677600</v>
      </c>
      <c r="AP91">
        <v>1178591308</v>
      </c>
      <c r="AQ91">
        <v>1225986495</v>
      </c>
      <c r="AR91">
        <v>1272788040</v>
      </c>
      <c r="AS91">
        <v>1318977521</v>
      </c>
      <c r="AT91">
        <v>1364644237</v>
      </c>
      <c r="AU91">
        <v>1409845742</v>
      </c>
      <c r="AV91">
        <v>1454689790</v>
      </c>
      <c r="AW91">
        <v>1499122699</v>
      </c>
    </row>
    <row r="92" spans="2:99" x14ac:dyDescent="0.25">
      <c r="B92" t="s">
        <v>192</v>
      </c>
      <c r="C92">
        <v>41062689.603059798</v>
      </c>
      <c r="D92">
        <v>41721964.366740197</v>
      </c>
      <c r="E92">
        <v>42391824</v>
      </c>
      <c r="F92">
        <v>45375151.369999997</v>
      </c>
      <c r="G92">
        <v>44883522.770000003</v>
      </c>
      <c r="H92">
        <v>42712260.289999999</v>
      </c>
      <c r="I92">
        <v>40482986.119999997</v>
      </c>
      <c r="J92">
        <v>40115119.640000001</v>
      </c>
      <c r="K92">
        <v>41722256.759999998</v>
      </c>
      <c r="L92" s="273">
        <v>44898421.829999998</v>
      </c>
      <c r="M92">
        <v>48521268.909999996</v>
      </c>
      <c r="N92">
        <v>51589588.729999997</v>
      </c>
      <c r="O92">
        <v>52137330.350000001</v>
      </c>
      <c r="P92">
        <v>53051851.93</v>
      </c>
      <c r="Q92">
        <v>54658395.390000001</v>
      </c>
      <c r="R92">
        <v>59753383.57</v>
      </c>
      <c r="S92">
        <v>64165524.649999999</v>
      </c>
      <c r="T92">
        <v>69257488.25</v>
      </c>
      <c r="U92">
        <v>72512964.019999996</v>
      </c>
      <c r="V92">
        <v>76574835.819999903</v>
      </c>
      <c r="W92">
        <v>83387349.629999995</v>
      </c>
      <c r="X92">
        <v>91753349.420000002</v>
      </c>
      <c r="Y92">
        <v>100161192.40000001</v>
      </c>
      <c r="Z92">
        <v>107594514.8</v>
      </c>
      <c r="AA92">
        <v>113518262.40000001</v>
      </c>
      <c r="AB92">
        <v>117731575.2</v>
      </c>
      <c r="AC92">
        <v>121306463.5</v>
      </c>
      <c r="AD92">
        <v>125395021.40000001</v>
      </c>
      <c r="AE92">
        <v>128860504.8</v>
      </c>
      <c r="AF92">
        <v>131573149</v>
      </c>
      <c r="AG92">
        <v>133831090.3</v>
      </c>
      <c r="AH92">
        <v>135550773</v>
      </c>
      <c r="AI92">
        <v>136513594</v>
      </c>
      <c r="AJ92">
        <v>136946208.69999999</v>
      </c>
      <c r="AK92">
        <v>136984513.19999999</v>
      </c>
      <c r="AL92">
        <v>136734715.19999999</v>
      </c>
      <c r="AM92">
        <v>136973531.69999999</v>
      </c>
      <c r="AN92">
        <v>137124447.90000001</v>
      </c>
      <c r="AO92">
        <v>136959111</v>
      </c>
      <c r="AP92">
        <v>136435116.69999999</v>
      </c>
      <c r="AQ92">
        <v>135687348.59999999</v>
      </c>
      <c r="AR92">
        <v>134719279.59999999</v>
      </c>
      <c r="AS92">
        <v>133623200.40000001</v>
      </c>
      <c r="AT92">
        <v>132541395.2</v>
      </c>
      <c r="AU92">
        <v>131367137.8</v>
      </c>
      <c r="AV92">
        <v>130021111.3</v>
      </c>
      <c r="AW92">
        <v>128550419.59999999</v>
      </c>
    </row>
    <row r="93" spans="2:99" x14ac:dyDescent="0.25">
      <c r="B93" t="s">
        <v>193</v>
      </c>
      <c r="C93">
        <v>291506404.18067801</v>
      </c>
      <c r="D93">
        <v>296186633.79021603</v>
      </c>
      <c r="E93">
        <v>300942006</v>
      </c>
      <c r="F93">
        <v>326322345.19999999</v>
      </c>
      <c r="G93">
        <v>351533567.19999999</v>
      </c>
      <c r="H93">
        <v>375383798.69999999</v>
      </c>
      <c r="I93">
        <v>394397278.19999999</v>
      </c>
      <c r="J93">
        <v>412122733</v>
      </c>
      <c r="K93">
        <v>430863487.5</v>
      </c>
      <c r="L93">
        <v>451562771.10000002</v>
      </c>
      <c r="M93">
        <v>472172671.5</v>
      </c>
      <c r="N93">
        <v>490687426.89999998</v>
      </c>
      <c r="O93">
        <v>505949613.69999999</v>
      </c>
      <c r="P93">
        <v>519205841.19999999</v>
      </c>
      <c r="Q93">
        <v>533779045.30000001</v>
      </c>
      <c r="R93">
        <v>554001722.20000005</v>
      </c>
      <c r="S93">
        <v>575617397.60000002</v>
      </c>
      <c r="T93">
        <v>600124871.20000005</v>
      </c>
      <c r="U93">
        <v>623649635.39999998</v>
      </c>
      <c r="V93">
        <v>649055346.29999995</v>
      </c>
      <c r="W93">
        <v>675409805.79999995</v>
      </c>
      <c r="X93">
        <v>700463495.79999995</v>
      </c>
      <c r="Y93">
        <v>724378293.29999995</v>
      </c>
      <c r="Z93">
        <v>745803478.5</v>
      </c>
      <c r="AA93">
        <v>764449215.60000002</v>
      </c>
      <c r="AB93">
        <v>779750605.29999995</v>
      </c>
      <c r="AC93">
        <v>792609319.60000002</v>
      </c>
      <c r="AD93">
        <v>803683401.5</v>
      </c>
      <c r="AE93">
        <v>812185553.39999998</v>
      </c>
      <c r="AF93">
        <v>818522431.5</v>
      </c>
      <c r="AG93">
        <v>822738669.60000002</v>
      </c>
      <c r="AH93">
        <v>824900286.39999998</v>
      </c>
      <c r="AI93">
        <v>825226364</v>
      </c>
      <c r="AJ93">
        <v>823794775.70000005</v>
      </c>
      <c r="AK93">
        <v>820682245.10000002</v>
      </c>
      <c r="AL93">
        <v>816139281</v>
      </c>
      <c r="AM93">
        <v>810343364.29999995</v>
      </c>
      <c r="AN93">
        <v>803375092.79999995</v>
      </c>
      <c r="AO93">
        <v>795741344.29999995</v>
      </c>
      <c r="AP93">
        <v>787559233.5</v>
      </c>
      <c r="AQ93">
        <v>778968923.60000002</v>
      </c>
      <c r="AR93">
        <v>769924972.20000005</v>
      </c>
      <c r="AS93">
        <v>760471238.79999995</v>
      </c>
      <c r="AT93">
        <v>750717408.10000002</v>
      </c>
      <c r="AU93">
        <v>740679817.39999998</v>
      </c>
      <c r="AV93">
        <v>730362705.29999995</v>
      </c>
      <c r="AW93">
        <v>719752386.20000005</v>
      </c>
    </row>
    <row r="94" spans="2:99" x14ac:dyDescent="0.25">
      <c r="B94" t="s">
        <v>194</v>
      </c>
      <c r="C94">
        <v>640671991.67983496</v>
      </c>
      <c r="D94">
        <v>650958187.73748195</v>
      </c>
      <c r="E94">
        <v>661409532</v>
      </c>
      <c r="F94">
        <v>682074145.5</v>
      </c>
      <c r="G94">
        <v>703298653.10000002</v>
      </c>
      <c r="H94">
        <v>724719282.29999995</v>
      </c>
      <c r="I94">
        <v>743964222.5</v>
      </c>
      <c r="J94">
        <v>762766472.89999998</v>
      </c>
      <c r="K94">
        <v>782328765.10000002</v>
      </c>
      <c r="L94">
        <v>802439020.29999995</v>
      </c>
      <c r="M94">
        <v>821385586.89999998</v>
      </c>
      <c r="N94">
        <v>837870844.29999995</v>
      </c>
      <c r="O94">
        <v>852995906.89999998</v>
      </c>
      <c r="P94">
        <v>865142258.10000002</v>
      </c>
      <c r="Q94">
        <v>876874593.70000005</v>
      </c>
      <c r="R94">
        <v>887444678.70000005</v>
      </c>
      <c r="S94">
        <v>897114094.20000005</v>
      </c>
      <c r="T94">
        <v>904970057.60000002</v>
      </c>
      <c r="U94">
        <v>911898062.60000002</v>
      </c>
      <c r="V94">
        <v>918429990.29999995</v>
      </c>
      <c r="W94">
        <v>921066213</v>
      </c>
      <c r="X94">
        <v>918604701.20000005</v>
      </c>
      <c r="Y94">
        <v>911839083.70000005</v>
      </c>
      <c r="Z94">
        <v>901333303.60000002</v>
      </c>
      <c r="AA94">
        <v>888430170.5</v>
      </c>
      <c r="AB94">
        <v>874140496.39999998</v>
      </c>
      <c r="AC94">
        <v>858873052</v>
      </c>
      <c r="AD94">
        <v>842871649.60000002</v>
      </c>
      <c r="AE94">
        <v>826346373.10000002</v>
      </c>
      <c r="AF94">
        <v>809536752</v>
      </c>
      <c r="AG94">
        <v>792293165</v>
      </c>
      <c r="AH94">
        <v>774809332.20000005</v>
      </c>
      <c r="AI94">
        <v>757236714</v>
      </c>
      <c r="AJ94">
        <v>739485628.10000002</v>
      </c>
      <c r="AK94">
        <v>721637657.5</v>
      </c>
      <c r="AL94">
        <v>703727803.29999995</v>
      </c>
      <c r="AM94">
        <v>685298403.29999995</v>
      </c>
      <c r="AN94">
        <v>666841282.10000002</v>
      </c>
      <c r="AO94">
        <v>648575907.70000005</v>
      </c>
      <c r="AP94">
        <v>630602950.89999998</v>
      </c>
      <c r="AQ94">
        <v>613008141.10000002</v>
      </c>
      <c r="AR94">
        <v>595733328.5</v>
      </c>
      <c r="AS94">
        <v>578776320.60000002</v>
      </c>
      <c r="AT94">
        <v>562149088.89999998</v>
      </c>
      <c r="AU94">
        <v>545825079.39999998</v>
      </c>
      <c r="AV94">
        <v>529770604.10000002</v>
      </c>
      <c r="AW94">
        <v>514572421</v>
      </c>
    </row>
    <row r="95" spans="2:99" x14ac:dyDescent="0.25">
      <c r="B95" t="s">
        <v>195</v>
      </c>
      <c r="C95">
        <v>762047427.55376601</v>
      </c>
      <c r="D95">
        <v>774282345.494367</v>
      </c>
      <c r="E95">
        <v>786713699</v>
      </c>
      <c r="F95">
        <v>775671468.79999995</v>
      </c>
      <c r="G95">
        <v>763668620.5</v>
      </c>
      <c r="H95">
        <v>752041335.89999998</v>
      </c>
      <c r="I95">
        <v>743898624.60000002</v>
      </c>
      <c r="J95">
        <v>735562860</v>
      </c>
      <c r="K95">
        <v>725016030.20000005</v>
      </c>
      <c r="L95">
        <v>712031828.10000002</v>
      </c>
      <c r="M95">
        <v>698938282.29999995</v>
      </c>
      <c r="N95">
        <v>688091765</v>
      </c>
      <c r="O95">
        <v>682191874.79999995</v>
      </c>
      <c r="P95">
        <v>678311002.20000005</v>
      </c>
      <c r="Q95">
        <v>672611590.79999995</v>
      </c>
      <c r="R95">
        <v>660323893.70000005</v>
      </c>
      <c r="S95">
        <v>645949269.10000002</v>
      </c>
      <c r="T95">
        <v>628962392.70000005</v>
      </c>
      <c r="U95">
        <v>612057619.79999995</v>
      </c>
      <c r="V95">
        <v>594210484.89999998</v>
      </c>
      <c r="W95">
        <v>574247843.5</v>
      </c>
      <c r="X95">
        <v>552813074.10000002</v>
      </c>
      <c r="Y95">
        <v>530774684.30000001</v>
      </c>
      <c r="Z95">
        <v>509456978.10000002</v>
      </c>
      <c r="AA95">
        <v>489458652.10000002</v>
      </c>
      <c r="AB95">
        <v>470939522.30000001</v>
      </c>
      <c r="AC95">
        <v>453022878.19999999</v>
      </c>
      <c r="AD95">
        <v>435180293.80000001</v>
      </c>
      <c r="AE95">
        <v>418099177.5</v>
      </c>
      <c r="AF95">
        <v>402029656.39999998</v>
      </c>
      <c r="AG95">
        <v>386940802.80000001</v>
      </c>
      <c r="AH95">
        <v>372873564.60000002</v>
      </c>
      <c r="AI95">
        <v>359861133.19999999</v>
      </c>
      <c r="AJ95">
        <v>347803344.89999998</v>
      </c>
      <c r="AK95">
        <v>336637478.19999999</v>
      </c>
      <c r="AL95">
        <v>326275492.5</v>
      </c>
      <c r="AM95">
        <v>316297510.80000001</v>
      </c>
      <c r="AN95">
        <v>306739095.10000002</v>
      </c>
      <c r="AO95">
        <v>297631351</v>
      </c>
      <c r="AP95">
        <v>288899718.60000002</v>
      </c>
      <c r="AQ95">
        <v>280514187.39999998</v>
      </c>
      <c r="AR95">
        <v>272474115.89999998</v>
      </c>
      <c r="AS95">
        <v>264738034.90000001</v>
      </c>
      <c r="AT95">
        <v>257170197</v>
      </c>
      <c r="AU95">
        <v>249752444.80000001</v>
      </c>
      <c r="AV95">
        <v>242487643.30000001</v>
      </c>
      <c r="AW95">
        <v>235409597.69999999</v>
      </c>
    </row>
    <row r="96" spans="2:99" x14ac:dyDescent="0.25">
      <c r="B96" t="s">
        <v>196</v>
      </c>
      <c r="C96">
        <v>399231640.45290101</v>
      </c>
      <c r="D96">
        <v>405641433.57550502</v>
      </c>
      <c r="E96">
        <v>412154138</v>
      </c>
      <c r="F96">
        <v>406636351.10000002</v>
      </c>
      <c r="G96">
        <v>399947568.69999999</v>
      </c>
      <c r="H96">
        <v>393077986.5</v>
      </c>
      <c r="I96">
        <v>388073553.69999999</v>
      </c>
      <c r="J96">
        <v>382848156</v>
      </c>
      <c r="K96">
        <v>376062459.60000002</v>
      </c>
      <c r="L96">
        <v>367749165.80000001</v>
      </c>
      <c r="M96">
        <v>359349951.60000002</v>
      </c>
      <c r="N96">
        <v>352311583.80000001</v>
      </c>
      <c r="O96">
        <v>348096202.30000001</v>
      </c>
      <c r="P96">
        <v>345206877</v>
      </c>
      <c r="Q96">
        <v>341307848.39999998</v>
      </c>
      <c r="R96">
        <v>333908639.60000002</v>
      </c>
      <c r="S96">
        <v>325213772.19999999</v>
      </c>
      <c r="T96">
        <v>315305855.39999998</v>
      </c>
      <c r="U96">
        <v>305252288.60000002</v>
      </c>
      <c r="V96">
        <v>294840545.10000002</v>
      </c>
      <c r="W96">
        <v>283403033.19999999</v>
      </c>
      <c r="X96">
        <v>271125932.89999998</v>
      </c>
      <c r="Y96">
        <v>258595775.80000001</v>
      </c>
      <c r="Z96">
        <v>246539757.09999999</v>
      </c>
      <c r="AA96">
        <v>235288048.80000001</v>
      </c>
      <c r="AB96">
        <v>224875157</v>
      </c>
      <c r="AC96">
        <v>214852145.40000001</v>
      </c>
      <c r="AD96">
        <v>204922514.5</v>
      </c>
      <c r="AE96">
        <v>195413198</v>
      </c>
      <c r="AF96">
        <v>186490186.90000001</v>
      </c>
      <c r="AG96">
        <v>178122034.69999999</v>
      </c>
      <c r="AH96">
        <v>170313494.69999999</v>
      </c>
      <c r="AI96">
        <v>163069633.59999999</v>
      </c>
      <c r="AJ96">
        <v>156345352</v>
      </c>
      <c r="AK96">
        <v>150116623</v>
      </c>
      <c r="AL96">
        <v>144334745.5</v>
      </c>
      <c r="AM96">
        <v>138806505.30000001</v>
      </c>
      <c r="AN96">
        <v>133555436.59999999</v>
      </c>
      <c r="AO96">
        <v>128563765.2</v>
      </c>
      <c r="AP96">
        <v>123793059.3</v>
      </c>
      <c r="AQ96">
        <v>119226473.90000001</v>
      </c>
      <c r="AR96">
        <v>114861154.5</v>
      </c>
      <c r="AS96">
        <v>110677817.8</v>
      </c>
      <c r="AT96">
        <v>106616563.40000001</v>
      </c>
      <c r="AU96">
        <v>102667007.2</v>
      </c>
      <c r="AV96">
        <v>98828068.019999996</v>
      </c>
      <c r="AW96">
        <v>95111551.239999995</v>
      </c>
    </row>
    <row r="97" spans="2:49" x14ac:dyDescent="0.25">
      <c r="B97" t="s">
        <v>197</v>
      </c>
      <c r="C97">
        <v>182970972.649156</v>
      </c>
      <c r="D97">
        <v>185908630.79867601</v>
      </c>
      <c r="E97">
        <v>188893454</v>
      </c>
      <c r="F97">
        <v>180354717.80000001</v>
      </c>
      <c r="G97">
        <v>171803238.80000001</v>
      </c>
      <c r="H97">
        <v>163512640.40000001</v>
      </c>
      <c r="I97">
        <v>156365187.09999999</v>
      </c>
      <c r="J97">
        <v>149438861.09999999</v>
      </c>
      <c r="K97">
        <v>142211047.90000001</v>
      </c>
      <c r="L97">
        <v>134637213.40000001</v>
      </c>
      <c r="M97">
        <v>127377137.7</v>
      </c>
      <c r="N97">
        <v>120954179.8</v>
      </c>
      <c r="O97">
        <v>115813808.59999999</v>
      </c>
      <c r="P97">
        <v>111307341.40000001</v>
      </c>
      <c r="Q97">
        <v>106679818.3</v>
      </c>
      <c r="R97">
        <v>101029000.5</v>
      </c>
      <c r="S97">
        <v>95259774.459999904</v>
      </c>
      <c r="T97">
        <v>89346742.890000001</v>
      </c>
      <c r="U97">
        <v>83768396.439999998</v>
      </c>
      <c r="V97">
        <v>78348080.209999904</v>
      </c>
      <c r="W97">
        <v>72930730.650000006</v>
      </c>
      <c r="X97">
        <v>67633860.060000002</v>
      </c>
      <c r="Y97">
        <v>62576433.840000004</v>
      </c>
      <c r="Z97">
        <v>57924934.799999997</v>
      </c>
      <c r="AA97">
        <v>53719704.109999999</v>
      </c>
      <c r="AB97">
        <v>49935973.609999999</v>
      </c>
      <c r="AC97">
        <v>46419553.420000002</v>
      </c>
      <c r="AD97">
        <v>43093360.82</v>
      </c>
      <c r="AE97">
        <v>40036238.270000003</v>
      </c>
      <c r="AF97">
        <v>37261978.240000002</v>
      </c>
      <c r="AG97">
        <v>34748319.82</v>
      </c>
      <c r="AH97">
        <v>32480946.940000001</v>
      </c>
      <c r="AI97">
        <v>30441280.539999999</v>
      </c>
      <c r="AJ97">
        <v>28606387.800000001</v>
      </c>
      <c r="AK97">
        <v>26961124.98</v>
      </c>
      <c r="AL97">
        <v>25480797.710000001</v>
      </c>
      <c r="AM97">
        <v>24115110.789999999</v>
      </c>
      <c r="AN97">
        <v>22866897.030000001</v>
      </c>
      <c r="AO97">
        <v>21725771.73</v>
      </c>
      <c r="AP97">
        <v>20677181.170000002</v>
      </c>
      <c r="AQ97">
        <v>19711572.23</v>
      </c>
      <c r="AR97">
        <v>18823241.43</v>
      </c>
      <c r="AS97">
        <v>18001416.41</v>
      </c>
      <c r="AT97">
        <v>17225016.48</v>
      </c>
      <c r="AU97">
        <v>16488773.07</v>
      </c>
      <c r="AV97">
        <v>15790491.67</v>
      </c>
      <c r="AW97">
        <v>15132310.439999999</v>
      </c>
    </row>
    <row r="98" spans="2:49" x14ac:dyDescent="0.25">
      <c r="B98" t="s">
        <v>198</v>
      </c>
      <c r="C98">
        <v>61.608374519870097</v>
      </c>
      <c r="D98">
        <v>61.608374519870097</v>
      </c>
      <c r="E98">
        <v>62.598023359999999</v>
      </c>
      <c r="F98">
        <v>62.939309889999997</v>
      </c>
      <c r="G98">
        <v>64.068371560000003</v>
      </c>
      <c r="H98">
        <v>64.824520070000005</v>
      </c>
      <c r="I98">
        <v>67.725103579999995</v>
      </c>
      <c r="J98">
        <v>68.650710599999996</v>
      </c>
      <c r="K98">
        <v>69.597406910000004</v>
      </c>
      <c r="L98">
        <v>69.935115769999996</v>
      </c>
      <c r="M98">
        <v>75.18986606</v>
      </c>
      <c r="N98">
        <v>80.518371500000001</v>
      </c>
      <c r="O98">
        <v>87.667345170000004</v>
      </c>
      <c r="P98">
        <v>95.199830809999995</v>
      </c>
      <c r="Q98">
        <v>107.18463850000001</v>
      </c>
      <c r="R98">
        <v>107.51212599999999</v>
      </c>
      <c r="S98">
        <v>107.3099892</v>
      </c>
      <c r="T98">
        <v>107.47145949999999</v>
      </c>
      <c r="U98">
        <v>108.00309780000001</v>
      </c>
      <c r="V98">
        <v>109.3173276</v>
      </c>
      <c r="W98">
        <v>110.23676500000001</v>
      </c>
      <c r="X98">
        <v>112.002979</v>
      </c>
      <c r="Y98">
        <v>111.2019256</v>
      </c>
      <c r="Z98">
        <v>110.4887506</v>
      </c>
      <c r="AA98">
        <v>109.9118795</v>
      </c>
      <c r="AB98">
        <v>127.3012253</v>
      </c>
      <c r="AC98">
        <v>146.0603452</v>
      </c>
      <c r="AD98">
        <v>153.1469524</v>
      </c>
      <c r="AE98">
        <v>160.19476</v>
      </c>
      <c r="AF98">
        <v>167.42545620000001</v>
      </c>
      <c r="AG98">
        <v>173.85806769999999</v>
      </c>
      <c r="AH98">
        <v>180.2258569</v>
      </c>
      <c r="AI98">
        <v>181.6181445</v>
      </c>
      <c r="AJ98">
        <v>183.04008870000001</v>
      </c>
      <c r="AK98">
        <v>184.5388907</v>
      </c>
      <c r="AL98">
        <v>182.60586090000001</v>
      </c>
      <c r="AM98">
        <v>180.38632759999999</v>
      </c>
      <c r="AN98">
        <v>189.4089621</v>
      </c>
      <c r="AO98">
        <v>198.7431666</v>
      </c>
      <c r="AP98">
        <v>208.61398349999999</v>
      </c>
      <c r="AQ98">
        <v>219.30374190000001</v>
      </c>
      <c r="AR98">
        <v>231.11625509999999</v>
      </c>
      <c r="AS98">
        <v>235.94453909999999</v>
      </c>
      <c r="AT98">
        <v>240.7907209</v>
      </c>
      <c r="AU98">
        <v>245.55202800000001</v>
      </c>
      <c r="AV98">
        <v>250.17711700000001</v>
      </c>
      <c r="AW98">
        <v>254.61899539999999</v>
      </c>
    </row>
    <row r="99" spans="2:49" x14ac:dyDescent="0.25">
      <c r="B99" t="s">
        <v>507</v>
      </c>
      <c r="C99">
        <v>61.608374519870097</v>
      </c>
      <c r="D99">
        <v>61.608374519870097</v>
      </c>
      <c r="E99">
        <v>62.598023359999999</v>
      </c>
      <c r="F99">
        <v>62.939309889999997</v>
      </c>
      <c r="G99">
        <v>64.068371560000003</v>
      </c>
      <c r="H99">
        <v>64.824520070000005</v>
      </c>
      <c r="I99">
        <v>67.725103579999995</v>
      </c>
      <c r="J99">
        <v>68.650710599999996</v>
      </c>
      <c r="K99">
        <v>69.597406910000004</v>
      </c>
      <c r="L99">
        <v>69.935115769999996</v>
      </c>
      <c r="M99">
        <v>75.18986606</v>
      </c>
      <c r="N99">
        <v>80.518371500000001</v>
      </c>
      <c r="O99">
        <v>87.667345170000004</v>
      </c>
      <c r="P99">
        <v>95.199830809999995</v>
      </c>
      <c r="Q99">
        <v>107.18463850000001</v>
      </c>
      <c r="R99">
        <v>107.51212599999999</v>
      </c>
      <c r="S99">
        <v>107.3099892</v>
      </c>
      <c r="T99">
        <v>107.47145949999999</v>
      </c>
      <c r="U99">
        <v>108.00309780000001</v>
      </c>
      <c r="V99">
        <v>108.9380742</v>
      </c>
      <c r="W99">
        <v>109.3959189</v>
      </c>
      <c r="X99">
        <v>110.60803439999999</v>
      </c>
      <c r="Y99">
        <v>108.91558209999999</v>
      </c>
      <c r="Z99">
        <v>107.1836637</v>
      </c>
      <c r="AA99">
        <v>105.5158132</v>
      </c>
      <c r="AB99">
        <v>103.8939736</v>
      </c>
      <c r="AC99">
        <v>102.3126505</v>
      </c>
      <c r="AD99">
        <v>100.9779145</v>
      </c>
      <c r="AE99">
        <v>99.663506139999996</v>
      </c>
      <c r="AF99">
        <v>98.380779410000002</v>
      </c>
      <c r="AG99">
        <v>97.137561610000006</v>
      </c>
      <c r="AH99">
        <v>95.913783820000006</v>
      </c>
      <c r="AI99">
        <v>94.684841809999995</v>
      </c>
      <c r="AJ99">
        <v>93.479094439999997</v>
      </c>
      <c r="AK99">
        <v>92.305124190000001</v>
      </c>
      <c r="AL99">
        <v>91.161744119999994</v>
      </c>
      <c r="AM99">
        <v>90.050609840000007</v>
      </c>
      <c r="AN99">
        <v>90.543650819999996</v>
      </c>
      <c r="AO99">
        <v>91.202990349999894</v>
      </c>
      <c r="AP99">
        <v>92.039315880000004</v>
      </c>
      <c r="AQ99">
        <v>93.141850919999996</v>
      </c>
      <c r="AR99">
        <v>94.511172860000002</v>
      </c>
      <c r="AS99">
        <v>94.858449899999997</v>
      </c>
      <c r="AT99">
        <v>95.332494319999995</v>
      </c>
      <c r="AU99">
        <v>95.924907110000007</v>
      </c>
      <c r="AV99">
        <v>96.618325040000002</v>
      </c>
      <c r="AW99">
        <v>97.428600810000006</v>
      </c>
    </row>
    <row r="100" spans="2:49" x14ac:dyDescent="0.25">
      <c r="B100" t="s">
        <v>199</v>
      </c>
      <c r="C100">
        <v>0.96116878123798499</v>
      </c>
      <c r="D100">
        <v>0.98039215686274495</v>
      </c>
      <c r="E100">
        <v>0.98317713419999997</v>
      </c>
      <c r="F100">
        <v>0.98331774569999997</v>
      </c>
      <c r="G100">
        <v>0.98791959409999996</v>
      </c>
      <c r="H100">
        <v>1.0015336990000001</v>
      </c>
      <c r="I100">
        <v>0.99840335979999995</v>
      </c>
      <c r="J100">
        <v>0.9934094564</v>
      </c>
      <c r="K100">
        <v>0.99089961839999996</v>
      </c>
      <c r="L100">
        <v>0.99649687980000001</v>
      </c>
      <c r="M100">
        <v>1.0051154360000001</v>
      </c>
      <c r="N100">
        <v>1.0164009169999999</v>
      </c>
      <c r="O100">
        <v>1.0247800460000001</v>
      </c>
      <c r="P100">
        <v>1.0317159709999999</v>
      </c>
      <c r="Q100">
        <v>1.044488361</v>
      </c>
      <c r="R100">
        <v>1.0680567050000001</v>
      </c>
      <c r="S100">
        <v>1.0881509659999999</v>
      </c>
      <c r="T100">
        <v>1.108745469</v>
      </c>
      <c r="U100">
        <v>1.1295050579999999</v>
      </c>
      <c r="V100">
        <v>1.1507095279999999</v>
      </c>
      <c r="W100">
        <v>1.1728087439999999</v>
      </c>
      <c r="X100">
        <v>1.1950776890000001</v>
      </c>
      <c r="Y100">
        <v>1.220364217</v>
      </c>
      <c r="Z100">
        <v>1.2459109690000001</v>
      </c>
      <c r="AA100">
        <v>1.272092005</v>
      </c>
      <c r="AB100">
        <v>1.300225798</v>
      </c>
      <c r="AC100">
        <v>1.3292923750000001</v>
      </c>
      <c r="AD100">
        <v>1.3583773560000001</v>
      </c>
      <c r="AE100">
        <v>1.3877098800000001</v>
      </c>
      <c r="AF100">
        <v>1.4175752420000001</v>
      </c>
      <c r="AG100">
        <v>1.4481013089999999</v>
      </c>
      <c r="AH100">
        <v>1.4790689299999999</v>
      </c>
      <c r="AI100">
        <v>1.5104498689999999</v>
      </c>
      <c r="AJ100">
        <v>1.54245901</v>
      </c>
      <c r="AK100">
        <v>1.57546937</v>
      </c>
      <c r="AL100">
        <v>1.6087614969999999</v>
      </c>
      <c r="AM100">
        <v>1.64307812</v>
      </c>
      <c r="AN100">
        <v>1.678226464</v>
      </c>
      <c r="AO100">
        <v>1.713570872</v>
      </c>
      <c r="AP100">
        <v>1.7501214039999999</v>
      </c>
      <c r="AQ100">
        <v>1.7876075709999999</v>
      </c>
      <c r="AR100">
        <v>1.825693539</v>
      </c>
      <c r="AS100">
        <v>1.864575936</v>
      </c>
      <c r="AT100">
        <v>1.904163813</v>
      </c>
      <c r="AU100">
        <v>1.9444217290000001</v>
      </c>
      <c r="AV100">
        <v>1.9853499649999999</v>
      </c>
      <c r="AW100">
        <v>2.0272201929999998</v>
      </c>
    </row>
    <row r="101" spans="2:49" x14ac:dyDescent="0.25">
      <c r="B101" t="s">
        <v>508</v>
      </c>
      <c r="C101">
        <v>0.96116878123798499</v>
      </c>
      <c r="D101">
        <v>0.98039215686274495</v>
      </c>
      <c r="E101">
        <v>0.98317713419999997</v>
      </c>
      <c r="F101">
        <v>0.98331774569999997</v>
      </c>
      <c r="G101">
        <v>0.98791959409999996</v>
      </c>
      <c r="H101">
        <v>1.0015336990000001</v>
      </c>
      <c r="I101">
        <v>0.99840335979999995</v>
      </c>
      <c r="J101">
        <v>0.9934094564</v>
      </c>
      <c r="K101">
        <v>0.99089961839999996</v>
      </c>
      <c r="L101">
        <v>0.99649687980000001</v>
      </c>
      <c r="M101">
        <v>1.0051154360000001</v>
      </c>
      <c r="N101">
        <v>1.0164009169999999</v>
      </c>
      <c r="O101">
        <v>1.0247800460000001</v>
      </c>
      <c r="P101">
        <v>1.0317159709999999</v>
      </c>
      <c r="Q101">
        <v>1.044488361</v>
      </c>
      <c r="R101">
        <v>1.0680567050000001</v>
      </c>
      <c r="S101">
        <v>1.0881509659999999</v>
      </c>
      <c r="T101">
        <v>1.108745469</v>
      </c>
      <c r="U101">
        <v>1.1295050579999999</v>
      </c>
      <c r="V101">
        <v>1.150804369</v>
      </c>
      <c r="W101">
        <v>1.172312547</v>
      </c>
      <c r="X101">
        <v>1.193980501</v>
      </c>
      <c r="Y101">
        <v>1.218126574</v>
      </c>
      <c r="Z101">
        <v>1.2427682920000001</v>
      </c>
      <c r="AA101">
        <v>1.2677529199999999</v>
      </c>
      <c r="AB101">
        <v>1.293075175</v>
      </c>
      <c r="AC101">
        <v>1.318772528</v>
      </c>
      <c r="AD101">
        <v>1.344953678</v>
      </c>
      <c r="AE101">
        <v>1.371622479</v>
      </c>
      <c r="AF101">
        <v>1.398838292</v>
      </c>
      <c r="AG101">
        <v>1.42670326</v>
      </c>
      <c r="AH101">
        <v>1.455172632</v>
      </c>
      <c r="AI101">
        <v>1.484335556</v>
      </c>
      <c r="AJ101">
        <v>1.5141072870000001</v>
      </c>
      <c r="AK101">
        <v>1.5444956080000001</v>
      </c>
      <c r="AL101">
        <v>1.5754679659999999</v>
      </c>
      <c r="AM101">
        <v>1.607032448</v>
      </c>
      <c r="AN101">
        <v>1.6388717749999999</v>
      </c>
      <c r="AO101">
        <v>1.6713005489999999</v>
      </c>
      <c r="AP101">
        <v>1.7043257510000001</v>
      </c>
      <c r="AQ101">
        <v>1.737987792</v>
      </c>
      <c r="AR101">
        <v>1.772260086</v>
      </c>
      <c r="AS101">
        <v>1.807029639</v>
      </c>
      <c r="AT101">
        <v>1.842462563</v>
      </c>
      <c r="AU101">
        <v>1.878572651</v>
      </c>
      <c r="AV101">
        <v>1.9153399259999999</v>
      </c>
      <c r="AW101">
        <v>1.953052784</v>
      </c>
    </row>
    <row r="102" spans="2:49" x14ac:dyDescent="0.25">
      <c r="B102" t="s">
        <v>509</v>
      </c>
      <c r="C102">
        <v>0</v>
      </c>
      <c r="D102" s="39">
        <v>0</v>
      </c>
      <c r="E102" s="39">
        <v>0</v>
      </c>
      <c r="F102" s="39">
        <v>0</v>
      </c>
      <c r="G102" s="39">
        <v>0</v>
      </c>
      <c r="H102" s="39">
        <v>0</v>
      </c>
      <c r="I102" s="39">
        <v>0</v>
      </c>
      <c r="J102" s="39">
        <v>0</v>
      </c>
      <c r="K102" s="39">
        <v>0</v>
      </c>
      <c r="L102" s="39">
        <v>0</v>
      </c>
      <c r="M102" s="39">
        <v>0</v>
      </c>
      <c r="N102" s="39">
        <v>0</v>
      </c>
      <c r="O102" s="39">
        <v>0</v>
      </c>
      <c r="P102" s="39">
        <v>0</v>
      </c>
      <c r="Q102" s="39">
        <v>0</v>
      </c>
      <c r="R102" s="39">
        <v>0</v>
      </c>
      <c r="S102" s="39">
        <v>0</v>
      </c>
      <c r="T102" s="39">
        <v>0</v>
      </c>
      <c r="U102" s="39">
        <v>0</v>
      </c>
      <c r="V102" s="39">
        <v>5.8988852527708198E-2</v>
      </c>
      <c r="W102">
        <v>9.7304557173449796E-2</v>
      </c>
      <c r="X102">
        <v>2.6581278009007999E-2</v>
      </c>
      <c r="Y102">
        <v>0.49296792982138599</v>
      </c>
      <c r="Z102">
        <v>0.86877418855433297</v>
      </c>
      <c r="AA102">
        <v>1.10026649092689</v>
      </c>
      <c r="AB102">
        <v>1.2171827568719</v>
      </c>
      <c r="AC102">
        <v>1.2354656444487799</v>
      </c>
      <c r="AD102">
        <v>1.4822098236319099</v>
      </c>
      <c r="AE102">
        <v>1.59934996337185</v>
      </c>
      <c r="AF102">
        <v>1.6516128837077999</v>
      </c>
      <c r="AG102" s="39">
        <v>1.6018227605894</v>
      </c>
      <c r="AH102" s="39">
        <v>1.4779835144617699</v>
      </c>
      <c r="AI102">
        <v>1.48570878559803</v>
      </c>
      <c r="AJ102">
        <v>1.4874957777405</v>
      </c>
      <c r="AK102">
        <v>1.4290575858113701</v>
      </c>
      <c r="AL102" s="39">
        <v>1.42470157337186</v>
      </c>
      <c r="AM102">
        <v>1.35553517907509</v>
      </c>
      <c r="AN102">
        <v>1.4331964517579401</v>
      </c>
      <c r="AO102">
        <v>1.54436413544161</v>
      </c>
      <c r="AP102">
        <v>1.58833809276075</v>
      </c>
      <c r="AQ102">
        <v>1.6356742334266701</v>
      </c>
      <c r="AR102">
        <v>1.6306883491892401</v>
      </c>
      <c r="AS102">
        <v>1.54740580168313</v>
      </c>
      <c r="AT102">
        <v>1.5163571712314401</v>
      </c>
      <c r="AU102">
        <v>1.49955625969506</v>
      </c>
      <c r="AV102">
        <v>1.4886803929174699</v>
      </c>
      <c r="AW102">
        <v>1.4369641144890499</v>
      </c>
    </row>
    <row r="103" spans="2:49" x14ac:dyDescent="0.25">
      <c r="B103" t="s">
        <v>510</v>
      </c>
      <c r="C103" s="39">
        <v>0</v>
      </c>
      <c r="D103" s="39">
        <v>0</v>
      </c>
      <c r="E103" s="39">
        <v>0</v>
      </c>
      <c r="F103" s="39">
        <v>0</v>
      </c>
      <c r="G103" s="39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T103" s="39">
        <v>0</v>
      </c>
      <c r="U103" s="39">
        <v>0</v>
      </c>
      <c r="V103" s="39">
        <v>3.4185333464353797E-2</v>
      </c>
      <c r="W103" s="39">
        <v>0.62643898650187602</v>
      </c>
      <c r="X103">
        <v>0.61067709102406997</v>
      </c>
      <c r="Y103">
        <v>0.59692010195913003</v>
      </c>
      <c r="Z103">
        <v>0.97953080004886595</v>
      </c>
      <c r="AA103">
        <v>1.2587070092981101</v>
      </c>
      <c r="AB103">
        <v>1.3786541178595499</v>
      </c>
      <c r="AC103">
        <v>1.3537191965720501</v>
      </c>
      <c r="AD103">
        <v>1.48302612551267</v>
      </c>
      <c r="AE103">
        <v>1.7584401109185399</v>
      </c>
      <c r="AF103">
        <v>1.83840697832011</v>
      </c>
      <c r="AG103">
        <v>1.8409627031512099</v>
      </c>
      <c r="AH103">
        <v>1.7999753954817299</v>
      </c>
      <c r="AI103">
        <v>1.6249539061049301</v>
      </c>
      <c r="AJ103">
        <v>1.5582937575806</v>
      </c>
      <c r="AK103">
        <v>1.39293519676155</v>
      </c>
      <c r="AL103">
        <v>1.3117555424681799</v>
      </c>
      <c r="AM103">
        <v>1.17836444530774</v>
      </c>
      <c r="AN103">
        <v>1.1939413649431001</v>
      </c>
      <c r="AO103">
        <v>1.3390566857601001</v>
      </c>
      <c r="AP103">
        <v>1.3873348035867199</v>
      </c>
      <c r="AQ103">
        <v>1.42112471886148</v>
      </c>
      <c r="AR103">
        <v>1.4833382878091701</v>
      </c>
      <c r="AS103">
        <v>1.47769458511983</v>
      </c>
      <c r="AT103">
        <v>1.43856431932107</v>
      </c>
      <c r="AU103">
        <v>1.42951823892034</v>
      </c>
      <c r="AV103">
        <v>1.43067304027619</v>
      </c>
      <c r="AW103">
        <v>1.3324191404413499</v>
      </c>
    </row>
    <row r="104" spans="2:49" x14ac:dyDescent="0.25">
      <c r="B104" t="s">
        <v>511</v>
      </c>
      <c r="C104">
        <v>0</v>
      </c>
      <c r="D104" s="39">
        <v>0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9">
        <v>0</v>
      </c>
      <c r="P104" s="39">
        <v>0</v>
      </c>
      <c r="Q104" s="39">
        <v>0</v>
      </c>
      <c r="R104" s="39">
        <v>0</v>
      </c>
      <c r="S104" s="39">
        <v>0</v>
      </c>
      <c r="T104">
        <v>0</v>
      </c>
      <c r="U104">
        <v>0</v>
      </c>
      <c r="V104">
        <v>0.47006887724270202</v>
      </c>
      <c r="W104">
        <v>-0.42486850728112802</v>
      </c>
      <c r="X104">
        <v>-0.84635060077108404</v>
      </c>
      <c r="Y104">
        <v>0.80809745744701</v>
      </c>
      <c r="Z104">
        <v>1.5598593747129601</v>
      </c>
      <c r="AA104">
        <v>1.9923793426245</v>
      </c>
      <c r="AB104">
        <v>2.2015322120929999</v>
      </c>
      <c r="AC104">
        <v>2.2686925818126298</v>
      </c>
      <c r="AD104">
        <v>4.0089929619736102</v>
      </c>
      <c r="AE104">
        <v>4.27043840735403</v>
      </c>
      <c r="AF104">
        <v>4.4122689892090499</v>
      </c>
      <c r="AG104">
        <v>4.5300827848427403</v>
      </c>
      <c r="AH104">
        <v>4.5311055745831297</v>
      </c>
      <c r="AI104">
        <v>5.2788222516882</v>
      </c>
      <c r="AJ104">
        <v>5.4605529367299699</v>
      </c>
      <c r="AK104">
        <v>5.4860621762862403</v>
      </c>
      <c r="AL104">
        <v>5.7180535924886202</v>
      </c>
      <c r="AM104" s="39">
        <v>5.5489815228071402</v>
      </c>
      <c r="AN104">
        <v>6.3389198381889704</v>
      </c>
      <c r="AO104">
        <v>6.6716997591306004</v>
      </c>
      <c r="AP104">
        <v>6.7633702405034999</v>
      </c>
      <c r="AQ104">
        <v>6.9358640498307498</v>
      </c>
      <c r="AR104">
        <v>6.6190932755771401</v>
      </c>
      <c r="AS104">
        <v>5.8876230899611803</v>
      </c>
      <c r="AT104">
        <v>5.9248232817154101</v>
      </c>
      <c r="AU104">
        <v>5.9795033414269101</v>
      </c>
      <c r="AV104">
        <v>6.0401844808497698</v>
      </c>
      <c r="AW104" s="39">
        <v>6.0466959235186302</v>
      </c>
    </row>
    <row r="105" spans="2:49" x14ac:dyDescent="0.25">
      <c r="B105" t="s">
        <v>512</v>
      </c>
      <c r="C105" s="39">
        <v>0</v>
      </c>
      <c r="D105" s="39">
        <v>0</v>
      </c>
      <c r="E105" s="39">
        <v>0</v>
      </c>
      <c r="F105" s="39">
        <v>0</v>
      </c>
      <c r="G105" s="39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T105" s="39">
        <v>0</v>
      </c>
      <c r="U105" s="39">
        <v>0</v>
      </c>
      <c r="V105" s="39">
        <v>1.39567119135097E-3</v>
      </c>
      <c r="W105" s="39">
        <v>-1.8063713731808399E-3</v>
      </c>
      <c r="X105" s="39">
        <v>-2.6410516270502999E-3</v>
      </c>
      <c r="Y105">
        <v>-2.9723177157225899E-2</v>
      </c>
      <c r="Z105">
        <v>-6.3982294465547707E-2</v>
      </c>
      <c r="AA105">
        <v>-0.110554668060081</v>
      </c>
      <c r="AB105">
        <v>-0.17605281813658499</v>
      </c>
      <c r="AC105">
        <v>-0.26644488885817502</v>
      </c>
      <c r="AD105" s="39">
        <v>-0.31532333210430002</v>
      </c>
      <c r="AE105" s="39">
        <v>-0.36820555243001202</v>
      </c>
      <c r="AF105" s="39">
        <v>-0.43052331923092402</v>
      </c>
      <c r="AG105" s="39">
        <v>-0.74352668393570198</v>
      </c>
      <c r="AH105">
        <v>-1.0502183226716499</v>
      </c>
      <c r="AI105" s="39">
        <v>-1.13522409542684</v>
      </c>
      <c r="AJ105" s="39">
        <v>-1.21641933120172</v>
      </c>
      <c r="AK105" s="39">
        <v>-1.3090653284538201</v>
      </c>
      <c r="AL105" s="39">
        <v>-1.38582832891712</v>
      </c>
      <c r="AM105" s="39">
        <v>-1.4724710869122499</v>
      </c>
      <c r="AN105" s="39">
        <v>-1.5677664723990701</v>
      </c>
      <c r="AO105">
        <v>-1.6469228859127001</v>
      </c>
      <c r="AP105">
        <v>-1.74196409891898</v>
      </c>
      <c r="AQ105">
        <v>-1.8420346031584001</v>
      </c>
      <c r="AR105">
        <v>-1.93925756856444</v>
      </c>
      <c r="AS105">
        <v>-2.0483014102732402</v>
      </c>
      <c r="AT105">
        <v>-2.1558401623106</v>
      </c>
      <c r="AU105">
        <v>-2.2604684944117301</v>
      </c>
      <c r="AV105">
        <v>-2.36226094704727</v>
      </c>
      <c r="AW105">
        <v>-2.4600987586904202</v>
      </c>
    </row>
    <row r="106" spans="2:49" x14ac:dyDescent="0.25">
      <c r="B106" t="s">
        <v>513</v>
      </c>
      <c r="C106">
        <v>0</v>
      </c>
      <c r="D106" s="39">
        <v>0</v>
      </c>
      <c r="E106" s="39">
        <v>0</v>
      </c>
      <c r="F106" s="39">
        <v>0</v>
      </c>
      <c r="G106" s="39">
        <v>0</v>
      </c>
      <c r="H106" s="39">
        <v>0</v>
      </c>
      <c r="I106" s="39">
        <v>0</v>
      </c>
      <c r="J106" s="39">
        <v>0</v>
      </c>
      <c r="K106" s="39">
        <v>0</v>
      </c>
      <c r="L106" s="39">
        <v>0</v>
      </c>
      <c r="M106" s="39">
        <v>0</v>
      </c>
      <c r="N106" s="39">
        <v>0</v>
      </c>
      <c r="O106" s="39">
        <v>0</v>
      </c>
      <c r="P106" s="39">
        <v>0</v>
      </c>
      <c r="Q106" s="39">
        <v>0</v>
      </c>
      <c r="R106" s="39">
        <v>0</v>
      </c>
      <c r="S106" s="39">
        <v>0</v>
      </c>
      <c r="T106" s="39">
        <v>0</v>
      </c>
      <c r="U106">
        <v>0</v>
      </c>
      <c r="V106" s="39">
        <v>0.11657989941706801</v>
      </c>
      <c r="W106" s="39">
        <v>0.59572308486042203</v>
      </c>
      <c r="X106">
        <v>0.57070941855026303</v>
      </c>
      <c r="Y106">
        <v>-0.103456461352935</v>
      </c>
      <c r="Z106">
        <v>-0.25443751235024697</v>
      </c>
      <c r="AA106">
        <v>-0.31123367094251198</v>
      </c>
      <c r="AB106">
        <v>-0.42381602393656298</v>
      </c>
      <c r="AC106">
        <v>-0.58114042294127299</v>
      </c>
      <c r="AD106">
        <v>-0.29929917710984599</v>
      </c>
      <c r="AE106">
        <v>-0.103353429085528</v>
      </c>
      <c r="AF106">
        <v>-0.116341628190108</v>
      </c>
      <c r="AG106">
        <v>-0.211037030152849</v>
      </c>
      <c r="AH106">
        <v>-0.207008359503879</v>
      </c>
      <c r="AI106">
        <v>-0.23940467124453599</v>
      </c>
      <c r="AJ106">
        <v>-0.35103587715618001</v>
      </c>
      <c r="AK106">
        <v>-0.53879260130430495</v>
      </c>
      <c r="AL106">
        <v>-0.62653144720340403</v>
      </c>
      <c r="AM106">
        <v>-0.817680851573376</v>
      </c>
      <c r="AN106">
        <v>-0.73474903362367106</v>
      </c>
      <c r="AO106">
        <v>-0.74079198361982601</v>
      </c>
      <c r="AP106">
        <v>-0.84610967888244504</v>
      </c>
      <c r="AQ106">
        <v>-0.95155262273323105</v>
      </c>
      <c r="AR106">
        <v>-1.0926672957494701</v>
      </c>
      <c r="AS106">
        <v>-1.32919726976263</v>
      </c>
      <c r="AT106">
        <v>-1.3943643720082901</v>
      </c>
      <c r="AU106">
        <v>-1.4396871482011899</v>
      </c>
      <c r="AV106">
        <v>-1.47977499503702</v>
      </c>
      <c r="AW106">
        <v>-1.5848866354872</v>
      </c>
    </row>
    <row r="107" spans="2:49" x14ac:dyDescent="0.25">
      <c r="B107" t="s">
        <v>514</v>
      </c>
      <c r="C107">
        <v>0</v>
      </c>
      <c r="D107" s="39">
        <v>0</v>
      </c>
      <c r="E107" s="39">
        <v>0</v>
      </c>
      <c r="F107" s="39">
        <v>0</v>
      </c>
      <c r="G107" s="39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>
        <v>0</v>
      </c>
      <c r="V107" s="39">
        <v>-4.2862884329628703E-2</v>
      </c>
      <c r="W107" s="39">
        <v>-0.21933262318932401</v>
      </c>
      <c r="X107">
        <v>-0.19885303055301301</v>
      </c>
      <c r="Y107">
        <v>0.10327154114477501</v>
      </c>
      <c r="Z107" s="39">
        <v>0.18330825789580599</v>
      </c>
      <c r="AA107">
        <v>0.21300049387270201</v>
      </c>
      <c r="AB107">
        <v>0.28943981675622998</v>
      </c>
      <c r="AC107">
        <v>0.37097523268732702</v>
      </c>
      <c r="AD107">
        <v>0.28280410567187098</v>
      </c>
      <c r="AE107">
        <v>0.20784892531337301</v>
      </c>
      <c r="AF107">
        <v>0.20351913795229201</v>
      </c>
      <c r="AG107">
        <v>0.136186233099581</v>
      </c>
      <c r="AH107" s="39">
        <v>2.19695280121848E-2</v>
      </c>
      <c r="AI107" s="39">
        <v>-3.25751768255402E-3</v>
      </c>
      <c r="AJ107">
        <v>-5.5963001774697596E-4</v>
      </c>
      <c r="AK107" s="39">
        <v>2.6070409534416299E-2</v>
      </c>
      <c r="AL107">
        <v>1.46536994802347E-2</v>
      </c>
      <c r="AM107">
        <v>4.3334976594131602E-2</v>
      </c>
      <c r="AN107">
        <v>-1.24546286306904E-2</v>
      </c>
      <c r="AO107">
        <v>-3.5728531482510199E-2</v>
      </c>
      <c r="AP107">
        <v>-2.32902526132505E-2</v>
      </c>
      <c r="AQ107">
        <v>-1.60877048667421E-2</v>
      </c>
      <c r="AR107">
        <v>-7.7072293685961901E-4</v>
      </c>
      <c r="AS107">
        <v>5.7997060797328102E-2</v>
      </c>
      <c r="AT107">
        <v>5.5819655503367503E-2</v>
      </c>
      <c r="AU107">
        <v>4.6753628120162899E-2</v>
      </c>
      <c r="AV107">
        <v>3.6069903366642897E-2</v>
      </c>
      <c r="AW107">
        <v>4.9156199088192597E-2</v>
      </c>
    </row>
    <row r="108" spans="2:49" x14ac:dyDescent="0.25">
      <c r="B108" t="s">
        <v>515</v>
      </c>
      <c r="C108" s="39">
        <v>0</v>
      </c>
      <c r="D108" s="39">
        <v>0</v>
      </c>
      <c r="E108" s="39">
        <v>0</v>
      </c>
      <c r="F108" s="39">
        <v>0</v>
      </c>
      <c r="G108" s="39">
        <v>0</v>
      </c>
      <c r="H108" s="39">
        <v>0</v>
      </c>
      <c r="I108" s="39">
        <v>0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39">
        <v>-1.05307099999993E-2</v>
      </c>
      <c r="W108" s="39">
        <v>2.84252000000012E-3</v>
      </c>
      <c r="X108">
        <v>5.8343469999999599E-2</v>
      </c>
      <c r="Y108">
        <v>-1.23976400000003E-2</v>
      </c>
      <c r="Z108">
        <v>-0.230339029999999</v>
      </c>
      <c r="AA108">
        <v>-0.39061746000000003</v>
      </c>
      <c r="AB108">
        <v>-0.44231582000000003</v>
      </c>
      <c r="AC108">
        <v>-0.43241232000000002</v>
      </c>
      <c r="AD108" s="39">
        <v>-0.46427338000000001</v>
      </c>
      <c r="AE108">
        <v>-0.54384955999999895</v>
      </c>
      <c r="AF108">
        <v>-0.59044481000000004</v>
      </c>
      <c r="AG108">
        <v>-0.604001749999999</v>
      </c>
      <c r="AH108">
        <v>-0.59233800999999997</v>
      </c>
      <c r="AI108">
        <v>-0.58706594000000001</v>
      </c>
      <c r="AJ108">
        <v>-0.60655939999999997</v>
      </c>
      <c r="AK108" s="39">
        <v>-0.61943724</v>
      </c>
      <c r="AL108">
        <v>-0.60229339999999998</v>
      </c>
      <c r="AM108" s="39">
        <v>-0.60147762000000005</v>
      </c>
      <c r="AN108" s="39">
        <v>-0.60880057999999904</v>
      </c>
      <c r="AO108">
        <v>-0.64425778</v>
      </c>
      <c r="AP108">
        <v>-0.70272000999999995</v>
      </c>
      <c r="AQ108">
        <v>-0.73317447999999896</v>
      </c>
      <c r="AR108">
        <v>-0.74471122999999995</v>
      </c>
      <c r="AS108" s="39">
        <v>-0.72811148000000003</v>
      </c>
      <c r="AT108" s="39">
        <v>-0.69788795999999997</v>
      </c>
      <c r="AU108">
        <v>-0.68233612999999904</v>
      </c>
      <c r="AV108">
        <v>-0.67663816999999904</v>
      </c>
      <c r="AW108">
        <v>-0.66723912999999901</v>
      </c>
    </row>
    <row r="109" spans="2:49" x14ac:dyDescent="0.25">
      <c r="B109" t="s">
        <v>516</v>
      </c>
      <c r="C109" s="39">
        <v>0</v>
      </c>
      <c r="D109" s="39">
        <v>0</v>
      </c>
      <c r="E109" s="39">
        <v>0</v>
      </c>
      <c r="F109" s="39">
        <v>0</v>
      </c>
      <c r="G109" s="39">
        <v>0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39">
        <v>0</v>
      </c>
      <c r="U109" s="39">
        <v>0</v>
      </c>
      <c r="V109" s="39">
        <v>1.7253028410002501E-2</v>
      </c>
      <c r="W109" s="39">
        <v>-4.6569105073168702E-3</v>
      </c>
      <c r="X109">
        <v>-9.5571775944025494E-2</v>
      </c>
      <c r="Y109">
        <v>2.0319454419159801E-2</v>
      </c>
      <c r="Z109">
        <v>0.37803450561049101</v>
      </c>
      <c r="AA109">
        <v>0.64174641203216198</v>
      </c>
      <c r="AB109">
        <v>0.72699633067510006</v>
      </c>
      <c r="AC109">
        <v>0.71078787159888301</v>
      </c>
      <c r="AD109">
        <v>0.76331620101361897</v>
      </c>
      <c r="AE109">
        <v>0.89435739466472397</v>
      </c>
      <c r="AF109">
        <v>0.970967455409255</v>
      </c>
      <c r="AG109">
        <v>0.99315373339645596</v>
      </c>
      <c r="AH109">
        <v>0.97375810358766302</v>
      </c>
      <c r="AI109">
        <v>0.96493478342540795</v>
      </c>
      <c r="AJ109">
        <v>0.99704785662133499</v>
      </c>
      <c r="AK109">
        <v>1.01827968411019</v>
      </c>
      <c r="AL109">
        <v>0.99001253001311795</v>
      </c>
      <c r="AM109">
        <v>0.98864516925496404</v>
      </c>
      <c r="AN109">
        <v>1.0007381733312599</v>
      </c>
      <c r="AO109">
        <v>1.0593016578597401</v>
      </c>
      <c r="AP109">
        <v>1.1558837827658099</v>
      </c>
      <c r="AQ109">
        <v>1.2063007851248</v>
      </c>
      <c r="AR109">
        <v>1.2254893354165499</v>
      </c>
      <c r="AS109">
        <v>1.1982180331416601</v>
      </c>
      <c r="AT109">
        <v>1.1484384001633601</v>
      </c>
      <c r="AU109">
        <v>1.12285693359757</v>
      </c>
      <c r="AV109">
        <v>1.11352107001831</v>
      </c>
      <c r="AW109">
        <v>1.09796757990692</v>
      </c>
    </row>
    <row r="110" spans="2:49" x14ac:dyDescent="0.25">
      <c r="B110" t="s">
        <v>517</v>
      </c>
      <c r="C110" s="39">
        <v>0</v>
      </c>
      <c r="D110" s="39">
        <v>0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0</v>
      </c>
      <c r="T110" s="39">
        <v>0</v>
      </c>
      <c r="U110" s="39">
        <v>0</v>
      </c>
      <c r="V110" s="39">
        <v>2.42604658465372E-2</v>
      </c>
      <c r="W110">
        <v>-8.03898408547776E-2</v>
      </c>
      <c r="X110">
        <v>-0.14294110691160899</v>
      </c>
      <c r="Y110">
        <v>3.0232905823579501E-2</v>
      </c>
      <c r="Z110">
        <v>0.16072753883846699</v>
      </c>
      <c r="AA110">
        <v>0.40213019180990101</v>
      </c>
      <c r="AB110">
        <v>0.64870749362730895</v>
      </c>
      <c r="AC110">
        <v>0.86110439887510104</v>
      </c>
      <c r="AD110">
        <v>1.1211150506093599</v>
      </c>
      <c r="AE110">
        <v>1.26935055505887</v>
      </c>
      <c r="AF110">
        <v>1.43483335708225</v>
      </c>
      <c r="AG110">
        <v>1.58116283254583</v>
      </c>
      <c r="AH110">
        <v>1.6695137592034499</v>
      </c>
      <c r="AI110">
        <v>1.78267275696395</v>
      </c>
      <c r="AJ110">
        <v>1.8448159831105</v>
      </c>
      <c r="AK110">
        <v>1.8823841296132999</v>
      </c>
      <c r="AL110">
        <v>1.97730170554055</v>
      </c>
      <c r="AM110">
        <v>1.9867965508733401</v>
      </c>
      <c r="AN110" s="39">
        <v>2.0497816425145401</v>
      </c>
      <c r="AO110">
        <v>2.1403376266016099</v>
      </c>
      <c r="AP110">
        <v>2.1840415212753799</v>
      </c>
      <c r="AQ110">
        <v>2.2871407016972798</v>
      </c>
      <c r="AR110">
        <v>2.38596062252229</v>
      </c>
      <c r="AS110">
        <v>2.4413158006180802</v>
      </c>
      <c r="AT110">
        <v>2.4918312274134702</v>
      </c>
      <c r="AU110">
        <v>2.5111947287993401</v>
      </c>
      <c r="AV110">
        <v>2.5187481765682702</v>
      </c>
      <c r="AW110">
        <v>2.5126806209372101</v>
      </c>
    </row>
    <row r="111" spans="2:49" x14ac:dyDescent="0.25">
      <c r="B111" t="s">
        <v>518</v>
      </c>
      <c r="C111" s="39">
        <v>0</v>
      </c>
      <c r="D111" s="39">
        <v>0</v>
      </c>
      <c r="E111" s="39">
        <v>0</v>
      </c>
      <c r="F111" s="39">
        <v>0</v>
      </c>
      <c r="G111" s="39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-1.3438700000000301E-4</v>
      </c>
      <c r="W111" s="39">
        <v>1.1726268E-3</v>
      </c>
      <c r="X111" s="39">
        <v>6.8738049999999705E-4</v>
      </c>
      <c r="Y111" s="39">
        <v>-1.7453139999999999E-4</v>
      </c>
      <c r="Z111" s="39">
        <v>1.0885680000000099E-4</v>
      </c>
      <c r="AA111" s="39">
        <v>5.9506449999999905E-4</v>
      </c>
      <c r="AB111" s="39">
        <v>1.910431E-3</v>
      </c>
      <c r="AC111" s="39">
        <v>2.33752099999999E-3</v>
      </c>
      <c r="AD111" s="39">
        <v>1.8352793999999899E-3</v>
      </c>
      <c r="AE111" s="39">
        <v>1.8032677999999999E-3</v>
      </c>
      <c r="AF111" s="39">
        <v>1.5954928999999899E-3</v>
      </c>
      <c r="AG111" s="39">
        <v>1.5678106E-3</v>
      </c>
      <c r="AH111" s="39">
        <v>1.5385072E-3</v>
      </c>
      <c r="AI111" s="39">
        <v>1.0339254999999999E-3</v>
      </c>
      <c r="AJ111" s="39">
        <v>1.0423228999999999E-3</v>
      </c>
      <c r="AK111" s="39">
        <v>1.2887319999999999E-3</v>
      </c>
      <c r="AL111" s="39">
        <v>1.0741177999999999E-3</v>
      </c>
      <c r="AM111" s="39">
        <v>1.3027964999999999E-3</v>
      </c>
      <c r="AN111" s="39">
        <v>1.434409E-3</v>
      </c>
      <c r="AO111" s="39">
        <v>1.09636889999999E-3</v>
      </c>
      <c r="AP111" s="39">
        <v>1.4024212999999999E-3</v>
      </c>
      <c r="AQ111" s="39">
        <v>1.5481764E-3</v>
      </c>
      <c r="AR111" s="39">
        <v>1.5449992999999899E-3</v>
      </c>
      <c r="AS111" s="39">
        <v>1.50525359999999E-3</v>
      </c>
      <c r="AT111" s="39">
        <v>1.4103466999999901E-3</v>
      </c>
      <c r="AU111" s="39">
        <v>1.3266876E-3</v>
      </c>
      <c r="AV111" s="39">
        <v>1.2608515999999899E-3</v>
      </c>
      <c r="AW111" s="39">
        <v>1.1699144999999999E-3</v>
      </c>
    </row>
    <row r="112" spans="2:49" x14ac:dyDescent="0.25">
      <c r="B112" t="s">
        <v>519</v>
      </c>
      <c r="C112" s="39">
        <v>0</v>
      </c>
      <c r="D112" s="39">
        <v>0</v>
      </c>
      <c r="E112" s="39">
        <v>0</v>
      </c>
      <c r="F112" s="39">
        <v>0</v>
      </c>
      <c r="G112" s="39">
        <v>0</v>
      </c>
      <c r="H112" s="39">
        <v>0</v>
      </c>
      <c r="I112" s="39">
        <v>0</v>
      </c>
      <c r="J112" s="39">
        <v>0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39">
        <v>0</v>
      </c>
      <c r="Q112" s="39">
        <v>0</v>
      </c>
      <c r="R112" s="39">
        <v>0</v>
      </c>
      <c r="S112" s="39">
        <v>0</v>
      </c>
      <c r="T112" s="39">
        <v>0</v>
      </c>
      <c r="U112" s="39">
        <v>0</v>
      </c>
      <c r="V112" s="39">
        <v>-1.3438710000000101E-4</v>
      </c>
      <c r="W112" s="39">
        <v>1.1726268999999901E-3</v>
      </c>
      <c r="X112" s="39">
        <v>6.8738060000000196E-4</v>
      </c>
      <c r="Y112" s="39">
        <v>-1.7453139999999999E-4</v>
      </c>
      <c r="Z112" s="39">
        <v>1.0885680000000099E-4</v>
      </c>
      <c r="AA112" s="39">
        <v>5.9506450000000198E-4</v>
      </c>
      <c r="AB112" s="39">
        <v>1.910431E-3</v>
      </c>
      <c r="AC112" s="39">
        <v>2.337521E-3</v>
      </c>
      <c r="AD112" s="39">
        <v>1.8352794999999999E-3</v>
      </c>
      <c r="AE112" s="39">
        <v>1.80326789999999E-3</v>
      </c>
      <c r="AF112" s="39">
        <v>1.5954928000000001E-3</v>
      </c>
      <c r="AG112" s="39">
        <v>1.56781049999999E-3</v>
      </c>
      <c r="AH112" s="39">
        <v>1.5385072E-3</v>
      </c>
      <c r="AI112" s="39">
        <v>1.03392549999999E-3</v>
      </c>
      <c r="AJ112" s="39">
        <v>1.0423229999999999E-3</v>
      </c>
      <c r="AK112" s="39">
        <v>1.2887319999999899E-3</v>
      </c>
      <c r="AL112" s="39">
        <v>1.0741177999999999E-3</v>
      </c>
      <c r="AM112" s="39">
        <v>1.30279659999999E-3</v>
      </c>
      <c r="AN112" s="39">
        <v>1.43440899999999E-3</v>
      </c>
      <c r="AO112" s="39">
        <v>1.0963688E-3</v>
      </c>
      <c r="AP112" s="39">
        <v>1.40242129999999E-3</v>
      </c>
      <c r="AQ112" s="39">
        <v>1.5481764E-3</v>
      </c>
      <c r="AR112" s="39">
        <v>1.5449992999999899E-3</v>
      </c>
      <c r="AS112" s="39">
        <v>1.50525359999999E-3</v>
      </c>
      <c r="AT112" s="39">
        <v>1.4103467000000001E-3</v>
      </c>
      <c r="AU112" s="39">
        <v>1.3266876E-3</v>
      </c>
      <c r="AV112" s="39">
        <v>1.2608516999999999E-3</v>
      </c>
      <c r="AW112" s="39">
        <v>1.1699144999999999E-3</v>
      </c>
    </row>
    <row r="113" spans="2:50" x14ac:dyDescent="0.25">
      <c r="B113" t="s">
        <v>520</v>
      </c>
      <c r="C113">
        <v>0</v>
      </c>
      <c r="D113" s="39">
        <v>0</v>
      </c>
      <c r="E113" s="39">
        <v>0</v>
      </c>
      <c r="F113" s="39">
        <v>0</v>
      </c>
      <c r="G113" s="39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T113">
        <v>0</v>
      </c>
      <c r="U113" s="39">
        <v>0</v>
      </c>
      <c r="V113">
        <v>-5.7429505754824597E-2</v>
      </c>
      <c r="W113">
        <v>-3.2311427421838297E-2</v>
      </c>
      <c r="X113">
        <v>0.20767072214680199</v>
      </c>
      <c r="Y113">
        <v>-0.21349649276716201</v>
      </c>
      <c r="Z113">
        <v>-0.75888955609744102</v>
      </c>
      <c r="AA113">
        <v>-1.31491264376817</v>
      </c>
      <c r="AB113">
        <v>-1.9158598990428299</v>
      </c>
      <c r="AC113">
        <v>-2.3671060914872899</v>
      </c>
      <c r="AD113">
        <v>-3.0190252695426301</v>
      </c>
      <c r="AE113">
        <v>-3.5129617524137702</v>
      </c>
      <c r="AF113">
        <v>-3.9051551966148699</v>
      </c>
      <c r="AG113">
        <v>-4.1051954874168803</v>
      </c>
      <c r="AH113">
        <v>-4.0939921504521397</v>
      </c>
      <c r="AI113">
        <v>-4.1863676012689801</v>
      </c>
      <c r="AJ113">
        <v>-4.2693683821176398</v>
      </c>
      <c r="AK113">
        <v>-4.3428836741339998</v>
      </c>
      <c r="AL113">
        <v>-4.3731275178919402</v>
      </c>
      <c r="AM113">
        <v>-4.3826608930596</v>
      </c>
      <c r="AN113">
        <v>-4.7162357890962996</v>
      </c>
      <c r="AO113">
        <v>-5.0472625244923197</v>
      </c>
      <c r="AP113">
        <v>-5.4429642719237901</v>
      </c>
      <c r="AQ113">
        <v>-5.8933365775912296</v>
      </c>
      <c r="AR113">
        <v>-6.23759930355736</v>
      </c>
      <c r="AS113">
        <v>-6.4136927923130296</v>
      </c>
      <c r="AT113">
        <v>-6.64215663861855</v>
      </c>
      <c r="AU113">
        <v>-6.8736529306601097</v>
      </c>
      <c r="AV113">
        <v>-7.1098095923819198</v>
      </c>
      <c r="AW113">
        <v>-7.22980844862699</v>
      </c>
    </row>
    <row r="114" spans="2:50" x14ac:dyDescent="0.25">
      <c r="B114" t="s">
        <v>521</v>
      </c>
      <c r="C114" s="39">
        <v>0</v>
      </c>
      <c r="D114" s="39">
        <v>0</v>
      </c>
      <c r="E114" s="39">
        <v>0</v>
      </c>
      <c r="F114" s="39">
        <v>0</v>
      </c>
      <c r="G114" s="39">
        <v>0</v>
      </c>
      <c r="H114" s="39">
        <v>0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T114" s="39">
        <v>0</v>
      </c>
      <c r="U114" s="39">
        <v>0</v>
      </c>
      <c r="V114" s="39">
        <v>-4.4437699999996796E-3</v>
      </c>
      <c r="W114">
        <v>0.11868993999999899</v>
      </c>
      <c r="X114" s="39">
        <v>0.21570399999999901</v>
      </c>
      <c r="Y114">
        <v>0.22151694999999799</v>
      </c>
      <c r="Z114">
        <v>-2.93954000000013E-2</v>
      </c>
      <c r="AA114">
        <v>-0.19010724000000001</v>
      </c>
      <c r="AB114">
        <v>-0.23004728999999999</v>
      </c>
      <c r="AC114">
        <v>-0.16779989000000001</v>
      </c>
      <c r="AD114">
        <v>-0.13280528999999999</v>
      </c>
      <c r="AE114">
        <v>-0.18856163000000001</v>
      </c>
      <c r="AF114">
        <v>-0.19322567000000099</v>
      </c>
      <c r="AG114">
        <v>-0.16003315999999901</v>
      </c>
      <c r="AH114">
        <v>-8.9864159999999901E-2</v>
      </c>
      <c r="AI114">
        <v>-3.5746409999999597E-2</v>
      </c>
      <c r="AJ114">
        <v>-4.1863789999998999E-2</v>
      </c>
      <c r="AK114">
        <v>-9.7166580000000696E-2</v>
      </c>
      <c r="AL114">
        <v>-7.7124799999994604E-3</v>
      </c>
      <c r="AM114">
        <v>-5.6004049999999701E-2</v>
      </c>
      <c r="AN114">
        <v>-7.7404409999999493E-2</v>
      </c>
      <c r="AO114">
        <v>-7.28254299999994E-2</v>
      </c>
      <c r="AP114">
        <v>-0.20509790999999999</v>
      </c>
      <c r="AQ114">
        <v>-0.24048596999999899</v>
      </c>
      <c r="AR114">
        <v>-0.25132283999999899</v>
      </c>
      <c r="AS114">
        <v>-0.21993487</v>
      </c>
      <c r="AT114">
        <v>-0.18135123</v>
      </c>
      <c r="AU114">
        <v>-0.17246432</v>
      </c>
      <c r="AV114">
        <v>-0.17880942</v>
      </c>
      <c r="AW114">
        <v>-0.17117007000000101</v>
      </c>
    </row>
    <row r="115" spans="2:50" x14ac:dyDescent="0.25">
      <c r="B115" s="40" t="s">
        <v>486</v>
      </c>
      <c r="C115">
        <v>96.864644472622402</v>
      </c>
      <c r="D115">
        <v>98.419837671387299</v>
      </c>
      <c r="E115">
        <v>100.02655005707101</v>
      </c>
      <c r="F115">
        <v>99.861437062967099</v>
      </c>
      <c r="G115">
        <v>95.245321229953603</v>
      </c>
      <c r="H115">
        <v>90.521531109545805</v>
      </c>
      <c r="I115">
        <v>89.190861986538096</v>
      </c>
      <c r="J115">
        <v>86.924835370855902</v>
      </c>
      <c r="K115">
        <v>83.556728023553703</v>
      </c>
      <c r="L115">
        <v>81.349052139066004</v>
      </c>
      <c r="M115">
        <v>80.439550871033205</v>
      </c>
      <c r="N115">
        <v>80.268161474278699</v>
      </c>
      <c r="O115">
        <v>78.0523684516955</v>
      </c>
      <c r="P115">
        <v>76.099560631430705</v>
      </c>
      <c r="Q115">
        <v>73.084904834898197</v>
      </c>
      <c r="R115">
        <v>71.092384405828696</v>
      </c>
      <c r="S115">
        <v>69.125071994246497</v>
      </c>
      <c r="T115">
        <v>67.892227539177298</v>
      </c>
      <c r="U115">
        <v>66.664759133561802</v>
      </c>
      <c r="V115">
        <v>65.257719873899504</v>
      </c>
      <c r="W115">
        <v>62.976829838352003</v>
      </c>
      <c r="X115">
        <v>60.3173648456075</v>
      </c>
      <c r="Y115">
        <v>57.728821901639101</v>
      </c>
      <c r="Z115">
        <v>55.308300760290997</v>
      </c>
      <c r="AA115">
        <v>52.969133534218798</v>
      </c>
      <c r="AB115">
        <v>50.617147397480203</v>
      </c>
      <c r="AC115">
        <v>48.3258409107777</v>
      </c>
      <c r="AD115">
        <v>45.251148147724301</v>
      </c>
      <c r="AE115">
        <v>42.271486061832803</v>
      </c>
      <c r="AF115">
        <v>39.295725398607999</v>
      </c>
      <c r="AG115">
        <v>36.815870202722401</v>
      </c>
      <c r="AH115">
        <v>34.378004603029503</v>
      </c>
      <c r="AI115">
        <v>31.855851943175601</v>
      </c>
      <c r="AJ115">
        <v>29.371864186899</v>
      </c>
      <c r="AK115">
        <v>26.885215700531401</v>
      </c>
      <c r="AL115">
        <v>25.453012543161499</v>
      </c>
      <c r="AM115">
        <v>23.879484256102302</v>
      </c>
      <c r="AN115">
        <v>22.125202963751999</v>
      </c>
      <c r="AO115">
        <v>20.375506407532701</v>
      </c>
      <c r="AP115">
        <v>18.583195582367299</v>
      </c>
      <c r="AQ115">
        <v>16.762172633112101</v>
      </c>
      <c r="AR115">
        <v>14.8617969068119</v>
      </c>
      <c r="AS115">
        <v>14.6412115568576</v>
      </c>
      <c r="AT115">
        <v>14.4333353127059</v>
      </c>
      <c r="AU115">
        <v>14.227782500734801</v>
      </c>
      <c r="AV115">
        <v>14.023715834302701</v>
      </c>
      <c r="AW115">
        <v>13.8252375007184</v>
      </c>
      <c r="AX115">
        <v>9.0244863402317499</v>
      </c>
    </row>
    <row r="116" spans="2:50" x14ac:dyDescent="0.25">
      <c r="B116" t="s">
        <v>522</v>
      </c>
      <c r="C116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39">
        <v>0</v>
      </c>
      <c r="O116" s="39">
        <v>0</v>
      </c>
      <c r="P116" s="39">
        <v>0</v>
      </c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5.8988852527708198E-2</v>
      </c>
      <c r="W116">
        <v>9.7304557173449796E-2</v>
      </c>
      <c r="X116">
        <v>2.6581278009007999E-2</v>
      </c>
      <c r="Y116">
        <v>0.49296792982138599</v>
      </c>
      <c r="Z116">
        <v>0.86877418855433297</v>
      </c>
      <c r="AA116">
        <v>1.10026649092689</v>
      </c>
      <c r="AB116">
        <v>1.2171827568719</v>
      </c>
      <c r="AC116">
        <v>1.2354656444487799</v>
      </c>
      <c r="AD116">
        <v>1.4822098236319099</v>
      </c>
      <c r="AE116">
        <v>1.59934996337185</v>
      </c>
      <c r="AF116">
        <v>1.6516128837077999</v>
      </c>
      <c r="AG116" s="39">
        <v>1.6018227605894</v>
      </c>
      <c r="AH116" s="39">
        <v>1.4779835144617699</v>
      </c>
      <c r="AI116">
        <v>1.48570878559803</v>
      </c>
      <c r="AJ116">
        <v>1.4874957777405</v>
      </c>
      <c r="AK116">
        <v>1.4290575858113701</v>
      </c>
      <c r="AL116" s="39">
        <v>1.42470157337186</v>
      </c>
      <c r="AM116">
        <v>1.35553517907509</v>
      </c>
      <c r="AN116">
        <v>1.4331964517579401</v>
      </c>
      <c r="AO116">
        <v>1.54436413544161</v>
      </c>
      <c r="AP116">
        <v>1.58833809276075</v>
      </c>
      <c r="AQ116">
        <v>1.6356742334266701</v>
      </c>
      <c r="AR116">
        <v>1.6306883491892401</v>
      </c>
      <c r="AS116">
        <v>1.54740580168313</v>
      </c>
      <c r="AT116">
        <v>1.5163571712314401</v>
      </c>
      <c r="AU116">
        <v>1.49955625969506</v>
      </c>
      <c r="AV116">
        <v>1.4886803929174699</v>
      </c>
      <c r="AW116">
        <v>1.4369641144890499</v>
      </c>
    </row>
    <row r="117" spans="2:50" x14ac:dyDescent="0.25">
      <c r="B117" t="s">
        <v>523</v>
      </c>
      <c r="C117" s="39">
        <v>0</v>
      </c>
      <c r="D117" s="39">
        <v>0</v>
      </c>
      <c r="E117" s="39">
        <v>0</v>
      </c>
      <c r="F117" s="39">
        <v>0</v>
      </c>
      <c r="G117" s="39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T117" s="39">
        <v>0</v>
      </c>
      <c r="U117" s="39">
        <v>0</v>
      </c>
      <c r="V117" s="39">
        <v>3.4185333464353797E-2</v>
      </c>
      <c r="W117" s="39">
        <v>0.62643898650187602</v>
      </c>
      <c r="X117">
        <v>0.61067709102406997</v>
      </c>
      <c r="Y117">
        <v>0.59692010195913003</v>
      </c>
      <c r="Z117">
        <v>0.97953080004886595</v>
      </c>
      <c r="AA117">
        <v>1.2587070092981101</v>
      </c>
      <c r="AB117">
        <v>1.3786541178595499</v>
      </c>
      <c r="AC117">
        <v>1.3537191965720501</v>
      </c>
      <c r="AD117">
        <v>1.48302612551267</v>
      </c>
      <c r="AE117">
        <v>1.7584401109185399</v>
      </c>
      <c r="AF117">
        <v>1.83840697832011</v>
      </c>
      <c r="AG117">
        <v>1.8409627031512099</v>
      </c>
      <c r="AH117">
        <v>1.7999753954817299</v>
      </c>
      <c r="AI117">
        <v>1.6249539061049301</v>
      </c>
      <c r="AJ117">
        <v>1.5582937575806</v>
      </c>
      <c r="AK117">
        <v>1.39293519676155</v>
      </c>
      <c r="AL117">
        <v>1.3117555424681799</v>
      </c>
      <c r="AM117">
        <v>1.17836444530774</v>
      </c>
      <c r="AN117">
        <v>1.1939413649431001</v>
      </c>
      <c r="AO117">
        <v>1.3390566857601001</v>
      </c>
      <c r="AP117">
        <v>1.3873348035867199</v>
      </c>
      <c r="AQ117">
        <v>1.42112471886148</v>
      </c>
      <c r="AR117">
        <v>1.4833382878091701</v>
      </c>
      <c r="AS117">
        <v>1.47769458511983</v>
      </c>
      <c r="AT117">
        <v>1.43856431932107</v>
      </c>
      <c r="AU117">
        <v>1.42951823892034</v>
      </c>
      <c r="AV117">
        <v>1.43067304027619</v>
      </c>
      <c r="AW117">
        <v>1.3324191404413499</v>
      </c>
    </row>
    <row r="118" spans="2:50" x14ac:dyDescent="0.25">
      <c r="B118" t="s">
        <v>524</v>
      </c>
      <c r="C118">
        <v>0</v>
      </c>
      <c r="D118" s="39">
        <v>0</v>
      </c>
      <c r="E118" s="39">
        <v>0</v>
      </c>
      <c r="F118" s="39">
        <v>0</v>
      </c>
      <c r="G118" s="39">
        <v>0</v>
      </c>
      <c r="H118" s="39">
        <v>0</v>
      </c>
      <c r="I118" s="39">
        <v>0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0</v>
      </c>
      <c r="R118" s="39">
        <v>0</v>
      </c>
      <c r="S118" s="39">
        <v>0</v>
      </c>
      <c r="T118">
        <v>0</v>
      </c>
      <c r="U118">
        <v>0</v>
      </c>
      <c r="V118">
        <v>0.47006887724270202</v>
      </c>
      <c r="W118">
        <v>-0.42486850728112802</v>
      </c>
      <c r="X118">
        <v>-0.84635060077108404</v>
      </c>
      <c r="Y118">
        <v>0.80809745744701</v>
      </c>
      <c r="Z118">
        <v>1.5598593747129601</v>
      </c>
      <c r="AA118">
        <v>1.9923793426245</v>
      </c>
      <c r="AB118">
        <v>2.2015322120929999</v>
      </c>
      <c r="AC118">
        <v>2.2686925818126298</v>
      </c>
      <c r="AD118">
        <v>4.0089929619736102</v>
      </c>
      <c r="AE118">
        <v>4.27043840735403</v>
      </c>
      <c r="AF118">
        <v>4.4122689892090499</v>
      </c>
      <c r="AG118">
        <v>4.5300827848427403</v>
      </c>
      <c r="AH118">
        <v>4.5311055745831297</v>
      </c>
      <c r="AI118">
        <v>5.2788222516882</v>
      </c>
      <c r="AJ118">
        <v>5.4605529367299699</v>
      </c>
      <c r="AK118">
        <v>5.4860621762862403</v>
      </c>
      <c r="AL118">
        <v>5.7180535924886202</v>
      </c>
      <c r="AM118" s="39">
        <v>5.5489815228071402</v>
      </c>
      <c r="AN118">
        <v>6.3389198381889704</v>
      </c>
      <c r="AO118">
        <v>6.6716997591306004</v>
      </c>
      <c r="AP118">
        <v>6.7633702405034999</v>
      </c>
      <c r="AQ118">
        <v>6.9358640498307498</v>
      </c>
      <c r="AR118">
        <v>6.6190932755771401</v>
      </c>
      <c r="AS118">
        <v>5.8876230899611803</v>
      </c>
      <c r="AT118">
        <v>5.9248232817154101</v>
      </c>
      <c r="AU118">
        <v>5.9795033414269101</v>
      </c>
      <c r="AV118">
        <v>6.0401844808497698</v>
      </c>
      <c r="AW118" s="39">
        <v>6.0466959235186302</v>
      </c>
    </row>
    <row r="119" spans="2:50" x14ac:dyDescent="0.25">
      <c r="B119" t="s">
        <v>525</v>
      </c>
      <c r="C119" s="39">
        <v>0</v>
      </c>
      <c r="D119" s="39">
        <v>0</v>
      </c>
      <c r="E119" s="39">
        <v>0</v>
      </c>
      <c r="F119" s="39">
        <v>0</v>
      </c>
      <c r="G119" s="39">
        <v>0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1.39567119135097E-3</v>
      </c>
      <c r="W119" s="39">
        <v>-1.8063713731808399E-3</v>
      </c>
      <c r="X119" s="39">
        <v>-2.6410516270502999E-3</v>
      </c>
      <c r="Y119">
        <v>-2.9723177157225899E-2</v>
      </c>
      <c r="Z119">
        <v>-6.3982294465547707E-2</v>
      </c>
      <c r="AA119">
        <v>-0.110554668060081</v>
      </c>
      <c r="AB119">
        <v>-0.17605281813658499</v>
      </c>
      <c r="AC119">
        <v>-0.26644488885817502</v>
      </c>
      <c r="AD119" s="39">
        <v>-0.31532333210430002</v>
      </c>
      <c r="AE119" s="39">
        <v>-0.36820555243001202</v>
      </c>
      <c r="AF119" s="39">
        <v>-0.43052331923092402</v>
      </c>
      <c r="AG119" s="39">
        <v>-0.74352668393570198</v>
      </c>
      <c r="AH119">
        <v>-1.0502183226716499</v>
      </c>
      <c r="AI119" s="39">
        <v>-1.13522409542684</v>
      </c>
      <c r="AJ119" s="39">
        <v>-1.21641933120172</v>
      </c>
      <c r="AK119" s="39">
        <v>-1.3090653284538201</v>
      </c>
      <c r="AL119" s="39">
        <v>-1.38582832891712</v>
      </c>
      <c r="AM119" s="39">
        <v>-1.4724710869122499</v>
      </c>
      <c r="AN119" s="39">
        <v>-1.5677664723990701</v>
      </c>
      <c r="AO119">
        <v>-1.6469228859127001</v>
      </c>
      <c r="AP119">
        <v>-1.74196409891898</v>
      </c>
      <c r="AQ119">
        <v>-1.8420346031584001</v>
      </c>
      <c r="AR119">
        <v>-1.93925756856444</v>
      </c>
      <c r="AS119">
        <v>-2.0483014102732402</v>
      </c>
      <c r="AT119">
        <v>-2.1558401623106</v>
      </c>
      <c r="AU119">
        <v>-2.2604684944117301</v>
      </c>
      <c r="AV119">
        <v>-2.36226094704727</v>
      </c>
      <c r="AW119">
        <v>-2.4600987586904202</v>
      </c>
    </row>
    <row r="120" spans="2:50" x14ac:dyDescent="0.25">
      <c r="B120" t="s">
        <v>526</v>
      </c>
      <c r="C120">
        <v>0</v>
      </c>
      <c r="D120" s="39">
        <v>0</v>
      </c>
      <c r="E120" s="39">
        <v>0</v>
      </c>
      <c r="F120" s="39">
        <v>0</v>
      </c>
      <c r="G120" s="39">
        <v>0</v>
      </c>
      <c r="H120" s="39">
        <v>0</v>
      </c>
      <c r="I120" s="39">
        <v>0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9">
        <v>0</v>
      </c>
      <c r="P120" s="39">
        <v>0</v>
      </c>
      <c r="Q120" s="39">
        <v>0</v>
      </c>
      <c r="R120" s="39">
        <v>0</v>
      </c>
      <c r="S120" s="39">
        <v>0</v>
      </c>
      <c r="T120" s="39">
        <v>0</v>
      </c>
      <c r="U120">
        <v>0</v>
      </c>
      <c r="V120" s="39">
        <v>0.11657989941706801</v>
      </c>
      <c r="W120" s="39">
        <v>0.59572308486042203</v>
      </c>
      <c r="X120">
        <v>0.57070941855026303</v>
      </c>
      <c r="Y120">
        <v>-0.103456461352935</v>
      </c>
      <c r="Z120">
        <v>-0.25443751235024697</v>
      </c>
      <c r="AA120">
        <v>-0.31123367094251198</v>
      </c>
      <c r="AB120">
        <v>-0.42381602393656298</v>
      </c>
      <c r="AC120">
        <v>-0.58114042294127299</v>
      </c>
      <c r="AD120">
        <v>-0.29929917710984599</v>
      </c>
      <c r="AE120">
        <v>-0.103353429085528</v>
      </c>
      <c r="AF120">
        <v>-0.116341628190108</v>
      </c>
      <c r="AG120">
        <v>-0.211037030152849</v>
      </c>
      <c r="AH120">
        <v>-0.207008359503879</v>
      </c>
      <c r="AI120">
        <v>-0.23940467124453599</v>
      </c>
      <c r="AJ120">
        <v>-0.35103587715618001</v>
      </c>
      <c r="AK120">
        <v>-0.53879260130430495</v>
      </c>
      <c r="AL120">
        <v>-0.62653144720340403</v>
      </c>
      <c r="AM120">
        <v>-0.817680851573376</v>
      </c>
      <c r="AN120">
        <v>-0.73474903362367106</v>
      </c>
      <c r="AO120">
        <v>-0.74079198361982601</v>
      </c>
      <c r="AP120">
        <v>-0.84610967888244504</v>
      </c>
      <c r="AQ120">
        <v>-0.95155262273323105</v>
      </c>
      <c r="AR120">
        <v>-1.0926672957494701</v>
      </c>
      <c r="AS120">
        <v>-1.32919726976263</v>
      </c>
      <c r="AT120">
        <v>-1.3943643720082901</v>
      </c>
      <c r="AU120">
        <v>-1.4396871482011899</v>
      </c>
      <c r="AV120">
        <v>-1.47977499503702</v>
      </c>
      <c r="AW120">
        <v>-1.5848866354872</v>
      </c>
    </row>
    <row r="121" spans="2:50" x14ac:dyDescent="0.25">
      <c r="B121" t="s">
        <v>527</v>
      </c>
      <c r="C121" s="39">
        <v>0</v>
      </c>
      <c r="D121" s="39">
        <v>0</v>
      </c>
      <c r="E121" s="39">
        <v>0</v>
      </c>
      <c r="F121" s="39">
        <v>0</v>
      </c>
      <c r="G121" s="39">
        <v>0</v>
      </c>
      <c r="H121" s="39">
        <v>0</v>
      </c>
      <c r="I121" s="39">
        <v>0</v>
      </c>
      <c r="J121" s="39">
        <v>0</v>
      </c>
      <c r="K121" s="39">
        <v>0</v>
      </c>
      <c r="L121" s="39">
        <v>0</v>
      </c>
      <c r="M121" s="39">
        <v>0</v>
      </c>
      <c r="N121" s="39">
        <v>0</v>
      </c>
      <c r="O121" s="39">
        <v>0</v>
      </c>
      <c r="P121" s="39">
        <v>0</v>
      </c>
      <c r="Q121" s="39">
        <v>0</v>
      </c>
      <c r="R121" s="39">
        <v>0</v>
      </c>
      <c r="S121" s="39">
        <v>0</v>
      </c>
      <c r="T121" s="39">
        <v>0</v>
      </c>
      <c r="U121" s="39">
        <v>0</v>
      </c>
      <c r="V121" s="39">
        <v>-1.05307099999993E-2</v>
      </c>
      <c r="W121" s="39">
        <v>2.84252000000012E-3</v>
      </c>
      <c r="X121">
        <v>5.8343469999999599E-2</v>
      </c>
      <c r="Y121">
        <v>-1.23976400000003E-2</v>
      </c>
      <c r="Z121">
        <v>-0.230339029999999</v>
      </c>
      <c r="AA121">
        <v>-0.39061746000000003</v>
      </c>
      <c r="AB121">
        <v>-0.44231582000000003</v>
      </c>
      <c r="AC121">
        <v>-0.43241232000000002</v>
      </c>
      <c r="AD121" s="39">
        <v>-0.46427338000000001</v>
      </c>
      <c r="AE121">
        <v>-0.54384955999999895</v>
      </c>
      <c r="AF121">
        <v>-0.59044481000000004</v>
      </c>
      <c r="AG121">
        <v>-0.604001749999999</v>
      </c>
      <c r="AH121">
        <v>-0.59233800999999997</v>
      </c>
      <c r="AI121">
        <v>-0.58706594000000001</v>
      </c>
      <c r="AJ121">
        <v>-0.60655939999999997</v>
      </c>
      <c r="AK121" s="39">
        <v>-0.61943724</v>
      </c>
      <c r="AL121">
        <v>-0.60229339999999998</v>
      </c>
      <c r="AM121" s="39">
        <v>-0.60147762000000005</v>
      </c>
      <c r="AN121" s="39">
        <v>-0.60880057999999904</v>
      </c>
      <c r="AO121">
        <v>-0.64425778</v>
      </c>
      <c r="AP121">
        <v>-0.70272000999999995</v>
      </c>
      <c r="AQ121">
        <v>-0.73317447999999896</v>
      </c>
      <c r="AR121">
        <v>-0.74471122999999995</v>
      </c>
      <c r="AS121" s="39">
        <v>-0.72811148000000003</v>
      </c>
      <c r="AT121" s="39">
        <v>-0.69788795999999997</v>
      </c>
      <c r="AU121">
        <v>-0.68233612999999904</v>
      </c>
      <c r="AV121">
        <v>-0.67663816999999904</v>
      </c>
      <c r="AW121">
        <v>-0.66723912999999901</v>
      </c>
    </row>
    <row r="122" spans="2:50" x14ac:dyDescent="0.25">
      <c r="B122" t="s">
        <v>528</v>
      </c>
      <c r="C122" s="39">
        <v>0</v>
      </c>
      <c r="D122" s="39">
        <v>0</v>
      </c>
      <c r="E122" s="39">
        <v>0</v>
      </c>
      <c r="F122" s="39">
        <v>0</v>
      </c>
      <c r="G122" s="39">
        <v>0</v>
      </c>
      <c r="H122" s="39">
        <v>0</v>
      </c>
      <c r="I122" s="39">
        <v>0</v>
      </c>
      <c r="J122" s="39">
        <v>0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0</v>
      </c>
      <c r="T122" s="39">
        <v>0</v>
      </c>
      <c r="U122" s="39">
        <v>0</v>
      </c>
      <c r="V122" s="39">
        <v>1.7253028410002501E-2</v>
      </c>
      <c r="W122" s="39">
        <v>-4.6569105073168702E-3</v>
      </c>
      <c r="X122">
        <v>-9.5571775944025494E-2</v>
      </c>
      <c r="Y122">
        <v>2.0319454419159801E-2</v>
      </c>
      <c r="Z122">
        <v>0.37803450561049101</v>
      </c>
      <c r="AA122">
        <v>0.64174641203216198</v>
      </c>
      <c r="AB122">
        <v>0.72699633067510006</v>
      </c>
      <c r="AC122">
        <v>0.71078787159888301</v>
      </c>
      <c r="AD122">
        <v>0.76331620101361897</v>
      </c>
      <c r="AE122">
        <v>0.89435739466472397</v>
      </c>
      <c r="AF122">
        <v>0.970967455409255</v>
      </c>
      <c r="AG122">
        <v>0.99315373339645596</v>
      </c>
      <c r="AH122">
        <v>0.97375810358766302</v>
      </c>
      <c r="AI122">
        <v>0.96493478342540795</v>
      </c>
      <c r="AJ122">
        <v>0.99704785662133499</v>
      </c>
      <c r="AK122">
        <v>1.01827968411019</v>
      </c>
      <c r="AL122">
        <v>0.99001253001311795</v>
      </c>
      <c r="AM122">
        <v>0.98864516925496404</v>
      </c>
      <c r="AN122">
        <v>1.0007381733312599</v>
      </c>
      <c r="AO122">
        <v>1.0593016578597401</v>
      </c>
      <c r="AP122">
        <v>1.1558837827658099</v>
      </c>
      <c r="AQ122">
        <v>1.2063007851248</v>
      </c>
      <c r="AR122">
        <v>1.2254893354165499</v>
      </c>
      <c r="AS122">
        <v>1.1982180331416601</v>
      </c>
      <c r="AT122">
        <v>1.1484384001633601</v>
      </c>
      <c r="AU122">
        <v>1.12285693359757</v>
      </c>
      <c r="AV122">
        <v>1.11352107001831</v>
      </c>
      <c r="AW122">
        <v>1.09796757990692</v>
      </c>
    </row>
    <row r="123" spans="2:50" x14ac:dyDescent="0.25">
      <c r="B123" t="s">
        <v>529</v>
      </c>
      <c r="C123" s="39">
        <v>0</v>
      </c>
      <c r="D123" s="39">
        <v>0</v>
      </c>
      <c r="E123" s="39">
        <v>0</v>
      </c>
      <c r="F123" s="39">
        <v>0</v>
      </c>
      <c r="G123" s="39">
        <v>0</v>
      </c>
      <c r="H123" s="39">
        <v>0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T123" s="39">
        <v>0</v>
      </c>
      <c r="U123" s="39">
        <v>0</v>
      </c>
      <c r="V123">
        <v>2.5152386782867301E-2</v>
      </c>
      <c r="W123" s="39">
        <v>-8.4094631799147501E-2</v>
      </c>
      <c r="X123">
        <v>-0.14917055280629901</v>
      </c>
      <c r="Y123">
        <v>3.5578036239902702E-2</v>
      </c>
      <c r="Z123">
        <v>0.169865482853226</v>
      </c>
      <c r="AA123">
        <v>0.41539518100015499</v>
      </c>
      <c r="AB123" s="39">
        <v>0.66777933021826497</v>
      </c>
      <c r="AC123">
        <v>0.885545420236866</v>
      </c>
      <c r="AD123">
        <v>1.15253469027227</v>
      </c>
      <c r="AE123">
        <v>1.30358670762651</v>
      </c>
      <c r="AF123">
        <v>1.4717671401364301</v>
      </c>
      <c r="AG123">
        <v>1.6210261075112</v>
      </c>
      <c r="AH123">
        <v>1.71058914438455</v>
      </c>
      <c r="AI123">
        <v>1.82650048401813</v>
      </c>
      <c r="AJ123">
        <v>1.8907717317866199</v>
      </c>
      <c r="AK123">
        <v>1.9297569896897999</v>
      </c>
      <c r="AL123">
        <v>2.02617243415339</v>
      </c>
      <c r="AM123">
        <v>2.0370070370507798</v>
      </c>
      <c r="AN123">
        <v>2.1026082688865699</v>
      </c>
      <c r="AO123">
        <v>2.19492917868555</v>
      </c>
      <c r="AP123">
        <v>2.2403963443599499</v>
      </c>
      <c r="AQ123">
        <v>2.3453029772074898</v>
      </c>
      <c r="AR123">
        <v>2.44478915963382</v>
      </c>
      <c r="AS123">
        <v>2.5005759839621602</v>
      </c>
      <c r="AT123">
        <v>2.5524214565194598</v>
      </c>
      <c r="AU123">
        <v>2.5731134885132998</v>
      </c>
      <c r="AV123">
        <v>2.58187460922949</v>
      </c>
      <c r="AW123">
        <v>2.5768405445646998</v>
      </c>
    </row>
    <row r="124" spans="2:50" x14ac:dyDescent="0.25">
      <c r="B124" t="s">
        <v>530</v>
      </c>
      <c r="C124" s="39">
        <v>0</v>
      </c>
      <c r="D124" s="39">
        <v>0</v>
      </c>
      <c r="E124" s="39">
        <v>0</v>
      </c>
      <c r="F124" s="39">
        <v>0</v>
      </c>
      <c r="G124" s="39">
        <v>0</v>
      </c>
      <c r="H124" s="39">
        <v>0</v>
      </c>
      <c r="I124" s="39">
        <v>0</v>
      </c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39">
        <v>0</v>
      </c>
      <c r="T124" s="39">
        <v>0</v>
      </c>
      <c r="U124" s="39">
        <v>0</v>
      </c>
      <c r="V124">
        <v>-1.3166058049507399E-2</v>
      </c>
      <c r="W124" s="39">
        <v>0.101715473537389</v>
      </c>
      <c r="X124">
        <v>0.16914558936735799</v>
      </c>
      <c r="Y124">
        <v>0.15200634714436201</v>
      </c>
      <c r="Z124">
        <v>0.16269737530485401</v>
      </c>
      <c r="AA124">
        <v>0.22115629827335001</v>
      </c>
      <c r="AB124">
        <v>0.40897265722505899</v>
      </c>
      <c r="AC124">
        <v>0.6392326752509</v>
      </c>
      <c r="AD124">
        <v>0.820437234236992</v>
      </c>
      <c r="AE124">
        <v>0.99884376211614101</v>
      </c>
      <c r="AF124">
        <v>1.15695315578678</v>
      </c>
      <c r="AG124">
        <v>1.31254141749506</v>
      </c>
      <c r="AH124">
        <v>1.46547803310546</v>
      </c>
      <c r="AI124">
        <v>1.5683685104784499</v>
      </c>
      <c r="AJ124">
        <v>1.6722012729521301</v>
      </c>
      <c r="AK124">
        <v>1.8007118215420399</v>
      </c>
      <c r="AL124">
        <v>1.9079580671746701</v>
      </c>
      <c r="AM124">
        <v>2.0381752172403198</v>
      </c>
      <c r="AN124">
        <v>2.1817197254780698</v>
      </c>
      <c r="AO124">
        <v>2.2915921294919901</v>
      </c>
      <c r="AP124">
        <v>2.4322883442348702</v>
      </c>
      <c r="AQ124">
        <v>2.5878230245358398</v>
      </c>
      <c r="AR124">
        <v>2.74327789417032</v>
      </c>
      <c r="AS124">
        <v>2.89496244352816</v>
      </c>
      <c r="AT124">
        <v>3.0372921173665999</v>
      </c>
      <c r="AU124">
        <v>3.1713646177641701</v>
      </c>
      <c r="AV124">
        <v>3.2989534910759399</v>
      </c>
      <c r="AW124">
        <v>3.4174722790190502</v>
      </c>
    </row>
    <row r="125" spans="2:50" x14ac:dyDescent="0.25">
      <c r="B125" t="s">
        <v>531</v>
      </c>
      <c r="C125" s="39">
        <v>0</v>
      </c>
      <c r="D125" s="39">
        <v>0</v>
      </c>
      <c r="E125" s="39">
        <v>0</v>
      </c>
      <c r="F125" s="39">
        <v>0</v>
      </c>
      <c r="G125" s="39">
        <v>0</v>
      </c>
      <c r="H125" s="39">
        <v>0</v>
      </c>
      <c r="I125" s="39">
        <v>0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T125" s="39">
        <v>0</v>
      </c>
      <c r="U125" s="39">
        <v>0</v>
      </c>
      <c r="V125" s="39">
        <v>-1.34387100000001E-2</v>
      </c>
      <c r="W125">
        <v>0.117262689999999</v>
      </c>
      <c r="X125">
        <v>6.8738060000000198E-2</v>
      </c>
      <c r="Y125">
        <v>-1.7453139999999999E-2</v>
      </c>
      <c r="Z125">
        <v>1.0885680000000101E-2</v>
      </c>
      <c r="AA125">
        <v>5.9506450000000197E-2</v>
      </c>
      <c r="AB125">
        <v>0.19104309999999999</v>
      </c>
      <c r="AC125">
        <v>0.23375209999999999</v>
      </c>
      <c r="AD125">
        <v>0.18352795</v>
      </c>
      <c r="AE125">
        <v>0.18032678999999899</v>
      </c>
      <c r="AF125">
        <v>0.15954927999999999</v>
      </c>
      <c r="AG125">
        <v>0.15678104999999901</v>
      </c>
      <c r="AH125">
        <v>0.15385072</v>
      </c>
      <c r="AI125">
        <v>0.103392549999999</v>
      </c>
      <c r="AJ125">
        <v>0.1042323</v>
      </c>
      <c r="AK125">
        <v>0.12887319999999899</v>
      </c>
      <c r="AL125">
        <v>0.10741178</v>
      </c>
      <c r="AM125">
        <v>0.13027965999999999</v>
      </c>
      <c r="AN125">
        <v>0.14344089999999901</v>
      </c>
      <c r="AO125" s="39">
        <v>0.10963688000000001</v>
      </c>
      <c r="AP125" s="39">
        <v>0.14024212999999899</v>
      </c>
      <c r="AQ125" s="39">
        <v>0.15481764000000001</v>
      </c>
      <c r="AR125">
        <v>0.15449992999999901</v>
      </c>
      <c r="AS125">
        <v>0.150525359999999</v>
      </c>
      <c r="AT125" s="39">
        <v>0.14103467</v>
      </c>
      <c r="AU125">
        <v>0.13266876</v>
      </c>
      <c r="AV125">
        <v>0.12608517</v>
      </c>
      <c r="AW125">
        <v>0.11699145</v>
      </c>
    </row>
    <row r="126" spans="2:50" x14ac:dyDescent="0.25">
      <c r="B126" t="s">
        <v>532</v>
      </c>
      <c r="C126">
        <v>0</v>
      </c>
      <c r="D126" s="39">
        <v>0</v>
      </c>
      <c r="E126" s="39">
        <v>0</v>
      </c>
      <c r="F126" s="39">
        <v>0</v>
      </c>
      <c r="G126" s="39">
        <v>0</v>
      </c>
      <c r="H126" s="39">
        <v>0</v>
      </c>
      <c r="I126" s="39">
        <v>0</v>
      </c>
      <c r="J126" s="39">
        <v>0</v>
      </c>
      <c r="K126" s="39">
        <v>0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T126">
        <v>0</v>
      </c>
      <c r="U126" s="39">
        <v>0</v>
      </c>
      <c r="V126">
        <v>-5.7429505754824597E-2</v>
      </c>
      <c r="W126">
        <v>-3.2311427421838297E-2</v>
      </c>
      <c r="X126">
        <v>0.20767072214680199</v>
      </c>
      <c r="Y126">
        <v>-0.21349649276716201</v>
      </c>
      <c r="Z126">
        <v>-0.75888955609744102</v>
      </c>
      <c r="AA126">
        <v>-1.31491264376817</v>
      </c>
      <c r="AB126">
        <v>-1.9158598990428299</v>
      </c>
      <c r="AC126">
        <v>-2.3671060914872899</v>
      </c>
      <c r="AD126">
        <v>-3.0190252695426301</v>
      </c>
      <c r="AE126">
        <v>-3.5129617524137702</v>
      </c>
      <c r="AF126">
        <v>-3.9051551966148699</v>
      </c>
      <c r="AG126">
        <v>-4.1051954874168803</v>
      </c>
      <c r="AH126">
        <v>-4.0939921504521397</v>
      </c>
      <c r="AI126">
        <v>-4.1863676012689801</v>
      </c>
      <c r="AJ126">
        <v>-4.2693683821176398</v>
      </c>
      <c r="AK126">
        <v>-4.3428836741339998</v>
      </c>
      <c r="AL126">
        <v>-4.3731275178919402</v>
      </c>
      <c r="AM126">
        <v>-4.3826608930596</v>
      </c>
      <c r="AN126">
        <v>-4.7162357890962996</v>
      </c>
      <c r="AO126">
        <v>-5.0472625244923197</v>
      </c>
      <c r="AP126">
        <v>-5.4429642719237901</v>
      </c>
      <c r="AQ126">
        <v>-5.8933365775912296</v>
      </c>
      <c r="AR126">
        <v>-6.23759930355736</v>
      </c>
      <c r="AS126">
        <v>-6.4136927923130296</v>
      </c>
      <c r="AT126">
        <v>-6.64215663861855</v>
      </c>
      <c r="AU126">
        <v>-6.8736529306601097</v>
      </c>
      <c r="AV126">
        <v>-7.1098095923819198</v>
      </c>
      <c r="AW126">
        <v>-7.22980844862699</v>
      </c>
    </row>
    <row r="127" spans="2:50" x14ac:dyDescent="0.25">
      <c r="B127" t="s">
        <v>533</v>
      </c>
      <c r="C127" s="39">
        <v>0</v>
      </c>
      <c r="D127" s="39">
        <v>0</v>
      </c>
      <c r="E127" s="39">
        <v>0</v>
      </c>
      <c r="F127" s="39">
        <v>0</v>
      </c>
      <c r="G127" s="39">
        <v>0</v>
      </c>
      <c r="H127" s="39">
        <v>0</v>
      </c>
      <c r="I127" s="39">
        <v>0</v>
      </c>
      <c r="J127" s="39">
        <v>0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0</v>
      </c>
      <c r="T127" s="39">
        <v>0</v>
      </c>
      <c r="U127" s="39">
        <v>0</v>
      </c>
      <c r="V127" s="39">
        <v>-4.4437699999996796E-3</v>
      </c>
      <c r="W127">
        <v>0.11868993999999899</v>
      </c>
      <c r="X127" s="39">
        <v>0.21570399999999901</v>
      </c>
      <c r="Y127">
        <v>0.22151694999999799</v>
      </c>
      <c r="Z127">
        <v>-2.93954000000013E-2</v>
      </c>
      <c r="AA127">
        <v>-0.19010724000000001</v>
      </c>
      <c r="AB127">
        <v>-0.23004728999999999</v>
      </c>
      <c r="AC127">
        <v>-0.16779989000000001</v>
      </c>
      <c r="AD127">
        <v>-0.13280528999999999</v>
      </c>
      <c r="AE127">
        <v>-0.18856163000000001</v>
      </c>
      <c r="AF127">
        <v>-0.19322567000000099</v>
      </c>
      <c r="AG127">
        <v>-0.16003315999999901</v>
      </c>
      <c r="AH127">
        <v>-8.9864159999999901E-2</v>
      </c>
      <c r="AI127">
        <v>-3.5746409999999597E-2</v>
      </c>
      <c r="AJ127">
        <v>-4.1863789999998999E-2</v>
      </c>
      <c r="AK127">
        <v>-9.7166580000000696E-2</v>
      </c>
      <c r="AL127">
        <v>-7.7124799999994604E-3</v>
      </c>
      <c r="AM127">
        <v>-5.6004049999999701E-2</v>
      </c>
      <c r="AN127">
        <v>-7.7404409999999493E-2</v>
      </c>
      <c r="AO127">
        <v>-7.28254299999994E-2</v>
      </c>
      <c r="AP127">
        <v>-0.20509790999999999</v>
      </c>
      <c r="AQ127">
        <v>-0.24048596999999899</v>
      </c>
      <c r="AR127">
        <v>-0.25132283999999899</v>
      </c>
      <c r="AS127">
        <v>-0.21993487</v>
      </c>
      <c r="AT127">
        <v>-0.18135123</v>
      </c>
      <c r="AU127">
        <v>-0.17246432</v>
      </c>
      <c r="AV127">
        <v>-0.17880942</v>
      </c>
      <c r="AW127">
        <v>-0.17117007000000101</v>
      </c>
    </row>
    <row r="128" spans="2:50" x14ac:dyDescent="0.25">
      <c r="B128" t="s">
        <v>200</v>
      </c>
      <c r="C128">
        <v>97.660265205656799</v>
      </c>
      <c r="D128">
        <v>99.228232352641399</v>
      </c>
      <c r="E128">
        <v>100</v>
      </c>
      <c r="F128">
        <v>103.54296712122699</v>
      </c>
      <c r="G128">
        <v>103.87478440576299</v>
      </c>
      <c r="H128">
        <v>100.501594676247</v>
      </c>
      <c r="I128">
        <v>102.8983657407</v>
      </c>
      <c r="J128">
        <v>105.160227050156</v>
      </c>
      <c r="K128">
        <v>105.710207464739</v>
      </c>
      <c r="L128">
        <v>105.948410344846</v>
      </c>
      <c r="M128">
        <v>107.01920855727499</v>
      </c>
      <c r="N128">
        <v>107.845146750003</v>
      </c>
      <c r="O128">
        <v>109.188607109242</v>
      </c>
      <c r="P128">
        <v>112.161702832774</v>
      </c>
      <c r="Q128">
        <v>114.703681259023</v>
      </c>
      <c r="R128">
        <v>117.185963865875</v>
      </c>
      <c r="S128">
        <v>118.44802711795499</v>
      </c>
      <c r="T128">
        <v>120.096111536007</v>
      </c>
      <c r="U128">
        <v>121.40147305382899</v>
      </c>
      <c r="V128">
        <v>123.60710681627999</v>
      </c>
      <c r="W128">
        <v>125.191727265862</v>
      </c>
      <c r="X128">
        <v>126.137855541359</v>
      </c>
      <c r="Y128">
        <v>127.362590449899</v>
      </c>
      <c r="Z128">
        <v>128.722309301677</v>
      </c>
      <c r="AA128">
        <v>130.03140867968801</v>
      </c>
      <c r="AB128">
        <v>131.22676878196501</v>
      </c>
      <c r="AC128">
        <v>132.347374581054</v>
      </c>
      <c r="AD128">
        <v>133.86546825919399</v>
      </c>
      <c r="AE128">
        <v>135.34213020311901</v>
      </c>
      <c r="AF128">
        <v>136.821200754758</v>
      </c>
      <c r="AG128">
        <v>138.238316315601</v>
      </c>
      <c r="AH128">
        <v>139.72607352937101</v>
      </c>
      <c r="AI128">
        <v>141.50455499346401</v>
      </c>
      <c r="AJ128">
        <v>143.367636432859</v>
      </c>
      <c r="AK128">
        <v>145.24811244893499</v>
      </c>
      <c r="AL128">
        <v>147.28323396562101</v>
      </c>
      <c r="AM128">
        <v>149.26716241629401</v>
      </c>
      <c r="AN128">
        <v>151.47448337553899</v>
      </c>
      <c r="AO128">
        <v>153.82875606852099</v>
      </c>
      <c r="AP128">
        <v>156.09008991631501</v>
      </c>
      <c r="AQ128">
        <v>158.39318744886901</v>
      </c>
      <c r="AR128">
        <v>160.59706283843801</v>
      </c>
      <c r="AS128">
        <v>162.71907027652901</v>
      </c>
      <c r="AT128">
        <v>164.93216877057301</v>
      </c>
      <c r="AU128">
        <v>167.18981825180501</v>
      </c>
      <c r="AV128">
        <v>169.48063662636699</v>
      </c>
      <c r="AW128">
        <v>171.832540260103</v>
      </c>
      <c r="AX128">
        <v>178.52723229718001</v>
      </c>
    </row>
    <row r="129" spans="2:50" x14ac:dyDescent="0.25">
      <c r="B129" t="s">
        <v>534</v>
      </c>
      <c r="C129" s="39">
        <v>0</v>
      </c>
      <c r="D129" s="39">
        <v>0</v>
      </c>
      <c r="E129" s="39">
        <v>0</v>
      </c>
      <c r="F129" s="39">
        <v>0</v>
      </c>
      <c r="G129" s="39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T129" s="39">
        <v>0</v>
      </c>
      <c r="U129" s="39">
        <v>0</v>
      </c>
      <c r="V129" s="39">
        <v>-0.59261737820209803</v>
      </c>
      <c r="W129">
        <v>-3.7457550591469002</v>
      </c>
      <c r="X129">
        <v>-6.9634116986914396</v>
      </c>
      <c r="Y129">
        <v>-10.2466279130524</v>
      </c>
      <c r="Z129">
        <v>-13.7284036261156</v>
      </c>
      <c r="AA129">
        <v>-17.282084884063</v>
      </c>
      <c r="AB129">
        <v>-20.971992811884999</v>
      </c>
      <c r="AC129">
        <v>-24.675170664486</v>
      </c>
      <c r="AD129">
        <v>-29.0669930036712</v>
      </c>
      <c r="AE129">
        <v>-33.368798326924697</v>
      </c>
      <c r="AF129">
        <v>-37.721299811243</v>
      </c>
      <c r="AG129">
        <v>-41.342488728426503</v>
      </c>
      <c r="AH129">
        <v>-44.959451317963797</v>
      </c>
      <c r="AI129">
        <v>-48.854909987854597</v>
      </c>
      <c r="AJ129">
        <v>-52.7350611718986</v>
      </c>
      <c r="AK129">
        <v>-56.660187384701999</v>
      </c>
      <c r="AL129">
        <v>-58.915400647652802</v>
      </c>
      <c r="AM129">
        <v>-61.413954768469097</v>
      </c>
      <c r="AN129">
        <v>-64.130880685150402</v>
      </c>
      <c r="AO129">
        <v>-66.856981595625598</v>
      </c>
      <c r="AP129">
        <v>-69.664767691997596</v>
      </c>
      <c r="AQ129">
        <v>-72.542193041671595</v>
      </c>
      <c r="AR129">
        <v>-75.565279964389504</v>
      </c>
      <c r="AS129">
        <v>-75.967814252548294</v>
      </c>
      <c r="AT129">
        <v>-76.365977428784504</v>
      </c>
      <c r="AU129">
        <v>-76.759367635984404</v>
      </c>
      <c r="AV129">
        <v>-77.1516598161394</v>
      </c>
      <c r="AW129">
        <v>-77.5460492104623</v>
      </c>
    </row>
    <row r="130" spans="2:50" x14ac:dyDescent="0.25">
      <c r="B130" t="s">
        <v>201</v>
      </c>
      <c r="C130">
        <v>96.838933680463199</v>
      </c>
      <c r="D130">
        <v>98.393714084143696</v>
      </c>
      <c r="E130">
        <v>100</v>
      </c>
      <c r="F130">
        <v>99.834930831854393</v>
      </c>
      <c r="G130">
        <v>95.220040254922907</v>
      </c>
      <c r="H130">
        <v>90.497503970593797</v>
      </c>
      <c r="I130">
        <v>89.167188047222893</v>
      </c>
      <c r="J130">
        <v>86.901762903209303</v>
      </c>
      <c r="K130">
        <v>83.534549552973303</v>
      </c>
      <c r="L130">
        <v>81.327459652113902</v>
      </c>
      <c r="M130">
        <v>80.418199793092597</v>
      </c>
      <c r="N130">
        <v>80.246855888242607</v>
      </c>
      <c r="O130">
        <v>78.0316510038205</v>
      </c>
      <c r="P130">
        <v>76.079361517528497</v>
      </c>
      <c r="Q130">
        <v>73.065505901382096</v>
      </c>
      <c r="R130">
        <v>71.073514347207094</v>
      </c>
      <c r="S130">
        <v>69.106724119552794</v>
      </c>
      <c r="T130">
        <v>67.8742068985092</v>
      </c>
      <c r="U130">
        <v>66.647064299953897</v>
      </c>
      <c r="V130">
        <v>65.240398510861496</v>
      </c>
      <c r="W130">
        <v>62.960113892181603</v>
      </c>
      <c r="X130">
        <v>60.301354801492998</v>
      </c>
      <c r="Y130">
        <v>57.713498934734197</v>
      </c>
      <c r="Z130">
        <v>55.293620272551998</v>
      </c>
      <c r="AA130">
        <v>52.955073931867801</v>
      </c>
      <c r="AB130">
        <v>50.603712083042097</v>
      </c>
      <c r="AC130">
        <v>48.313013778046901</v>
      </c>
      <c r="AD130">
        <v>45.239137130997598</v>
      </c>
      <c r="AE130">
        <v>42.260265937108102</v>
      </c>
      <c r="AF130">
        <v>39.285295130330397</v>
      </c>
      <c r="AG130">
        <v>36.8060981626546</v>
      </c>
      <c r="AH130">
        <v>34.368879645868802</v>
      </c>
      <c r="AI130">
        <v>31.847396441244801</v>
      </c>
      <c r="AJ130">
        <v>29.364068010083901</v>
      </c>
      <c r="AK130">
        <v>26.878079555069899</v>
      </c>
      <c r="AL130">
        <v>25.446256547525699</v>
      </c>
      <c r="AM130">
        <v>23.873145922235299</v>
      </c>
      <c r="AN130">
        <v>22.119330268941901</v>
      </c>
      <c r="AO130">
        <v>20.370098134852402</v>
      </c>
      <c r="AP130">
        <v>18.578263042926601</v>
      </c>
      <c r="AQ130">
        <v>16.7577234479729</v>
      </c>
      <c r="AR130">
        <v>14.8578521385896</v>
      </c>
      <c r="AS130">
        <v>14.6373253386265</v>
      </c>
      <c r="AT130">
        <v>14.4295042710869</v>
      </c>
      <c r="AU130">
        <v>14.224006019018899</v>
      </c>
      <c r="AV130">
        <v>14.0199935180223</v>
      </c>
      <c r="AW130">
        <v>13.821567866561701</v>
      </c>
      <c r="AX130">
        <v>9.0244863084901095</v>
      </c>
    </row>
    <row r="131" spans="2:50" x14ac:dyDescent="0.25">
      <c r="B131" t="s">
        <v>202</v>
      </c>
      <c r="C131">
        <v>651205.12405279896</v>
      </c>
      <c r="D131">
        <v>661660.432957732</v>
      </c>
      <c r="E131">
        <v>672283.60519999999</v>
      </c>
      <c r="F131">
        <v>690924.66559999995</v>
      </c>
      <c r="G131">
        <v>678581.71100000001</v>
      </c>
      <c r="H131">
        <v>619435.65870000003</v>
      </c>
      <c r="I131">
        <v>636180.69220000005</v>
      </c>
      <c r="J131">
        <v>653802.57869999995</v>
      </c>
      <c r="K131">
        <v>644454.95090000005</v>
      </c>
      <c r="L131">
        <v>636957.33299999998</v>
      </c>
      <c r="M131">
        <v>640329.71609999996</v>
      </c>
      <c r="N131">
        <v>649163.82010000001</v>
      </c>
      <c r="O131">
        <v>659683.12349999999</v>
      </c>
      <c r="P131">
        <v>687399.4203</v>
      </c>
      <c r="Q131">
        <v>700150.70160000003</v>
      </c>
      <c r="R131">
        <v>714944.25320000004</v>
      </c>
      <c r="S131">
        <v>718610.7794</v>
      </c>
      <c r="T131">
        <v>730887.62580000004</v>
      </c>
      <c r="U131">
        <v>739482.66500000004</v>
      </c>
      <c r="V131">
        <v>753871.23380000005</v>
      </c>
      <c r="W131">
        <v>804446.72010000004</v>
      </c>
      <c r="X131">
        <v>864617.35290000006</v>
      </c>
      <c r="Y131">
        <v>941847.07759999996</v>
      </c>
      <c r="Z131">
        <v>1039590.852</v>
      </c>
      <c r="AA131">
        <v>1158751.71</v>
      </c>
      <c r="AB131">
        <v>1302804.7660000001</v>
      </c>
      <c r="AC131">
        <v>1477596.602</v>
      </c>
      <c r="AD131">
        <v>1486305.1980000001</v>
      </c>
      <c r="AE131">
        <v>1494500.9410000001</v>
      </c>
      <c r="AF131">
        <v>1502024.892</v>
      </c>
      <c r="AG131">
        <v>1509509.524</v>
      </c>
      <c r="AH131">
        <v>1517477.794</v>
      </c>
      <c r="AI131">
        <v>1527154.4</v>
      </c>
      <c r="AJ131">
        <v>1537690.6189999999</v>
      </c>
      <c r="AK131">
        <v>1548123.59</v>
      </c>
      <c r="AL131">
        <v>1560047.0179999999</v>
      </c>
      <c r="AM131">
        <v>1571165.987</v>
      </c>
      <c r="AN131">
        <v>1583701.1229999999</v>
      </c>
      <c r="AO131">
        <v>1597770.48</v>
      </c>
      <c r="AP131">
        <v>1610578.774</v>
      </c>
      <c r="AQ131">
        <v>1623618.1340000001</v>
      </c>
      <c r="AR131">
        <v>1635589.71</v>
      </c>
      <c r="AS131">
        <v>1646820.23</v>
      </c>
      <c r="AT131">
        <v>1658476.199</v>
      </c>
      <c r="AU131">
        <v>1670413.79</v>
      </c>
      <c r="AV131">
        <v>1682509.8810000001</v>
      </c>
      <c r="AW131">
        <v>1694934.0490000001</v>
      </c>
    </row>
    <row r="132" spans="2:50" x14ac:dyDescent="0.25">
      <c r="B132" t="s">
        <v>203</v>
      </c>
      <c r="C132">
        <v>11699515.674308199</v>
      </c>
      <c r="D132">
        <v>11887355.182774801</v>
      </c>
      <c r="E132">
        <v>12078210.52</v>
      </c>
      <c r="F132">
        <v>12394208.23</v>
      </c>
      <c r="G132">
        <v>12130936.02</v>
      </c>
      <c r="H132">
        <v>11018218.310000001</v>
      </c>
      <c r="I132">
        <v>11233802.220000001</v>
      </c>
      <c r="J132">
        <v>11656711.98</v>
      </c>
      <c r="K132">
        <v>11446952.24</v>
      </c>
      <c r="L132">
        <v>11263843.59</v>
      </c>
      <c r="M132">
        <v>11300821.92</v>
      </c>
      <c r="N132">
        <v>11409654.07</v>
      </c>
      <c r="O132">
        <v>11619492.98</v>
      </c>
      <c r="P132">
        <v>12136393.41</v>
      </c>
      <c r="Q132">
        <v>12362443.25</v>
      </c>
      <c r="R132">
        <v>12640256.91</v>
      </c>
      <c r="S132">
        <v>12773049.789999999</v>
      </c>
      <c r="T132">
        <v>13043589.380000001</v>
      </c>
      <c r="U132">
        <v>13151091.24</v>
      </c>
      <c r="V132">
        <v>13491317.359999999</v>
      </c>
      <c r="W132">
        <v>13564661.869999999</v>
      </c>
      <c r="X132">
        <v>13565752.16</v>
      </c>
      <c r="Y132">
        <v>13572773.85</v>
      </c>
      <c r="Z132">
        <v>13608649.550000001</v>
      </c>
      <c r="AA132">
        <v>13644796.35</v>
      </c>
      <c r="AB132">
        <v>13666332.460000001</v>
      </c>
      <c r="AC132">
        <v>13705210.130000001</v>
      </c>
      <c r="AD132">
        <v>13817889.560000001</v>
      </c>
      <c r="AE132">
        <v>13884507.380000001</v>
      </c>
      <c r="AF132">
        <v>13941800</v>
      </c>
      <c r="AG132">
        <v>14000274.35</v>
      </c>
      <c r="AH132">
        <v>14074104.84</v>
      </c>
      <c r="AI132">
        <v>14166420.57</v>
      </c>
      <c r="AJ132">
        <v>14242064.550000001</v>
      </c>
      <c r="AK132">
        <v>14330377.76</v>
      </c>
      <c r="AL132">
        <v>14429128.470000001</v>
      </c>
      <c r="AM132">
        <v>14523140.890000001</v>
      </c>
      <c r="AN132">
        <v>14668472.130000001</v>
      </c>
      <c r="AO132">
        <v>14811760.890000001</v>
      </c>
      <c r="AP132">
        <v>14946519.539999999</v>
      </c>
      <c r="AQ132">
        <v>15099051.460000001</v>
      </c>
      <c r="AR132">
        <v>15222602.18</v>
      </c>
      <c r="AS132">
        <v>15335043.33</v>
      </c>
      <c r="AT132">
        <v>15474762.939999999</v>
      </c>
      <c r="AU132">
        <v>15614086.720000001</v>
      </c>
      <c r="AV132">
        <v>15756217.65</v>
      </c>
      <c r="AW132">
        <v>15922740.130000001</v>
      </c>
    </row>
    <row r="133" spans="2:50" x14ac:dyDescent="0.25">
      <c r="B133" t="s">
        <v>204</v>
      </c>
      <c r="C133">
        <v>12350720.798361</v>
      </c>
      <c r="D133">
        <v>12549015.615732601</v>
      </c>
      <c r="E133">
        <v>12750494.119999999</v>
      </c>
      <c r="F133">
        <v>13085132.9</v>
      </c>
      <c r="G133">
        <v>12809517.73</v>
      </c>
      <c r="H133">
        <v>11637653.970000001</v>
      </c>
      <c r="I133">
        <v>11869982.91</v>
      </c>
      <c r="J133">
        <v>12310514.560000001</v>
      </c>
      <c r="K133">
        <v>12091407.189999999</v>
      </c>
      <c r="L133">
        <v>11900800.92</v>
      </c>
      <c r="M133">
        <v>11941151.640000001</v>
      </c>
      <c r="N133">
        <v>12058817.890000001</v>
      </c>
      <c r="O133">
        <v>12279176.1</v>
      </c>
      <c r="P133">
        <v>12823792.83</v>
      </c>
      <c r="Q133">
        <v>13062593.949999999</v>
      </c>
      <c r="R133">
        <v>13355201.16</v>
      </c>
      <c r="S133">
        <v>13491660.57</v>
      </c>
      <c r="T133">
        <v>13774477</v>
      </c>
      <c r="U133">
        <v>13890573.91</v>
      </c>
      <c r="V133">
        <v>14245188.59</v>
      </c>
      <c r="W133">
        <v>14369108.59</v>
      </c>
      <c r="X133">
        <v>14430369.51</v>
      </c>
      <c r="Y133">
        <v>14514620.93</v>
      </c>
      <c r="Z133">
        <v>14648240.4</v>
      </c>
      <c r="AA133">
        <v>14803548.060000001</v>
      </c>
      <c r="AB133">
        <v>14969137.220000001</v>
      </c>
      <c r="AC133">
        <v>15182806.73</v>
      </c>
      <c r="AD133">
        <v>15304194.76</v>
      </c>
      <c r="AE133">
        <v>15379008.32</v>
      </c>
      <c r="AF133">
        <v>15443824.890000001</v>
      </c>
      <c r="AG133">
        <v>15509783.869999999</v>
      </c>
      <c r="AH133">
        <v>15591582.630000001</v>
      </c>
      <c r="AI133">
        <v>15693574.970000001</v>
      </c>
      <c r="AJ133">
        <v>15779755.16</v>
      </c>
      <c r="AK133">
        <v>15878501.35</v>
      </c>
      <c r="AL133">
        <v>15989175.49</v>
      </c>
      <c r="AM133">
        <v>16094306.880000001</v>
      </c>
      <c r="AN133">
        <v>16252173.26</v>
      </c>
      <c r="AO133">
        <v>16409531.369999999</v>
      </c>
      <c r="AP133">
        <v>16557098.310000001</v>
      </c>
      <c r="AQ133">
        <v>16722669.59</v>
      </c>
      <c r="AR133">
        <v>16858191.890000001</v>
      </c>
      <c r="AS133">
        <v>16981863.559999999</v>
      </c>
      <c r="AT133">
        <v>17133239.140000001</v>
      </c>
      <c r="AU133">
        <v>17284500.510000002</v>
      </c>
      <c r="AV133">
        <v>17438727.530000001</v>
      </c>
      <c r="AW133">
        <v>17617674.18</v>
      </c>
    </row>
    <row r="134" spans="2:50" x14ac:dyDescent="0.25">
      <c r="B134" t="s">
        <v>205</v>
      </c>
      <c r="C134">
        <v>144913116.15770999</v>
      </c>
      <c r="D134">
        <v>147239743.11109701</v>
      </c>
      <c r="E134">
        <v>149603724.80000001</v>
      </c>
      <c r="F134">
        <v>146982394.30000001</v>
      </c>
      <c r="G134">
        <v>142850141.19999999</v>
      </c>
      <c r="H134">
        <v>142133273.19999999</v>
      </c>
      <c r="I134">
        <v>139426949.5</v>
      </c>
      <c r="J134">
        <v>136028972.5</v>
      </c>
      <c r="K134">
        <v>131909952.09999999</v>
      </c>
      <c r="L134">
        <v>128701546</v>
      </c>
      <c r="M134">
        <v>126040694</v>
      </c>
      <c r="N134">
        <v>124066949.59999999</v>
      </c>
      <c r="O134">
        <v>123320836.09999999</v>
      </c>
      <c r="P134">
        <v>121951433.7</v>
      </c>
      <c r="Q134">
        <v>119555050.40000001</v>
      </c>
      <c r="R134">
        <v>118198815.5</v>
      </c>
      <c r="S134">
        <v>116045332.3</v>
      </c>
      <c r="T134">
        <v>112545772.09999999</v>
      </c>
      <c r="U134">
        <v>108840209.09999999</v>
      </c>
      <c r="V134">
        <v>104231093.3</v>
      </c>
      <c r="W134">
        <v>101032364.8</v>
      </c>
      <c r="X134">
        <v>97522814.450000003</v>
      </c>
      <c r="Y134">
        <v>93612633.959999904</v>
      </c>
      <c r="Z134">
        <v>89257237.280000001</v>
      </c>
      <c r="AA134">
        <v>84678396.459999904</v>
      </c>
      <c r="AB134">
        <v>79741808.030000001</v>
      </c>
      <c r="AC134">
        <v>74737788.879999995</v>
      </c>
      <c r="AD134">
        <v>68336004.480000004</v>
      </c>
      <c r="AE134">
        <v>62100729.140000001</v>
      </c>
      <c r="AF134">
        <v>56089905.909999996</v>
      </c>
      <c r="AG134">
        <v>50821625.270000003</v>
      </c>
      <c r="AH134">
        <v>45762178.340000004</v>
      </c>
      <c r="AI134">
        <v>40811095.340000004</v>
      </c>
      <c r="AJ134">
        <v>36111170.240000002</v>
      </c>
      <c r="AK134">
        <v>31600775.399999999</v>
      </c>
      <c r="AL134">
        <v>28471813.949999999</v>
      </c>
      <c r="AM134">
        <v>25385000.359999999</v>
      </c>
      <c r="AN134">
        <v>22178215.32</v>
      </c>
      <c r="AO134">
        <v>19128067.98</v>
      </c>
      <c r="AP134">
        <v>16214615.560000001</v>
      </c>
      <c r="AQ134">
        <v>13421871.84</v>
      </c>
      <c r="AR134">
        <v>10688791.279999999</v>
      </c>
      <c r="AS134">
        <v>10033843.25</v>
      </c>
      <c r="AT134">
        <v>9421551.0020000003</v>
      </c>
      <c r="AU134">
        <v>8845965.2129999995</v>
      </c>
      <c r="AV134">
        <v>8305276.3770000003</v>
      </c>
      <c r="AW134">
        <v>7796327.3849999998</v>
      </c>
    </row>
    <row r="135" spans="2:50" x14ac:dyDescent="0.25">
      <c r="B135" t="s">
        <v>206</v>
      </c>
      <c r="C135">
        <v>1098851.8998263199</v>
      </c>
      <c r="D135">
        <v>1116494.32251175</v>
      </c>
      <c r="E135">
        <v>1134420</v>
      </c>
      <c r="F135">
        <v>1106961.4110000001</v>
      </c>
      <c r="G135">
        <v>1078249.507</v>
      </c>
      <c r="H135">
        <v>1050179.4680000001</v>
      </c>
      <c r="I135">
        <v>1027422.775</v>
      </c>
      <c r="J135">
        <v>1004923.963</v>
      </c>
      <c r="K135">
        <v>979736.39080000005</v>
      </c>
      <c r="L135">
        <v>951685.31299999997</v>
      </c>
      <c r="M135">
        <v>924203.91240000003</v>
      </c>
      <c r="N135">
        <v>900436.86140000005</v>
      </c>
      <c r="O135">
        <v>883688.15619999997</v>
      </c>
      <c r="P135">
        <v>869994.74369999999</v>
      </c>
      <c r="Q135">
        <v>854535.67469999997</v>
      </c>
      <c r="R135">
        <v>831385.97900000005</v>
      </c>
      <c r="S135">
        <v>806111.78319999995</v>
      </c>
      <c r="T135">
        <v>778464.12219999998</v>
      </c>
      <c r="U135">
        <v>751470.84140000003</v>
      </c>
      <c r="V135">
        <v>724237.97900000005</v>
      </c>
      <c r="W135">
        <v>695116.04740000004</v>
      </c>
      <c r="X135">
        <v>664643.36250000005</v>
      </c>
      <c r="Y135">
        <v>633959.16729999997</v>
      </c>
      <c r="Z135">
        <v>604558.8835</v>
      </c>
      <c r="AA135">
        <v>577133.41260000004</v>
      </c>
      <c r="AB135">
        <v>551790.92559999996</v>
      </c>
      <c r="AC135">
        <v>527528.70079999999</v>
      </c>
      <c r="AD135">
        <v>503761.6753</v>
      </c>
      <c r="AE135">
        <v>481198.48310000001</v>
      </c>
      <c r="AF135">
        <v>460117.47960000002</v>
      </c>
      <c r="AG135">
        <v>440414.0673</v>
      </c>
      <c r="AH135">
        <v>422088.45299999998</v>
      </c>
      <c r="AI135">
        <v>405125.10590000002</v>
      </c>
      <c r="AJ135">
        <v>389388.66310000001</v>
      </c>
      <c r="AK135">
        <v>374808.4608</v>
      </c>
      <c r="AL135">
        <v>361258.56430000003</v>
      </c>
      <c r="AM135">
        <v>348273.98609999998</v>
      </c>
      <c r="AN135">
        <v>335938.00099999999</v>
      </c>
      <c r="AO135">
        <v>324244.70569999999</v>
      </c>
      <c r="AP135">
        <v>313111.28889999999</v>
      </c>
      <c r="AQ135">
        <v>302498.8751</v>
      </c>
      <c r="AR135">
        <v>292385.13669999997</v>
      </c>
      <c r="AS135">
        <v>282713.6004</v>
      </c>
      <c r="AT135">
        <v>273338.83270000003</v>
      </c>
      <c r="AU135">
        <v>264230.83490000002</v>
      </c>
      <c r="AV135">
        <v>255381.2353</v>
      </c>
      <c r="AW135">
        <v>246869.44330000001</v>
      </c>
    </row>
    <row r="136" spans="2:50" x14ac:dyDescent="0.25">
      <c r="B136" t="s">
        <v>207</v>
      </c>
      <c r="C136">
        <v>1098851.8998263199</v>
      </c>
      <c r="D136">
        <v>1116494.32251175</v>
      </c>
      <c r="E136">
        <v>1134420</v>
      </c>
      <c r="F136">
        <v>1106961.4110000001</v>
      </c>
      <c r="G136">
        <v>1078249.507</v>
      </c>
      <c r="H136">
        <v>1050179.4680000001</v>
      </c>
      <c r="I136">
        <v>1027422.775</v>
      </c>
      <c r="J136">
        <v>1004923.963</v>
      </c>
      <c r="K136">
        <v>979736.39080000005</v>
      </c>
      <c r="L136">
        <v>951685.31299999997</v>
      </c>
      <c r="M136">
        <v>924203.91240000003</v>
      </c>
      <c r="N136">
        <v>900436.86140000005</v>
      </c>
      <c r="O136">
        <v>883688.15619999997</v>
      </c>
      <c r="P136">
        <v>869994.74369999999</v>
      </c>
      <c r="Q136">
        <v>854535.67469999997</v>
      </c>
      <c r="R136">
        <v>831385.97900000005</v>
      </c>
      <c r="S136">
        <v>806111.78319999995</v>
      </c>
      <c r="T136">
        <v>778464.12219999998</v>
      </c>
      <c r="U136">
        <v>751470.84140000003</v>
      </c>
      <c r="V136">
        <v>724237.97900000005</v>
      </c>
      <c r="W136">
        <v>695116.04740000004</v>
      </c>
      <c r="X136">
        <v>664643.36250000005</v>
      </c>
      <c r="Y136">
        <v>633959.16729999997</v>
      </c>
      <c r="Z136">
        <v>604558.8835</v>
      </c>
      <c r="AA136">
        <v>577133.41260000004</v>
      </c>
      <c r="AB136">
        <v>551790.92559999996</v>
      </c>
      <c r="AC136">
        <v>527528.70079999999</v>
      </c>
      <c r="AD136">
        <v>503761.6753</v>
      </c>
      <c r="AE136">
        <v>481198.48310000001</v>
      </c>
      <c r="AF136">
        <v>460117.47960000002</v>
      </c>
      <c r="AG136">
        <v>440414.0673</v>
      </c>
      <c r="AH136">
        <v>422088.45299999998</v>
      </c>
      <c r="AI136">
        <v>405125.10590000002</v>
      </c>
      <c r="AJ136">
        <v>389388.66310000001</v>
      </c>
      <c r="AK136">
        <v>374808.4608</v>
      </c>
      <c r="AL136">
        <v>361258.56430000003</v>
      </c>
      <c r="AM136">
        <v>348273.98609999998</v>
      </c>
      <c r="AN136">
        <v>335938.00099999999</v>
      </c>
      <c r="AO136">
        <v>324244.70569999999</v>
      </c>
      <c r="AP136">
        <v>313111.28889999999</v>
      </c>
      <c r="AQ136">
        <v>302498.8751</v>
      </c>
      <c r="AR136">
        <v>292385.13669999997</v>
      </c>
      <c r="AS136">
        <v>282713.6004</v>
      </c>
      <c r="AT136">
        <v>273338.83270000003</v>
      </c>
      <c r="AU136">
        <v>264230.83490000002</v>
      </c>
      <c r="AV136">
        <v>255381.2353</v>
      </c>
      <c r="AW136">
        <v>246869.44330000001</v>
      </c>
    </row>
    <row r="137" spans="2:50" x14ac:dyDescent="0.25">
      <c r="B137" t="s">
        <v>208</v>
      </c>
      <c r="C137">
        <v>105875266.531468</v>
      </c>
      <c r="D137">
        <v>107575128.18195701</v>
      </c>
      <c r="E137">
        <v>109302281.7</v>
      </c>
      <c r="F137">
        <v>107797187.3</v>
      </c>
      <c r="G137">
        <v>105382384</v>
      </c>
      <c r="H137">
        <v>106186273.09999999</v>
      </c>
      <c r="I137">
        <v>104220025.5</v>
      </c>
      <c r="J137">
        <v>102225069.40000001</v>
      </c>
      <c r="K137">
        <v>100059438.2</v>
      </c>
      <c r="L137">
        <v>98439352.969999999</v>
      </c>
      <c r="M137">
        <v>96996288.180000007</v>
      </c>
      <c r="N137">
        <v>96015649.950000003</v>
      </c>
      <c r="O137">
        <v>95259775.519999996</v>
      </c>
      <c r="P137">
        <v>94312561.989999995</v>
      </c>
      <c r="Q137">
        <v>93164599.480000004</v>
      </c>
      <c r="R137">
        <v>92850342.780000001</v>
      </c>
      <c r="S137">
        <v>91319812.950000003</v>
      </c>
      <c r="T137">
        <v>89512133.099999994</v>
      </c>
      <c r="U137">
        <v>87244196.549999997</v>
      </c>
      <c r="V137">
        <v>84149144.530000001</v>
      </c>
      <c r="W137">
        <v>81490653.989999995</v>
      </c>
      <c r="X137">
        <v>78819028</v>
      </c>
      <c r="Y137">
        <v>76167832.659999996</v>
      </c>
      <c r="Z137">
        <v>73033089.370000005</v>
      </c>
      <c r="AA137">
        <v>69628736.609999999</v>
      </c>
      <c r="AB137">
        <v>65927975.719999999</v>
      </c>
      <c r="AC137">
        <v>62070092.119999997</v>
      </c>
      <c r="AD137">
        <v>57283935.289999999</v>
      </c>
      <c r="AE137">
        <v>52543894.82</v>
      </c>
      <c r="AF137">
        <v>47910783.560000002</v>
      </c>
      <c r="AG137">
        <v>43468587.719999999</v>
      </c>
      <c r="AH137">
        <v>39178352.57</v>
      </c>
      <c r="AI137">
        <v>34955565.359999999</v>
      </c>
      <c r="AJ137">
        <v>30920997.100000001</v>
      </c>
      <c r="AK137">
        <v>27029636.309999999</v>
      </c>
      <c r="AL137">
        <v>23330389.129999999</v>
      </c>
      <c r="AM137">
        <v>19710792.059999999</v>
      </c>
      <c r="AN137">
        <v>17369611.469999999</v>
      </c>
      <c r="AO137">
        <v>15142165.41</v>
      </c>
      <c r="AP137">
        <v>12999514.85</v>
      </c>
      <c r="AQ137">
        <v>10927276.140000001</v>
      </c>
      <c r="AR137">
        <v>8869289.8829999994</v>
      </c>
      <c r="AS137">
        <v>8014324.1069999998</v>
      </c>
      <c r="AT137">
        <v>7215569.5789999999</v>
      </c>
      <c r="AU137">
        <v>6472611.9390000002</v>
      </c>
      <c r="AV137">
        <v>5776968.409</v>
      </c>
      <c r="AW137">
        <v>5125609.1260000002</v>
      </c>
    </row>
    <row r="138" spans="2:50" x14ac:dyDescent="0.25">
      <c r="B138" t="s">
        <v>209</v>
      </c>
      <c r="C138">
        <v>105875266.531468</v>
      </c>
      <c r="D138">
        <v>107575128.18195701</v>
      </c>
      <c r="E138">
        <v>109302281.7</v>
      </c>
      <c r="F138">
        <v>107797187.3</v>
      </c>
      <c r="G138">
        <v>105382384</v>
      </c>
      <c r="H138">
        <v>106186273.09999999</v>
      </c>
      <c r="I138">
        <v>104220025.5</v>
      </c>
      <c r="J138">
        <v>102225069.40000001</v>
      </c>
      <c r="K138">
        <v>100059438.2</v>
      </c>
      <c r="L138">
        <v>98439352.969999999</v>
      </c>
      <c r="M138">
        <v>96996288.180000007</v>
      </c>
      <c r="N138">
        <v>96015649.950000003</v>
      </c>
      <c r="O138">
        <v>95259775.519999996</v>
      </c>
      <c r="P138">
        <v>94312561.989999995</v>
      </c>
      <c r="Q138">
        <v>93164599.480000004</v>
      </c>
      <c r="R138">
        <v>92850342.780000001</v>
      </c>
      <c r="S138">
        <v>91319812.950000003</v>
      </c>
      <c r="T138">
        <v>89512133.099999994</v>
      </c>
      <c r="U138">
        <v>87244196.549999997</v>
      </c>
      <c r="V138">
        <v>84149144.530000001</v>
      </c>
      <c r="W138">
        <v>81490653.989999995</v>
      </c>
      <c r="X138">
        <v>78819028</v>
      </c>
      <c r="Y138">
        <v>76167832.659999996</v>
      </c>
      <c r="Z138">
        <v>73033089.370000005</v>
      </c>
      <c r="AA138">
        <v>69628736.609999999</v>
      </c>
      <c r="AB138">
        <v>65927975.719999999</v>
      </c>
      <c r="AC138">
        <v>62070092.119999997</v>
      </c>
      <c r="AD138">
        <v>57283935.289999999</v>
      </c>
      <c r="AE138">
        <v>52543894.82</v>
      </c>
      <c r="AF138">
        <v>47910783.560000002</v>
      </c>
      <c r="AG138">
        <v>43468587.719999999</v>
      </c>
      <c r="AH138">
        <v>39178352.57</v>
      </c>
      <c r="AI138">
        <v>34955565.359999999</v>
      </c>
      <c r="AJ138">
        <v>30920997.100000001</v>
      </c>
      <c r="AK138">
        <v>27029636.309999999</v>
      </c>
      <c r="AL138">
        <v>23330389.129999999</v>
      </c>
      <c r="AM138">
        <v>19710792.059999999</v>
      </c>
      <c r="AN138">
        <v>17369611.469999999</v>
      </c>
      <c r="AO138">
        <v>15142165.41</v>
      </c>
      <c r="AP138">
        <v>12999514.85</v>
      </c>
      <c r="AQ138">
        <v>10927276.140000001</v>
      </c>
      <c r="AR138">
        <v>8869289.8829999994</v>
      </c>
      <c r="AS138">
        <v>8014324.1069999998</v>
      </c>
      <c r="AT138">
        <v>7215569.5789999999</v>
      </c>
      <c r="AU138">
        <v>6472611.9390000002</v>
      </c>
      <c r="AV138">
        <v>5776968.409</v>
      </c>
      <c r="AW138">
        <v>5125609.1260000002</v>
      </c>
    </row>
    <row r="139" spans="2:50" x14ac:dyDescent="0.25">
      <c r="B139" t="s">
        <v>210</v>
      </c>
      <c r="C139">
        <v>37938997.726415001</v>
      </c>
      <c r="D139">
        <v>38548120.6066292</v>
      </c>
      <c r="E139">
        <v>39167023.149999999</v>
      </c>
      <c r="F139">
        <v>38078245.530000001</v>
      </c>
      <c r="G139">
        <v>36389507.649999999</v>
      </c>
      <c r="H139">
        <v>34896820.649999999</v>
      </c>
      <c r="I139">
        <v>34179501.219999999</v>
      </c>
      <c r="J139">
        <v>32798979.23</v>
      </c>
      <c r="K139">
        <v>30870777.489999998</v>
      </c>
      <c r="L139">
        <v>29310507.75</v>
      </c>
      <c r="M139">
        <v>28120201.870000001</v>
      </c>
      <c r="N139">
        <v>27150862.75</v>
      </c>
      <c r="O139">
        <v>27177372.449999999</v>
      </c>
      <c r="P139">
        <v>26768876.93</v>
      </c>
      <c r="Q139">
        <v>25535915.280000001</v>
      </c>
      <c r="R139">
        <v>24517086.710000001</v>
      </c>
      <c r="S139">
        <v>23919407.539999999</v>
      </c>
      <c r="T139">
        <v>22255174.84</v>
      </c>
      <c r="U139">
        <v>20844541.66</v>
      </c>
      <c r="V139">
        <v>19357710.800000001</v>
      </c>
      <c r="W139">
        <v>18846594.789999999</v>
      </c>
      <c r="X139">
        <v>18039143.079999998</v>
      </c>
      <c r="Y139">
        <v>16810842.129999999</v>
      </c>
      <c r="Z139">
        <v>15619589.029999999</v>
      </c>
      <c r="AA139">
        <v>14472526.439999999</v>
      </c>
      <c r="AB139">
        <v>13262041.380000001</v>
      </c>
      <c r="AC139">
        <v>12140168.060000001</v>
      </c>
      <c r="AD139">
        <v>10548307.52</v>
      </c>
      <c r="AE139">
        <v>9075635.8330000006</v>
      </c>
      <c r="AF139">
        <v>7719004.8770000003</v>
      </c>
      <c r="AG139">
        <v>6912623.4840000002</v>
      </c>
      <c r="AH139">
        <v>6161737.3210000005</v>
      </c>
      <c r="AI139">
        <v>5450404.875</v>
      </c>
      <c r="AJ139">
        <v>4800784.4819999998</v>
      </c>
      <c r="AK139">
        <v>4196330.6289999997</v>
      </c>
      <c r="AL139">
        <v>4780166.2580000004</v>
      </c>
      <c r="AM139">
        <v>5325934.3159999996</v>
      </c>
      <c r="AN139">
        <v>4472665.8470000001</v>
      </c>
      <c r="AO139">
        <v>3661657.8679999998</v>
      </c>
      <c r="AP139">
        <v>2901989.4219999998</v>
      </c>
      <c r="AQ139">
        <v>2192096.821</v>
      </c>
      <c r="AR139">
        <v>1527116.264</v>
      </c>
      <c r="AS139">
        <v>1736805.5379999999</v>
      </c>
      <c r="AT139">
        <v>1932642.59</v>
      </c>
      <c r="AU139">
        <v>2109122.4389999998</v>
      </c>
      <c r="AV139">
        <v>2272926.7319999998</v>
      </c>
      <c r="AW139">
        <v>2423848.8160000001</v>
      </c>
    </row>
    <row r="140" spans="2:50" x14ac:dyDescent="0.25">
      <c r="B140" t="s">
        <v>211</v>
      </c>
      <c r="C140">
        <v>37938997.726415001</v>
      </c>
      <c r="D140">
        <v>38548120.6066292</v>
      </c>
      <c r="E140">
        <v>39167023.149999999</v>
      </c>
      <c r="F140">
        <v>38078245.530000001</v>
      </c>
      <c r="G140">
        <v>36389507.649999999</v>
      </c>
      <c r="H140">
        <v>34896820.649999999</v>
      </c>
      <c r="I140">
        <v>34179501.219999999</v>
      </c>
      <c r="J140">
        <v>32798979.23</v>
      </c>
      <c r="K140">
        <v>30870777.489999998</v>
      </c>
      <c r="L140">
        <v>29310507.75</v>
      </c>
      <c r="M140">
        <v>28120201.870000001</v>
      </c>
      <c r="N140">
        <v>27150862.75</v>
      </c>
      <c r="O140">
        <v>27177372.449999999</v>
      </c>
      <c r="P140">
        <v>26768876.93</v>
      </c>
      <c r="Q140">
        <v>25535915.280000001</v>
      </c>
      <c r="R140">
        <v>24517086.710000001</v>
      </c>
      <c r="S140">
        <v>23919407.539999999</v>
      </c>
      <c r="T140">
        <v>22255174.84</v>
      </c>
      <c r="U140">
        <v>20844541.66</v>
      </c>
      <c r="V140">
        <v>19357710.800000001</v>
      </c>
      <c r="W140">
        <v>18846594.789999999</v>
      </c>
      <c r="X140">
        <v>18039143.079999998</v>
      </c>
      <c r="Y140">
        <v>16810842.129999999</v>
      </c>
      <c r="Z140">
        <v>15619589.029999999</v>
      </c>
      <c r="AA140">
        <v>14472526.439999999</v>
      </c>
      <c r="AB140">
        <v>13262041.380000001</v>
      </c>
      <c r="AC140">
        <v>12140168.060000001</v>
      </c>
      <c r="AD140">
        <v>10548307.52</v>
      </c>
      <c r="AE140">
        <v>9075635.8330000006</v>
      </c>
      <c r="AF140">
        <v>7719004.8770000003</v>
      </c>
      <c r="AG140">
        <v>6912623.4840000002</v>
      </c>
      <c r="AH140">
        <v>6161737.3210000005</v>
      </c>
      <c r="AI140">
        <v>5450404.875</v>
      </c>
      <c r="AJ140">
        <v>4800784.4819999998</v>
      </c>
      <c r="AK140">
        <v>4196330.6289999997</v>
      </c>
      <c r="AL140">
        <v>4780166.2580000004</v>
      </c>
      <c r="AM140">
        <v>5325934.3159999996</v>
      </c>
      <c r="AN140">
        <v>4472665.8470000001</v>
      </c>
      <c r="AO140">
        <v>3661657.8679999998</v>
      </c>
      <c r="AP140">
        <v>2901989.4219999998</v>
      </c>
      <c r="AQ140">
        <v>2192096.821</v>
      </c>
      <c r="AR140">
        <v>1527116.264</v>
      </c>
      <c r="AS140">
        <v>1736805.5379999999</v>
      </c>
      <c r="AT140">
        <v>1932642.59</v>
      </c>
      <c r="AU140">
        <v>2109122.4389999998</v>
      </c>
      <c r="AV140">
        <v>2272926.7319999998</v>
      </c>
      <c r="AW140">
        <v>2423848.8160000001</v>
      </c>
    </row>
    <row r="141" spans="2:50" x14ac:dyDescent="0.25">
      <c r="B141" t="s">
        <v>212</v>
      </c>
      <c r="C141">
        <v>7249974.6999914004</v>
      </c>
      <c r="D141">
        <v>7366375.3888705196</v>
      </c>
      <c r="E141">
        <v>7487365.2489999998</v>
      </c>
      <c r="F141">
        <v>7682230.2829999998</v>
      </c>
      <c r="G141">
        <v>7302083.1270000003</v>
      </c>
      <c r="H141">
        <v>7627882.7640000004</v>
      </c>
      <c r="I141">
        <v>7827474.2000000002</v>
      </c>
      <c r="J141">
        <v>7384345.8650000002</v>
      </c>
      <c r="K141">
        <v>7073106.1720000003</v>
      </c>
      <c r="L141">
        <v>6841057.1869999999</v>
      </c>
      <c r="M141">
        <v>7272513.9859999996</v>
      </c>
      <c r="N141">
        <v>7702513.6229999997</v>
      </c>
      <c r="O141">
        <v>7946722.3339999998</v>
      </c>
      <c r="P141">
        <v>7980434.4790000003</v>
      </c>
      <c r="Q141">
        <v>7420324.5140000004</v>
      </c>
      <c r="R141">
        <v>7403246.4000000004</v>
      </c>
      <c r="S141">
        <v>7453688.7029999997</v>
      </c>
      <c r="T141">
        <v>7472352.7039999999</v>
      </c>
      <c r="U141">
        <v>7483596.432</v>
      </c>
      <c r="V141">
        <v>7510383.085</v>
      </c>
      <c r="W141">
        <v>7451962.2400000002</v>
      </c>
      <c r="X141">
        <v>7333009.0729999999</v>
      </c>
      <c r="Y141">
        <v>7354957.824</v>
      </c>
      <c r="Z141">
        <v>7381513.5920000002</v>
      </c>
      <c r="AA141">
        <v>7396695.023</v>
      </c>
      <c r="AB141">
        <v>7393547.358</v>
      </c>
      <c r="AC141">
        <v>7365426.5549999997</v>
      </c>
      <c r="AD141">
        <v>7203283.3739999998</v>
      </c>
      <c r="AE141">
        <v>7029200.892</v>
      </c>
      <c r="AF141">
        <v>6833573.9019999998</v>
      </c>
      <c r="AG141">
        <v>6635139.392</v>
      </c>
      <c r="AH141">
        <v>6410696.9649999999</v>
      </c>
      <c r="AI141">
        <v>6138656.2570000002</v>
      </c>
      <c r="AJ141">
        <v>5835384.5750000002</v>
      </c>
      <c r="AK141">
        <v>5478577.0130000003</v>
      </c>
      <c r="AL141">
        <v>5137470.125</v>
      </c>
      <c r="AM141">
        <v>4722862.2659999998</v>
      </c>
      <c r="AN141">
        <v>4455736.2189999996</v>
      </c>
      <c r="AO141">
        <v>4158884.736</v>
      </c>
      <c r="AP141">
        <v>3815291.8059999999</v>
      </c>
      <c r="AQ141">
        <v>3423851.9419999998</v>
      </c>
      <c r="AR141">
        <v>2971585.966</v>
      </c>
      <c r="AS141">
        <v>2902901.0729999999</v>
      </c>
      <c r="AT141">
        <v>2826168.9139999999</v>
      </c>
      <c r="AU141">
        <v>2742648.3939999999</v>
      </c>
      <c r="AV141">
        <v>2650465.5529999998</v>
      </c>
      <c r="AW141">
        <v>2548185.966</v>
      </c>
    </row>
    <row r="142" spans="2:50" x14ac:dyDescent="0.25">
      <c r="B142" t="s">
        <v>213</v>
      </c>
      <c r="C142">
        <v>11428306.3019633</v>
      </c>
      <c r="D142">
        <v>11611791.4562317</v>
      </c>
      <c r="E142">
        <v>11800890.689999999</v>
      </c>
      <c r="F142">
        <v>11961559.960000001</v>
      </c>
      <c r="G142">
        <v>11250190.550000001</v>
      </c>
      <c r="H142">
        <v>11366164.23</v>
      </c>
      <c r="I142">
        <v>11193329.34</v>
      </c>
      <c r="J142">
        <v>10836881.41</v>
      </c>
      <c r="K142">
        <v>10122109.460000001</v>
      </c>
      <c r="L142">
        <v>9816901.3149999995</v>
      </c>
      <c r="M142">
        <v>9885245.9240000006</v>
      </c>
      <c r="N142">
        <v>10014155.67</v>
      </c>
      <c r="O142">
        <v>9302198.0199999996</v>
      </c>
      <c r="P142">
        <v>8559795.4539999999</v>
      </c>
      <c r="Q142">
        <v>7679257.6059999997</v>
      </c>
      <c r="R142">
        <v>7138535.6409999998</v>
      </c>
      <c r="S142">
        <v>6883114.4539999999</v>
      </c>
      <c r="T142">
        <v>6729713.3870000001</v>
      </c>
      <c r="U142">
        <v>6664787.7699999996</v>
      </c>
      <c r="V142">
        <v>6595199.5029999996</v>
      </c>
      <c r="W142">
        <v>5719896.8449999997</v>
      </c>
      <c r="X142">
        <v>4822040.2039999999</v>
      </c>
      <c r="Y142">
        <v>4142629.4360000002</v>
      </c>
      <c r="Z142">
        <v>3610204.51</v>
      </c>
      <c r="AA142">
        <v>3182703.0690000001</v>
      </c>
      <c r="AB142">
        <v>2831948.7280000001</v>
      </c>
      <c r="AC142">
        <v>2536535.1460000002</v>
      </c>
      <c r="AD142">
        <v>2400730.9210000001</v>
      </c>
      <c r="AE142">
        <v>2304008.0049999999</v>
      </c>
      <c r="AF142">
        <v>2207680.318</v>
      </c>
      <c r="AG142">
        <v>2144058.67</v>
      </c>
      <c r="AH142">
        <v>2070089.31</v>
      </c>
      <c r="AI142">
        <v>1979317.767</v>
      </c>
      <c r="AJ142">
        <v>1881616.355</v>
      </c>
      <c r="AK142">
        <v>1768718.4669999999</v>
      </c>
      <c r="AL142">
        <v>1766262.37</v>
      </c>
      <c r="AM142">
        <v>1746838.368</v>
      </c>
      <c r="AN142">
        <v>1624564.0260000001</v>
      </c>
      <c r="AO142">
        <v>1491480.301</v>
      </c>
      <c r="AP142">
        <v>1342834.4010000001</v>
      </c>
      <c r="AQ142">
        <v>1178074.227</v>
      </c>
      <c r="AR142">
        <v>993147.18579999998</v>
      </c>
      <c r="AS142">
        <v>1017761.447</v>
      </c>
      <c r="AT142">
        <v>1040556.93</v>
      </c>
      <c r="AU142">
        <v>1061833.916</v>
      </c>
      <c r="AV142">
        <v>1081214.4979999999</v>
      </c>
      <c r="AW142">
        <v>1098244.754</v>
      </c>
    </row>
    <row r="143" spans="2:50" x14ac:dyDescent="0.25">
      <c r="B143" t="s">
        <v>214</v>
      </c>
      <c r="C143">
        <v>1153294.1412084801</v>
      </c>
      <c r="D143">
        <v>1171810.6516891399</v>
      </c>
      <c r="E143">
        <v>1190798.162</v>
      </c>
      <c r="F143">
        <v>1168959.175</v>
      </c>
      <c r="G143">
        <v>1084804.8189999999</v>
      </c>
      <c r="H143">
        <v>980773.28650000005</v>
      </c>
      <c r="I143">
        <v>1036437.331</v>
      </c>
      <c r="J143">
        <v>988480.80610000005</v>
      </c>
      <c r="K143">
        <v>917779.02130000002</v>
      </c>
      <c r="L143">
        <v>887672.1814</v>
      </c>
      <c r="M143">
        <v>902325.87399999995</v>
      </c>
      <c r="N143">
        <v>947813.33810000005</v>
      </c>
      <c r="O143">
        <v>883348.04229999997</v>
      </c>
      <c r="P143">
        <v>821343.9669</v>
      </c>
      <c r="Q143">
        <v>727183.13430000003</v>
      </c>
      <c r="R143">
        <v>674506.94220000005</v>
      </c>
      <c r="S143">
        <v>602884.45290000003</v>
      </c>
      <c r="T143">
        <v>589857.66410000005</v>
      </c>
      <c r="U143">
        <v>580009.25760000001</v>
      </c>
      <c r="V143">
        <v>570547.55440000002</v>
      </c>
      <c r="W143">
        <v>460318.85460000002</v>
      </c>
      <c r="X143">
        <v>361200.0295</v>
      </c>
      <c r="Y143">
        <v>286714.81229999999</v>
      </c>
      <c r="Z143">
        <v>234336.6269</v>
      </c>
      <c r="AA143">
        <v>193669.68659999999</v>
      </c>
      <c r="AB143">
        <v>162029.85740000001</v>
      </c>
      <c r="AC143">
        <v>137106.946</v>
      </c>
      <c r="AD143">
        <v>124735.0491</v>
      </c>
      <c r="AE143">
        <v>115809.5643</v>
      </c>
      <c r="AF143">
        <v>107895.28230000001</v>
      </c>
      <c r="AG143">
        <v>103283.9564</v>
      </c>
      <c r="AH143">
        <v>98719.499920000002</v>
      </c>
      <c r="AI143">
        <v>93741.23444</v>
      </c>
      <c r="AJ143">
        <v>88465.982560000004</v>
      </c>
      <c r="AK143">
        <v>82606.778990000006</v>
      </c>
      <c r="AL143">
        <v>85875.631829999998</v>
      </c>
      <c r="AM143">
        <v>88465.854959999997</v>
      </c>
      <c r="AN143">
        <v>81044.833689999999</v>
      </c>
      <c r="AO143">
        <v>73136.498560000007</v>
      </c>
      <c r="AP143">
        <v>64458.235540000001</v>
      </c>
      <c r="AQ143">
        <v>55193.261079999997</v>
      </c>
      <c r="AR143">
        <v>45108.572959999998</v>
      </c>
      <c r="AS143">
        <v>47625.347040000001</v>
      </c>
      <c r="AT143">
        <v>50164.961439999999</v>
      </c>
      <c r="AU143">
        <v>52672.065649999997</v>
      </c>
      <c r="AV143">
        <v>55154.559289999997</v>
      </c>
      <c r="AW143">
        <v>57606.073620000003</v>
      </c>
    </row>
    <row r="144" spans="2:50" x14ac:dyDescent="0.25">
      <c r="B144" t="s">
        <v>215</v>
      </c>
      <c r="C144">
        <v>6211298.5004764497</v>
      </c>
      <c r="D144">
        <v>6311022.9070030199</v>
      </c>
      <c r="E144">
        <v>6414338.9579999996</v>
      </c>
      <c r="F144">
        <v>6440605.3449999997</v>
      </c>
      <c r="G144">
        <v>5827506.2939999998</v>
      </c>
      <c r="H144">
        <v>5209993.9409999996</v>
      </c>
      <c r="I144">
        <v>4573806.88</v>
      </c>
      <c r="J144">
        <v>4803985.3789999997</v>
      </c>
      <c r="K144">
        <v>4295656.2740000002</v>
      </c>
      <c r="L144">
        <v>4095863.2930000001</v>
      </c>
      <c r="M144">
        <v>4170464.4640000002</v>
      </c>
      <c r="N144">
        <v>4247855.898</v>
      </c>
      <c r="O144">
        <v>4056503.4380000001</v>
      </c>
      <c r="P144">
        <v>3769002.0589999999</v>
      </c>
      <c r="Q144">
        <v>3406149.0159999998</v>
      </c>
      <c r="R144">
        <v>3127762.852</v>
      </c>
      <c r="S144">
        <v>2889570.5839999998</v>
      </c>
      <c r="T144">
        <v>2729192.1269999999</v>
      </c>
      <c r="U144">
        <v>2580319.5989999999</v>
      </c>
      <c r="V144">
        <v>2419135.284</v>
      </c>
      <c r="W144">
        <v>2141396.1320000002</v>
      </c>
      <c r="X144">
        <v>1821335.5619999999</v>
      </c>
      <c r="Y144">
        <v>1684543.4509999999</v>
      </c>
      <c r="Z144">
        <v>1615199.04</v>
      </c>
      <c r="AA144">
        <v>1584679.6310000001</v>
      </c>
      <c r="AB144">
        <v>1582811.777</v>
      </c>
      <c r="AC144">
        <v>1607517.534</v>
      </c>
      <c r="AD144">
        <v>1517867.4</v>
      </c>
      <c r="AE144">
        <v>1451075.3929999999</v>
      </c>
      <c r="AF144">
        <v>1384725.2520000001</v>
      </c>
      <c r="AG144">
        <v>1337989.925</v>
      </c>
      <c r="AH144">
        <v>1285049.736</v>
      </c>
      <c r="AI144">
        <v>1223069.24</v>
      </c>
      <c r="AJ144">
        <v>1157513.794</v>
      </c>
      <c r="AK144">
        <v>1084343.1710000001</v>
      </c>
      <c r="AL144">
        <v>1072384.1510000001</v>
      </c>
      <c r="AM144">
        <v>1050017.1359999999</v>
      </c>
      <c r="AN144">
        <v>971008.18729999999</v>
      </c>
      <c r="AO144">
        <v>886129.43819999998</v>
      </c>
      <c r="AP144">
        <v>794005.64879999997</v>
      </c>
      <c r="AQ144">
        <v>694793.39439999999</v>
      </c>
      <c r="AR144">
        <v>585867.40769999998</v>
      </c>
      <c r="AS144">
        <v>593479.47180000006</v>
      </c>
      <c r="AT144">
        <v>599611.45440000005</v>
      </c>
      <c r="AU144">
        <v>604595.42839999998</v>
      </c>
      <c r="AV144">
        <v>608256.09169999999</v>
      </c>
      <c r="AW144">
        <v>610492.70310000004</v>
      </c>
    </row>
    <row r="145" spans="2:49" x14ac:dyDescent="0.25">
      <c r="B145" t="s">
        <v>216</v>
      </c>
      <c r="C145">
        <v>19068539.7330263</v>
      </c>
      <c r="D145">
        <v>19374691.306334</v>
      </c>
      <c r="E145">
        <v>19692663.129999999</v>
      </c>
      <c r="F145">
        <v>19853007.699999999</v>
      </c>
      <c r="G145">
        <v>18046289.41</v>
      </c>
      <c r="H145">
        <v>16071548.140000001</v>
      </c>
      <c r="I145">
        <v>14802427.59</v>
      </c>
      <c r="J145">
        <v>15832897.84</v>
      </c>
      <c r="K145">
        <v>14190399.82</v>
      </c>
      <c r="L145">
        <v>13583855.470000001</v>
      </c>
      <c r="M145">
        <v>13875451.84</v>
      </c>
      <c r="N145">
        <v>14116631.470000001</v>
      </c>
      <c r="O145">
        <v>13581884.029999999</v>
      </c>
      <c r="P145">
        <v>12702811.810000001</v>
      </c>
      <c r="Q145">
        <v>11524350.380000001</v>
      </c>
      <c r="R145">
        <v>10676800.82</v>
      </c>
      <c r="S145">
        <v>9947057.0109999999</v>
      </c>
      <c r="T145">
        <v>9605883.1349999998</v>
      </c>
      <c r="U145">
        <v>9240856.693</v>
      </c>
      <c r="V145">
        <v>8909704.8399999999</v>
      </c>
      <c r="W145">
        <v>7634955.409</v>
      </c>
      <c r="X145">
        <v>6215566.9060000004</v>
      </c>
      <c r="Y145">
        <v>5406037.8600000003</v>
      </c>
      <c r="Z145">
        <v>4793941.8969999999</v>
      </c>
      <c r="AA145">
        <v>4296731.3380000005</v>
      </c>
      <c r="AB145">
        <v>3875230.8420000002</v>
      </c>
      <c r="AC145">
        <v>3523409.8760000002</v>
      </c>
      <c r="AD145">
        <v>3393957.2910000002</v>
      </c>
      <c r="AE145">
        <v>3295078.2659999998</v>
      </c>
      <c r="AF145">
        <v>3193720.781</v>
      </c>
      <c r="AG145">
        <v>3104278.3820000002</v>
      </c>
      <c r="AH145">
        <v>3002744.5120000001</v>
      </c>
      <c r="AI145">
        <v>2880353.6170000001</v>
      </c>
      <c r="AJ145">
        <v>2741421.1839999999</v>
      </c>
      <c r="AK145">
        <v>2584589.3969999999</v>
      </c>
      <c r="AL145">
        <v>2462184.2689999999</v>
      </c>
      <c r="AM145">
        <v>2311152.4330000002</v>
      </c>
      <c r="AN145">
        <v>2179577.4989999998</v>
      </c>
      <c r="AO145">
        <v>2029492.122</v>
      </c>
      <c r="AP145">
        <v>1860854.6240000001</v>
      </c>
      <c r="AQ145">
        <v>1675090.0249999999</v>
      </c>
      <c r="AR145">
        <v>1461366.5190000001</v>
      </c>
      <c r="AS145">
        <v>1440755.0660000001</v>
      </c>
      <c r="AT145">
        <v>1418398.5730000001</v>
      </c>
      <c r="AU145">
        <v>1392530.317</v>
      </c>
      <c r="AV145">
        <v>1362922.872</v>
      </c>
      <c r="AW145">
        <v>1330966.2479999999</v>
      </c>
    </row>
    <row r="146" spans="2:49" x14ac:dyDescent="0.25">
      <c r="B146" t="s">
        <v>217</v>
      </c>
      <c r="C146">
        <v>14426006.8404216</v>
      </c>
      <c r="D146">
        <v>14657621.046468699</v>
      </c>
      <c r="E146">
        <v>14897820.91</v>
      </c>
      <c r="F146">
        <v>14864739.34</v>
      </c>
      <c r="G146">
        <v>13698510.41</v>
      </c>
      <c r="H146">
        <v>12761573.26</v>
      </c>
      <c r="I146">
        <v>11164478.52</v>
      </c>
      <c r="J146">
        <v>10075870.34</v>
      </c>
      <c r="K146">
        <v>9169272.0840000007</v>
      </c>
      <c r="L146">
        <v>9047829.8269999996</v>
      </c>
      <c r="M146">
        <v>8979363.4399999995</v>
      </c>
      <c r="N146">
        <v>9306305.1449999996</v>
      </c>
      <c r="O146">
        <v>8591015.102</v>
      </c>
      <c r="P146">
        <v>7719396.2529999996</v>
      </c>
      <c r="Q146">
        <v>6931071.3210000005</v>
      </c>
      <c r="R146">
        <v>6267712.1399999997</v>
      </c>
      <c r="S146">
        <v>5826046.8949999996</v>
      </c>
      <c r="T146">
        <v>5485853.2209999999</v>
      </c>
      <c r="U146">
        <v>5154977.3640000001</v>
      </c>
      <c r="V146">
        <v>4796052.0410000002</v>
      </c>
      <c r="W146">
        <v>4075023.2659999998</v>
      </c>
      <c r="X146">
        <v>3328300.534</v>
      </c>
      <c r="Y146">
        <v>2984467.2629999998</v>
      </c>
      <c r="Z146">
        <v>2776922.966</v>
      </c>
      <c r="AA146">
        <v>2643930.3149999999</v>
      </c>
      <c r="AB146">
        <v>2563671.3149999999</v>
      </c>
      <c r="AC146">
        <v>2531429.3760000002</v>
      </c>
      <c r="AD146">
        <v>2415589.909</v>
      </c>
      <c r="AE146">
        <v>2335420.2379999999</v>
      </c>
      <c r="AF146">
        <v>2256026.6970000002</v>
      </c>
      <c r="AG146">
        <v>2200362.764</v>
      </c>
      <c r="AH146">
        <v>2133819.3870000001</v>
      </c>
      <c r="AI146">
        <v>2052554.3470000001</v>
      </c>
      <c r="AJ146">
        <v>1964779.72</v>
      </c>
      <c r="AK146">
        <v>1863728.996</v>
      </c>
      <c r="AL146">
        <v>1833896.811</v>
      </c>
      <c r="AM146">
        <v>1786646.5930000001</v>
      </c>
      <c r="AN146">
        <v>1681418.0190000001</v>
      </c>
      <c r="AO146">
        <v>1564896.868</v>
      </c>
      <c r="AP146">
        <v>1434849.1629999999</v>
      </c>
      <c r="AQ146">
        <v>1290932.5970000001</v>
      </c>
      <c r="AR146">
        <v>1128356.8459999999</v>
      </c>
      <c r="AS146">
        <v>1138869.655</v>
      </c>
      <c r="AT146">
        <v>1146898.9580000001</v>
      </c>
      <c r="AU146">
        <v>1153103.8470000001</v>
      </c>
      <c r="AV146">
        <v>1156918.8130000001</v>
      </c>
      <c r="AW146">
        <v>1158097.351</v>
      </c>
    </row>
    <row r="147" spans="2:49" x14ac:dyDescent="0.25">
      <c r="B147" t="s">
        <v>218</v>
      </c>
      <c r="C147">
        <v>9279692.21316991</v>
      </c>
      <c r="D147">
        <v>9428680.6732538398</v>
      </c>
      <c r="E147">
        <v>9581386.1769999899</v>
      </c>
      <c r="F147">
        <v>9538081.09799999</v>
      </c>
      <c r="G147">
        <v>9129626.4649999999</v>
      </c>
      <c r="H147">
        <v>8570285.9279999901</v>
      </c>
      <c r="I147">
        <v>8193019.6169999996</v>
      </c>
      <c r="J147">
        <v>7935009.943</v>
      </c>
      <c r="K147">
        <v>7524297.8590000002</v>
      </c>
      <c r="L147">
        <v>7442587.0449999999</v>
      </c>
      <c r="M147">
        <v>7399249.6100000003</v>
      </c>
      <c r="N147">
        <v>7640011.7980000004</v>
      </c>
      <c r="O147">
        <v>7470790.2050000001</v>
      </c>
      <c r="P147">
        <v>7208776.6940000001</v>
      </c>
      <c r="Q147">
        <v>6847510.8830000004</v>
      </c>
      <c r="R147">
        <v>6708764.7819999997</v>
      </c>
      <c r="S147">
        <v>6512096.5269999998</v>
      </c>
      <c r="T147">
        <v>6305481.3300000001</v>
      </c>
      <c r="U147">
        <v>6099129.182</v>
      </c>
      <c r="V147">
        <v>5871038.3689999999</v>
      </c>
      <c r="W147">
        <v>5148401.3320000004</v>
      </c>
      <c r="X147">
        <v>4355479.1780000003</v>
      </c>
      <c r="Y147">
        <v>3803272.014</v>
      </c>
      <c r="Z147">
        <v>3402057.6839999999</v>
      </c>
      <c r="AA147">
        <v>3090807.0249999999</v>
      </c>
      <c r="AB147">
        <v>2843526.5219999999</v>
      </c>
      <c r="AC147">
        <v>2647686.1549999998</v>
      </c>
      <c r="AD147">
        <v>2494638.929</v>
      </c>
      <c r="AE147">
        <v>2374406.2519999999</v>
      </c>
      <c r="AF147">
        <v>2255132.5</v>
      </c>
      <c r="AG147">
        <v>2188653.7579999999</v>
      </c>
      <c r="AH147">
        <v>2114793.3190000001</v>
      </c>
      <c r="AI147">
        <v>2028772.047</v>
      </c>
      <c r="AJ147">
        <v>1938360.5209999999</v>
      </c>
      <c r="AK147">
        <v>1838221.432</v>
      </c>
      <c r="AL147">
        <v>1913072.345</v>
      </c>
      <c r="AM147">
        <v>1977913.743</v>
      </c>
      <c r="AN147">
        <v>1839206.277</v>
      </c>
      <c r="AO147">
        <v>1692595.7150000001</v>
      </c>
      <c r="AP147">
        <v>1533988.108</v>
      </c>
      <c r="AQ147">
        <v>1363951.402</v>
      </c>
      <c r="AR147">
        <v>1178900.0049999999</v>
      </c>
      <c r="AS147">
        <v>1235067.1669999999</v>
      </c>
      <c r="AT147">
        <v>1290654.22</v>
      </c>
      <c r="AU147">
        <v>1345763.0109999999</v>
      </c>
      <c r="AV147">
        <v>1400138.84</v>
      </c>
      <c r="AW147">
        <v>1453571.3640000001</v>
      </c>
    </row>
    <row r="148" spans="2:49" x14ac:dyDescent="0.25">
      <c r="B148" t="s">
        <v>219</v>
      </c>
      <c r="C148">
        <v>10783636.5742715</v>
      </c>
      <c r="D148">
        <v>10956771.347537501</v>
      </c>
      <c r="E148">
        <v>11150440.109999999</v>
      </c>
      <c r="F148">
        <v>11152273.060000001</v>
      </c>
      <c r="G148">
        <v>11091495.27</v>
      </c>
      <c r="H148">
        <v>10283588.439999999</v>
      </c>
      <c r="I148">
        <v>10608814.27</v>
      </c>
      <c r="J148">
        <v>10678534.75</v>
      </c>
      <c r="K148">
        <v>10431415.67</v>
      </c>
      <c r="L148">
        <v>10371436.26</v>
      </c>
      <c r="M148">
        <v>10362920.68</v>
      </c>
      <c r="N148">
        <v>10644767.609999999</v>
      </c>
      <c r="O148">
        <v>10705527.689999999</v>
      </c>
      <c r="P148">
        <v>10833801.199999999</v>
      </c>
      <c r="Q148">
        <v>10771349.42</v>
      </c>
      <c r="R148">
        <v>10949818.220000001</v>
      </c>
      <c r="S148">
        <v>10918836.449999999</v>
      </c>
      <c r="T148">
        <v>10761542.09</v>
      </c>
      <c r="U148">
        <v>10704152.77</v>
      </c>
      <c r="V148">
        <v>10617277.130000001</v>
      </c>
      <c r="W148">
        <v>10387940.189999999</v>
      </c>
      <c r="X148">
        <v>10081415.24</v>
      </c>
      <c r="Y148">
        <v>9793502.2919999994</v>
      </c>
      <c r="Z148">
        <v>9550933.0120000001</v>
      </c>
      <c r="AA148">
        <v>9373900.5040000007</v>
      </c>
      <c r="AB148">
        <v>9225737.7609999999</v>
      </c>
      <c r="AC148">
        <v>9099337.7630000003</v>
      </c>
      <c r="AD148">
        <v>8697791.1370000001</v>
      </c>
      <c r="AE148">
        <v>8305737.0800000001</v>
      </c>
      <c r="AF148">
        <v>7903205.6440000003</v>
      </c>
      <c r="AG148">
        <v>7590074.6229999997</v>
      </c>
      <c r="AH148">
        <v>7259498.5700000003</v>
      </c>
      <c r="AI148">
        <v>6884320.6030000001</v>
      </c>
      <c r="AJ148">
        <v>6481629.9000000004</v>
      </c>
      <c r="AK148">
        <v>6038120.9840000002</v>
      </c>
      <c r="AL148">
        <v>5881912.5530000003</v>
      </c>
      <c r="AM148">
        <v>5665574.4129999997</v>
      </c>
      <c r="AN148">
        <v>5243596.1349999998</v>
      </c>
      <c r="AO148">
        <v>4794765.2379999999</v>
      </c>
      <c r="AP148">
        <v>4310915.3770000003</v>
      </c>
      <c r="AQ148">
        <v>3785639.8420000002</v>
      </c>
      <c r="AR148">
        <v>3206857.73</v>
      </c>
      <c r="AS148">
        <v>3228099.8130000001</v>
      </c>
      <c r="AT148">
        <v>3243508.24</v>
      </c>
      <c r="AU148">
        <v>3253034.0329999998</v>
      </c>
      <c r="AV148">
        <v>3255146.9959999998</v>
      </c>
      <c r="AW148">
        <v>3248686.142</v>
      </c>
    </row>
    <row r="149" spans="2:49" x14ac:dyDescent="0.25">
      <c r="B149" t="s">
        <v>220</v>
      </c>
      <c r="C149">
        <v>584010.86634464201</v>
      </c>
      <c r="D149">
        <v>593387.34970747295</v>
      </c>
      <c r="E149">
        <v>603045.05370000005</v>
      </c>
      <c r="F149">
        <v>618390.54110000003</v>
      </c>
      <c r="G149">
        <v>584797.79960000003</v>
      </c>
      <c r="H149">
        <v>504032.61229999998</v>
      </c>
      <c r="I149">
        <v>520650.6409</v>
      </c>
      <c r="J149">
        <v>520268.20520000003</v>
      </c>
      <c r="K149">
        <v>477719.7757</v>
      </c>
      <c r="L149">
        <v>445226.7279</v>
      </c>
      <c r="M149">
        <v>434348.88520000002</v>
      </c>
      <c r="N149">
        <v>454427.03200000001</v>
      </c>
      <c r="O149">
        <v>431127.12060000002</v>
      </c>
      <c r="P149">
        <v>411535.75589999999</v>
      </c>
      <c r="Q149">
        <v>380344.20909999998</v>
      </c>
      <c r="R149">
        <v>350768.06829999998</v>
      </c>
      <c r="S149">
        <v>335521.96260000003</v>
      </c>
      <c r="T149">
        <v>329075.48599999998</v>
      </c>
      <c r="U149">
        <v>323910.348</v>
      </c>
      <c r="V149">
        <v>320040.01370000001</v>
      </c>
      <c r="W149">
        <v>274286.84499999997</v>
      </c>
      <c r="X149">
        <v>234570.95180000001</v>
      </c>
      <c r="Y149">
        <v>207048.4829</v>
      </c>
      <c r="Z149">
        <v>188073.72330000001</v>
      </c>
      <c r="AA149">
        <v>173821.34450000001</v>
      </c>
      <c r="AB149">
        <v>162763.01180000001</v>
      </c>
      <c r="AC149">
        <v>153982.46410000001</v>
      </c>
      <c r="AD149">
        <v>146427.1059</v>
      </c>
      <c r="AE149">
        <v>140233.9632</v>
      </c>
      <c r="AF149">
        <v>134030.826</v>
      </c>
      <c r="AG149">
        <v>128948.3316</v>
      </c>
      <c r="AH149">
        <v>123547.0873</v>
      </c>
      <c r="AI149">
        <v>117405.5325</v>
      </c>
      <c r="AJ149">
        <v>110672.35430000001</v>
      </c>
      <c r="AK149">
        <v>103149.52220000001</v>
      </c>
      <c r="AL149">
        <v>99430.75821</v>
      </c>
      <c r="AM149">
        <v>94600.016019999995</v>
      </c>
      <c r="AN149">
        <v>87848.145539999998</v>
      </c>
      <c r="AO149">
        <v>80598.06349</v>
      </c>
      <c r="AP149">
        <v>72595.888380000004</v>
      </c>
      <c r="AQ149">
        <v>63868.033049999998</v>
      </c>
      <c r="AR149">
        <v>54142.74338</v>
      </c>
      <c r="AS149">
        <v>54042.234360000002</v>
      </c>
      <c r="AT149">
        <v>53855.819680000001</v>
      </c>
      <c r="AU149">
        <v>53560.954319999997</v>
      </c>
      <c r="AV149">
        <v>53145.610979999998</v>
      </c>
      <c r="AW149">
        <v>52601.859669999998</v>
      </c>
    </row>
    <row r="150" spans="2:49" x14ac:dyDescent="0.25">
      <c r="B150" t="s">
        <v>221</v>
      </c>
      <c r="C150">
        <v>22712835.5539211</v>
      </c>
      <c r="D150">
        <v>23077497.475414101</v>
      </c>
      <c r="E150">
        <v>23460123.120000001</v>
      </c>
      <c r="F150">
        <v>23538248.199999999</v>
      </c>
      <c r="G150">
        <v>19968117.57</v>
      </c>
      <c r="H150">
        <v>16614128.23</v>
      </c>
      <c r="I150">
        <v>17057597.84</v>
      </c>
      <c r="J150">
        <v>16645331.109999999</v>
      </c>
      <c r="K150">
        <v>15760903.869999999</v>
      </c>
      <c r="L150">
        <v>16399570.74</v>
      </c>
      <c r="M150">
        <v>16750474.5</v>
      </c>
      <c r="N150">
        <v>17079832</v>
      </c>
      <c r="O150">
        <v>14331572.390000001</v>
      </c>
      <c r="P150">
        <v>13031263.279999999</v>
      </c>
      <c r="Q150">
        <v>11919309.5</v>
      </c>
      <c r="R150">
        <v>10989806.220000001</v>
      </c>
      <c r="S150">
        <v>10390970.220000001</v>
      </c>
      <c r="T150">
        <v>10289052.77</v>
      </c>
      <c r="U150">
        <v>10218125.51</v>
      </c>
      <c r="V150">
        <v>10203557.060000001</v>
      </c>
      <c r="W150">
        <v>9409842.3149999995</v>
      </c>
      <c r="X150">
        <v>8508279.3469999898</v>
      </c>
      <c r="Y150">
        <v>7930149.7810000004</v>
      </c>
      <c r="Z150">
        <v>7529601.1710000001</v>
      </c>
      <c r="AA150">
        <v>7214377.9759999998</v>
      </c>
      <c r="AB150">
        <v>6954676.5319999997</v>
      </c>
      <c r="AC150">
        <v>6743146.8969999999</v>
      </c>
      <c r="AD150">
        <v>6719976.0990000004</v>
      </c>
      <c r="AE150">
        <v>6739256.4330000002</v>
      </c>
      <c r="AF150">
        <v>6766200.9919999996</v>
      </c>
      <c r="AG150">
        <v>6811690.6969999997</v>
      </c>
      <c r="AH150">
        <v>6857234.4730000002</v>
      </c>
      <c r="AI150">
        <v>6909104.432</v>
      </c>
      <c r="AJ150">
        <v>6964921.1490000002</v>
      </c>
      <c r="AK150">
        <v>7022732.9610000001</v>
      </c>
      <c r="AL150">
        <v>7121904.0750000002</v>
      </c>
      <c r="AM150">
        <v>7220548.8260000004</v>
      </c>
      <c r="AN150">
        <v>7249248.4929999998</v>
      </c>
      <c r="AO150">
        <v>7273745.9469999997</v>
      </c>
      <c r="AP150">
        <v>7288223.165</v>
      </c>
      <c r="AQ150">
        <v>7300178.0190000003</v>
      </c>
      <c r="AR150">
        <v>7300862.0209999997</v>
      </c>
      <c r="AS150">
        <v>7348430.5559999999</v>
      </c>
      <c r="AT150">
        <v>7398324.2860000003</v>
      </c>
      <c r="AU150">
        <v>7446641.3609999996</v>
      </c>
      <c r="AV150">
        <v>7492376.2570000002</v>
      </c>
      <c r="AW150">
        <v>7537230.7470000004</v>
      </c>
    </row>
    <row r="151" spans="2:49" x14ac:dyDescent="0.25">
      <c r="B151" t="s">
        <v>222</v>
      </c>
      <c r="C151">
        <v>611949.61832884501</v>
      </c>
      <c r="D151">
        <v>621774.66739182698</v>
      </c>
      <c r="E151">
        <v>631757.4608</v>
      </c>
      <c r="F151">
        <v>618688.21050000004</v>
      </c>
      <c r="G151">
        <v>554271.20039999997</v>
      </c>
      <c r="H151">
        <v>462187.0465</v>
      </c>
      <c r="I151">
        <v>491832.29259999999</v>
      </c>
      <c r="J151">
        <v>472107.42379999999</v>
      </c>
      <c r="K151">
        <v>422790.19189999998</v>
      </c>
      <c r="L151">
        <v>397800.2464</v>
      </c>
      <c r="M151">
        <v>392305.91210000002</v>
      </c>
      <c r="N151">
        <v>387850.29460000002</v>
      </c>
      <c r="O151">
        <v>355814.2733</v>
      </c>
      <c r="P151">
        <v>341475.12180000002</v>
      </c>
      <c r="Q151">
        <v>302481.95529999997</v>
      </c>
      <c r="R151">
        <v>276416.67619999999</v>
      </c>
      <c r="S151">
        <v>268300.69870000001</v>
      </c>
      <c r="T151">
        <v>261743.3126</v>
      </c>
      <c r="U151">
        <v>253498.35019999999</v>
      </c>
      <c r="V151">
        <v>246879.81049999999</v>
      </c>
      <c r="W151">
        <v>189394.10200000001</v>
      </c>
      <c r="X151">
        <v>144124.14910000001</v>
      </c>
      <c r="Y151">
        <v>111609.7049</v>
      </c>
      <c r="Z151">
        <v>90891.531220000004</v>
      </c>
      <c r="AA151">
        <v>76416.192899999995</v>
      </c>
      <c r="AB151">
        <v>65979.470870000005</v>
      </c>
      <c r="AC151">
        <v>58148.690860000002</v>
      </c>
      <c r="AD151">
        <v>51561.927459999999</v>
      </c>
      <c r="AE151">
        <v>46350.054190000003</v>
      </c>
      <c r="AF151">
        <v>41340.779199999997</v>
      </c>
      <c r="AG151">
        <v>38890.492729999998</v>
      </c>
      <c r="AH151">
        <v>36408.045290000002</v>
      </c>
      <c r="AI151">
        <v>33773.735639999999</v>
      </c>
      <c r="AJ151">
        <v>31153.116239999999</v>
      </c>
      <c r="AK151">
        <v>28503.221949999999</v>
      </c>
      <c r="AL151">
        <v>34152.963589999999</v>
      </c>
      <c r="AM151">
        <v>39925.327469999997</v>
      </c>
      <c r="AN151">
        <v>35000.190600000002</v>
      </c>
      <c r="AO151">
        <v>29969.886119999999</v>
      </c>
      <c r="AP151">
        <v>24805.1283</v>
      </c>
      <c r="AQ151">
        <v>19553.314009999998</v>
      </c>
      <c r="AR151">
        <v>14190.10541</v>
      </c>
      <c r="AS151">
        <v>16917.990659999999</v>
      </c>
      <c r="AT151">
        <v>19704.176329999998</v>
      </c>
      <c r="AU151">
        <v>22532.922409999999</v>
      </c>
      <c r="AV151">
        <v>25424.2641</v>
      </c>
      <c r="AW151">
        <v>28382.721079999999</v>
      </c>
    </row>
    <row r="152" spans="2:49" x14ac:dyDescent="0.25">
      <c r="B152" t="s">
        <v>223</v>
      </c>
      <c r="C152">
        <v>18604230.451297902</v>
      </c>
      <c r="D152">
        <v>18902927.3889024</v>
      </c>
      <c r="E152">
        <v>19209702.579999998</v>
      </c>
      <c r="F152">
        <v>19501682.780000001</v>
      </c>
      <c r="G152">
        <v>18268185.190000001</v>
      </c>
      <c r="H152">
        <v>16754047.32</v>
      </c>
      <c r="I152">
        <v>16831094.16</v>
      </c>
      <c r="J152">
        <v>16333404.630000001</v>
      </c>
      <c r="K152">
        <v>15405619.470000001</v>
      </c>
      <c r="L152">
        <v>15036643.529999999</v>
      </c>
      <c r="M152">
        <v>15032490.17</v>
      </c>
      <c r="N152">
        <v>15345113.23</v>
      </c>
      <c r="O152">
        <v>14492268.550000001</v>
      </c>
      <c r="P152">
        <v>13650614.949999999</v>
      </c>
      <c r="Q152">
        <v>12622324.99</v>
      </c>
      <c r="R152">
        <v>12273390.949999999</v>
      </c>
      <c r="S152">
        <v>11972440.359999999</v>
      </c>
      <c r="T152">
        <v>11830360.630000001</v>
      </c>
      <c r="U152">
        <v>11698809.529999999</v>
      </c>
      <c r="V152">
        <v>11594429.779999999</v>
      </c>
      <c r="W152">
        <v>9859350.8310000002</v>
      </c>
      <c r="X152">
        <v>8256196.6339999996</v>
      </c>
      <c r="Y152">
        <v>7026346.125</v>
      </c>
      <c r="Z152">
        <v>6117621.6969999997</v>
      </c>
      <c r="AA152">
        <v>5398241.4979999997</v>
      </c>
      <c r="AB152">
        <v>4813100.7460000003</v>
      </c>
      <c r="AC152">
        <v>4324908.53</v>
      </c>
      <c r="AD152">
        <v>4101570.7069999999</v>
      </c>
      <c r="AE152">
        <v>3937343.747</v>
      </c>
      <c r="AF152">
        <v>3776014.9920000001</v>
      </c>
      <c r="AG152">
        <v>3676114.51</v>
      </c>
      <c r="AH152">
        <v>3562510.375</v>
      </c>
      <c r="AI152">
        <v>3431380.2340000002</v>
      </c>
      <c r="AJ152">
        <v>3287068.5839999998</v>
      </c>
      <c r="AK152">
        <v>3123070.6209999998</v>
      </c>
      <c r="AL152">
        <v>3160113.8119999999</v>
      </c>
      <c r="AM152">
        <v>3173579.8169999998</v>
      </c>
      <c r="AN152">
        <v>2988190.5830000001</v>
      </c>
      <c r="AO152">
        <v>2788047.62</v>
      </c>
      <c r="AP152">
        <v>2566073.733</v>
      </c>
      <c r="AQ152">
        <v>2323547.9909999999</v>
      </c>
      <c r="AR152">
        <v>2052552.172</v>
      </c>
      <c r="AS152">
        <v>2112436.2179999999</v>
      </c>
      <c r="AT152">
        <v>2171960.2760000001</v>
      </c>
      <c r="AU152">
        <v>2229975.699</v>
      </c>
      <c r="AV152">
        <v>2286035.61</v>
      </c>
      <c r="AW152">
        <v>2339897.9759999998</v>
      </c>
    </row>
    <row r="153" spans="2:49" x14ac:dyDescent="0.25">
      <c r="B153" t="s">
        <v>224</v>
      </c>
      <c r="C153">
        <v>583438.22926562198</v>
      </c>
      <c r="D153">
        <v>592805.51875492395</v>
      </c>
      <c r="E153">
        <v>602323.20449999999</v>
      </c>
      <c r="F153">
        <v>627994.20109999995</v>
      </c>
      <c r="G153">
        <v>611287.38569999998</v>
      </c>
      <c r="H153">
        <v>526381.87340000004</v>
      </c>
      <c r="I153">
        <v>520046.93479999999</v>
      </c>
      <c r="J153">
        <v>524995.40980000002</v>
      </c>
      <c r="K153">
        <v>497595.01819999999</v>
      </c>
      <c r="L153">
        <v>477585.8725</v>
      </c>
      <c r="M153">
        <v>439540.03320000001</v>
      </c>
      <c r="N153">
        <v>396753.89480000001</v>
      </c>
      <c r="O153">
        <v>379263.58850000001</v>
      </c>
      <c r="P153">
        <v>377036.99410000001</v>
      </c>
      <c r="Q153">
        <v>363134.79229999997</v>
      </c>
      <c r="R153">
        <v>361179.13419999997</v>
      </c>
      <c r="S153">
        <v>363575.47649999999</v>
      </c>
      <c r="T153">
        <v>359279.83510000003</v>
      </c>
      <c r="U153">
        <v>349797.32770000002</v>
      </c>
      <c r="V153">
        <v>346335.3443</v>
      </c>
      <c r="W153">
        <v>348959.38050000003</v>
      </c>
      <c r="X153">
        <v>345323.51809999999</v>
      </c>
      <c r="Y153">
        <v>331260.33140000002</v>
      </c>
      <c r="Z153">
        <v>317511.60440000001</v>
      </c>
      <c r="AA153">
        <v>302902.3738</v>
      </c>
      <c r="AB153">
        <v>287950.81630000001</v>
      </c>
      <c r="AC153">
        <v>273242.85479999997</v>
      </c>
      <c r="AD153">
        <v>249225.91899999999</v>
      </c>
      <c r="AE153">
        <v>223203.29990000001</v>
      </c>
      <c r="AF153">
        <v>197000.35380000001</v>
      </c>
      <c r="AG153">
        <v>182393.06400000001</v>
      </c>
      <c r="AH153">
        <v>168327.1439</v>
      </c>
      <c r="AI153">
        <v>154060.74220000001</v>
      </c>
      <c r="AJ153">
        <v>139644.31520000001</v>
      </c>
      <c r="AK153">
        <v>125615.8913</v>
      </c>
      <c r="AL153">
        <v>147031.6048</v>
      </c>
      <c r="AM153">
        <v>167883.14749999999</v>
      </c>
      <c r="AN153">
        <v>146331.31849999999</v>
      </c>
      <c r="AO153">
        <v>124169.63920000001</v>
      </c>
      <c r="AP153">
        <v>101718.44349999999</v>
      </c>
      <c r="AQ153">
        <v>79424.019130000001</v>
      </c>
      <c r="AR153">
        <v>56928.252979999997</v>
      </c>
      <c r="AS153">
        <v>66605.050919999994</v>
      </c>
      <c r="AT153">
        <v>76506.280050000001</v>
      </c>
      <c r="AU153">
        <v>86203.917690000002</v>
      </c>
      <c r="AV153">
        <v>95958.396099999998</v>
      </c>
      <c r="AW153">
        <v>106061.35980000001</v>
      </c>
    </row>
    <row r="154" spans="2:49" x14ac:dyDescent="0.25">
      <c r="B154" t="s">
        <v>225</v>
      </c>
      <c r="C154">
        <v>640997.091904014</v>
      </c>
      <c r="D154">
        <v>651288.50755091803</v>
      </c>
      <c r="E154">
        <v>661996.35600000003</v>
      </c>
      <c r="F154">
        <v>673887.5601</v>
      </c>
      <c r="G154">
        <v>633185.24730000005</v>
      </c>
      <c r="H154">
        <v>621013.58360000001</v>
      </c>
      <c r="I154">
        <v>629037.65079999994</v>
      </c>
      <c r="J154">
        <v>603246.63419999997</v>
      </c>
      <c r="K154">
        <v>567543.2561</v>
      </c>
      <c r="L154">
        <v>571595.39150000003</v>
      </c>
      <c r="M154">
        <v>581061.13910000003</v>
      </c>
      <c r="N154">
        <v>611453.20360000001</v>
      </c>
      <c r="O154">
        <v>647493.61380000005</v>
      </c>
      <c r="P154">
        <v>661375.27170000004</v>
      </c>
      <c r="Q154">
        <v>615796.22109999997</v>
      </c>
      <c r="R154">
        <v>633459.85309999995</v>
      </c>
      <c r="S154">
        <v>632004.09669999999</v>
      </c>
      <c r="T154">
        <v>627287.85939999996</v>
      </c>
      <c r="U154">
        <v>625541.58369999996</v>
      </c>
      <c r="V154">
        <v>623436.42130000005</v>
      </c>
      <c r="W154">
        <v>641777.13459999999</v>
      </c>
      <c r="X154">
        <v>650236.28630000004</v>
      </c>
      <c r="Y154">
        <v>655500.81339999998</v>
      </c>
      <c r="Z154">
        <v>660237.07169999997</v>
      </c>
      <c r="AA154">
        <v>663660.73479999998</v>
      </c>
      <c r="AB154">
        <v>638620.87340000004</v>
      </c>
      <c r="AC154">
        <v>611778.44909999997</v>
      </c>
      <c r="AD154">
        <v>589751.89040000003</v>
      </c>
      <c r="AE154">
        <v>570226.87150000001</v>
      </c>
      <c r="AF154">
        <v>549882.89419999998</v>
      </c>
      <c r="AG154">
        <v>530393.11750000005</v>
      </c>
      <c r="AH154">
        <v>508419.71990000003</v>
      </c>
      <c r="AI154">
        <v>487729.57309999998</v>
      </c>
      <c r="AJ154">
        <v>465772.1336</v>
      </c>
      <c r="AK154">
        <v>440029.98259999999</v>
      </c>
      <c r="AL154">
        <v>414282.2427</v>
      </c>
      <c r="AM154">
        <v>383250.97710000002</v>
      </c>
      <c r="AN154">
        <v>360559.1937</v>
      </c>
      <c r="AO154">
        <v>335207.09499999997</v>
      </c>
      <c r="AP154">
        <v>307243.84080000001</v>
      </c>
      <c r="AQ154">
        <v>276411.04680000001</v>
      </c>
      <c r="AR154">
        <v>241577.75580000001</v>
      </c>
      <c r="AS154">
        <v>235054.15779999999</v>
      </c>
      <c r="AT154">
        <v>227697.3775</v>
      </c>
      <c r="AU154">
        <v>219931.91279999999</v>
      </c>
      <c r="AV154">
        <v>211591.74540000001</v>
      </c>
      <c r="AW154">
        <v>202590.98310000001</v>
      </c>
    </row>
    <row r="155" spans="2:49" x14ac:dyDescent="0.25">
      <c r="B155" t="s">
        <v>226</v>
      </c>
      <c r="C155">
        <v>2194958.1052306499</v>
      </c>
      <c r="D155">
        <v>2230198.86758945</v>
      </c>
      <c r="E155">
        <v>2254498.4330000002</v>
      </c>
      <c r="F155">
        <v>2243121.7059999998</v>
      </c>
      <c r="G155">
        <v>2234431.2089999998</v>
      </c>
      <c r="H155">
        <v>2230678.7930000001</v>
      </c>
      <c r="I155">
        <v>2237604.2250000001</v>
      </c>
      <c r="J155">
        <v>2251886.1690000002</v>
      </c>
      <c r="K155">
        <v>2253943.9569999999</v>
      </c>
      <c r="L155">
        <v>2252349.29</v>
      </c>
      <c r="M155">
        <v>2267127.031</v>
      </c>
      <c r="N155">
        <v>2246072.9530000002</v>
      </c>
      <c r="O155">
        <v>2273940.5129999998</v>
      </c>
      <c r="P155">
        <v>2296429.4989999998</v>
      </c>
      <c r="Q155">
        <v>2325359.8659999999</v>
      </c>
      <c r="R155">
        <v>2354900.148</v>
      </c>
      <c r="S155">
        <v>2339243.327</v>
      </c>
      <c r="T155">
        <v>2302754.6549999998</v>
      </c>
      <c r="U155">
        <v>2287859.085</v>
      </c>
      <c r="V155">
        <v>2268180.8760000002</v>
      </c>
      <c r="W155">
        <v>2266830.0449999999</v>
      </c>
      <c r="X155">
        <v>2238149.9019999998</v>
      </c>
      <c r="Y155">
        <v>2159089.7280000001</v>
      </c>
      <c r="Z155">
        <v>2089861.602</v>
      </c>
      <c r="AA155">
        <v>2023412.86</v>
      </c>
      <c r="AB155">
        <v>1958734.8589999999</v>
      </c>
      <c r="AC155">
        <v>1892793.973</v>
      </c>
      <c r="AD155">
        <v>1746033.0390000001</v>
      </c>
      <c r="AE155">
        <v>1601481.3540000001</v>
      </c>
      <c r="AF155">
        <v>1457642.2209999999</v>
      </c>
      <c r="AG155">
        <v>1323618.76</v>
      </c>
      <c r="AH155">
        <v>1191527.2749999999</v>
      </c>
      <c r="AI155">
        <v>1052954.8759999999</v>
      </c>
      <c r="AJ155">
        <v>917714.50109999999</v>
      </c>
      <c r="AK155">
        <v>785595.70660000003</v>
      </c>
      <c r="AL155">
        <v>684647.57629999996</v>
      </c>
      <c r="AM155">
        <v>588227.03009999997</v>
      </c>
      <c r="AN155">
        <v>502785.61729999998</v>
      </c>
      <c r="AO155">
        <v>420541.788</v>
      </c>
      <c r="AP155">
        <v>341288.73330000002</v>
      </c>
      <c r="AQ155" s="39">
        <v>265915.62469999999</v>
      </c>
      <c r="AR155" s="39">
        <v>195193.9541</v>
      </c>
      <c r="AS155" s="39">
        <v>180572.10089999999</v>
      </c>
      <c r="AT155" s="39">
        <v>167649.91560000001</v>
      </c>
      <c r="AU155" s="39">
        <v>156518.5514</v>
      </c>
      <c r="AV155">
        <v>147243.04579999999</v>
      </c>
      <c r="AW155">
        <v>139706.39110000001</v>
      </c>
    </row>
    <row r="156" spans="2:49" x14ac:dyDescent="0.25">
      <c r="B156" t="s">
        <v>227</v>
      </c>
      <c r="C156">
        <v>48301536.741083004</v>
      </c>
      <c r="D156">
        <v>49077033.537035801</v>
      </c>
      <c r="E156">
        <v>49926445.490000002</v>
      </c>
      <c r="F156">
        <v>49626665.899999999</v>
      </c>
      <c r="G156">
        <v>48651356.520000003</v>
      </c>
      <c r="H156">
        <v>46895272.380000003</v>
      </c>
      <c r="I156">
        <v>46506650.32</v>
      </c>
      <c r="J156">
        <v>46209085.140000001</v>
      </c>
      <c r="K156">
        <v>45625912.159999996</v>
      </c>
      <c r="L156">
        <v>44771778.920000002</v>
      </c>
      <c r="M156">
        <v>44298971.909999996</v>
      </c>
      <c r="N156">
        <v>43764749.719999999</v>
      </c>
      <c r="O156">
        <v>43713829.039999999</v>
      </c>
      <c r="P156">
        <v>43876200.740000002</v>
      </c>
      <c r="Q156">
        <v>43273354.5</v>
      </c>
      <c r="R156">
        <v>42687727.149999999</v>
      </c>
      <c r="S156">
        <v>42228852.119999997</v>
      </c>
      <c r="T156">
        <v>42573908.079999998</v>
      </c>
      <c r="U156">
        <v>42794192.420000002</v>
      </c>
      <c r="V156">
        <v>43055677.950000003</v>
      </c>
      <c r="W156">
        <v>42681560.609999999</v>
      </c>
      <c r="X156">
        <v>42022752.140000001</v>
      </c>
      <c r="Y156">
        <v>41025983.659999996</v>
      </c>
      <c r="Z156">
        <v>40111084.259999998</v>
      </c>
      <c r="AA156">
        <v>39176067.920000002</v>
      </c>
      <c r="AB156">
        <v>38147935.969999999</v>
      </c>
      <c r="AC156">
        <v>37080440.880000003</v>
      </c>
      <c r="AD156">
        <v>34731996.009999998</v>
      </c>
      <c r="AE156">
        <v>32346672.010000002</v>
      </c>
      <c r="AF156">
        <v>29943924.649999999</v>
      </c>
      <c r="AG156">
        <v>27580555.59</v>
      </c>
      <c r="AH156">
        <v>25223280.710000001</v>
      </c>
      <c r="AI156">
        <v>22577291.75</v>
      </c>
      <c r="AJ156">
        <v>19946706.710000001</v>
      </c>
      <c r="AK156">
        <v>17291083.25</v>
      </c>
      <c r="AL156">
        <v>14917460.210000001</v>
      </c>
      <c r="AM156">
        <v>12547199</v>
      </c>
      <c r="AN156">
        <v>11118659.24</v>
      </c>
      <c r="AO156">
        <v>9731125.5899999999</v>
      </c>
      <c r="AP156">
        <v>8306070.7079999996</v>
      </c>
      <c r="AQ156">
        <v>6893601.8269999996</v>
      </c>
      <c r="AR156">
        <v>5491911.0539999995</v>
      </c>
      <c r="AS156">
        <v>5187600.7970000003</v>
      </c>
      <c r="AT156">
        <v>4891912.4079999998</v>
      </c>
      <c r="AU156">
        <v>4601465.5429999996</v>
      </c>
      <c r="AV156">
        <v>4315491.6840000004</v>
      </c>
      <c r="AW156">
        <v>4033978.6359999999</v>
      </c>
    </row>
    <row r="157" spans="2:49" x14ac:dyDescent="0.25">
      <c r="B157" t="s">
        <v>228</v>
      </c>
      <c r="C157">
        <v>9397840.0105028208</v>
      </c>
      <c r="D157">
        <v>9548725.3716889191</v>
      </c>
      <c r="E157">
        <v>9705874.77999999</v>
      </c>
      <c r="F157">
        <v>11067078.470000001</v>
      </c>
      <c r="G157">
        <v>9331171.8059999999</v>
      </c>
      <c r="H157">
        <v>6712903.0010000002</v>
      </c>
      <c r="I157">
        <v>7959886.2630000003</v>
      </c>
      <c r="J157">
        <v>6266893.9119999995</v>
      </c>
      <c r="K157">
        <v>7262145.2630000003</v>
      </c>
      <c r="L157">
        <v>6513499.625</v>
      </c>
      <c r="M157">
        <v>6524818.96</v>
      </c>
      <c r="N157">
        <v>6686717.1430000002</v>
      </c>
      <c r="O157">
        <v>6093980.5999999996</v>
      </c>
      <c r="P157">
        <v>6454252.6859999998</v>
      </c>
      <c r="Q157">
        <v>6341783.5310000004</v>
      </c>
      <c r="R157">
        <v>6453785.3130000001</v>
      </c>
      <c r="S157">
        <v>6447590.3159999996</v>
      </c>
      <c r="T157">
        <v>6332348.7680000002</v>
      </c>
      <c r="U157">
        <v>6369270.2400000002</v>
      </c>
      <c r="V157">
        <v>6408686.3930000002</v>
      </c>
      <c r="W157">
        <v>6376261.9519999996</v>
      </c>
      <c r="X157">
        <v>6307749.7630000003</v>
      </c>
      <c r="Y157">
        <v>6283893.5070000002</v>
      </c>
      <c r="Z157">
        <v>6264431.7889999999</v>
      </c>
      <c r="AA157">
        <v>6241700.54</v>
      </c>
      <c r="AB157">
        <v>6047443.6150000002</v>
      </c>
      <c r="AC157">
        <v>5829228.4919999996</v>
      </c>
      <c r="AD157">
        <v>5616390.1310000001</v>
      </c>
      <c r="AE157">
        <v>5409035.2960000001</v>
      </c>
      <c r="AF157">
        <v>5199023.4840000002</v>
      </c>
      <c r="AG157">
        <v>4987131.5719999997</v>
      </c>
      <c r="AH157">
        <v>4767356.6509999996</v>
      </c>
      <c r="AI157">
        <v>4549410.4460000005</v>
      </c>
      <c r="AJ157">
        <v>4315213.3710000003</v>
      </c>
      <c r="AK157">
        <v>4051484.0520000001</v>
      </c>
      <c r="AL157">
        <v>3767857.8939999999</v>
      </c>
      <c r="AM157">
        <v>3435563.253</v>
      </c>
      <c r="AN157">
        <v>3249612.787</v>
      </c>
      <c r="AO157">
        <v>3035999.5669999998</v>
      </c>
      <c r="AP157">
        <v>2792925.5580000002</v>
      </c>
      <c r="AQ157">
        <v>2518172.7439999999</v>
      </c>
      <c r="AR157">
        <v>2202089.7080000001</v>
      </c>
      <c r="AS157">
        <v>2137815.34</v>
      </c>
      <c r="AT157">
        <v>2068129.6240000001</v>
      </c>
      <c r="AU157">
        <v>1992582.0660000001</v>
      </c>
      <c r="AV157">
        <v>1910304.115</v>
      </c>
      <c r="AW157">
        <v>1820631.402</v>
      </c>
    </row>
    <row r="158" spans="2:49" x14ac:dyDescent="0.25">
      <c r="B158" t="s">
        <v>229</v>
      </c>
      <c r="C158">
        <v>2784044.1169573502</v>
      </c>
      <c r="D158">
        <v>2828742.8457796802</v>
      </c>
      <c r="E158">
        <v>2875233.8760000002</v>
      </c>
      <c r="F158">
        <v>2984883.3640000001</v>
      </c>
      <c r="G158">
        <v>2964272.952</v>
      </c>
      <c r="H158">
        <v>2427363.7659999998</v>
      </c>
      <c r="I158">
        <v>2450399.264</v>
      </c>
      <c r="J158">
        <v>2560853.1510000001</v>
      </c>
      <c r="K158">
        <v>2499708.0430000001</v>
      </c>
      <c r="L158">
        <v>2428608.085</v>
      </c>
      <c r="M158">
        <v>2423687.5109999999</v>
      </c>
      <c r="N158">
        <v>2553375.6039999998</v>
      </c>
      <c r="O158">
        <v>2548522.128</v>
      </c>
      <c r="P158">
        <v>2543351.0299999998</v>
      </c>
      <c r="Q158">
        <v>2621161.8859999999</v>
      </c>
      <c r="R158">
        <v>2654818.0720000002</v>
      </c>
      <c r="S158">
        <v>2620723.35</v>
      </c>
      <c r="T158">
        <v>2565692.1889999998</v>
      </c>
      <c r="U158">
        <v>2528363.5499999998</v>
      </c>
      <c r="V158">
        <v>2491363.375</v>
      </c>
      <c r="W158">
        <v>2446201.0660000001</v>
      </c>
      <c r="X158">
        <v>2383403.6519999998</v>
      </c>
      <c r="Y158">
        <v>2346660.9130000002</v>
      </c>
      <c r="Z158">
        <v>2317673.253</v>
      </c>
      <c r="AA158">
        <v>2291254.6320000002</v>
      </c>
      <c r="AB158">
        <v>2269439.2390000001</v>
      </c>
      <c r="AC158">
        <v>2245890.0260000001</v>
      </c>
      <c r="AD158">
        <v>2174355.8450000002</v>
      </c>
      <c r="AE158">
        <v>2100569.9840000002</v>
      </c>
      <c r="AF158">
        <v>2021232.2039999999</v>
      </c>
      <c r="AG158">
        <v>1937849.577</v>
      </c>
      <c r="AH158">
        <v>1848365.115</v>
      </c>
      <c r="AI158">
        <v>1747998.2819999999</v>
      </c>
      <c r="AJ158">
        <v>1639319.6259999999</v>
      </c>
      <c r="AK158">
        <v>1518158.3130000001</v>
      </c>
      <c r="AL158">
        <v>1392420.0989999999</v>
      </c>
      <c r="AM158">
        <v>1248968.2350000001</v>
      </c>
      <c r="AN158">
        <v>1166514.9639999999</v>
      </c>
      <c r="AO158">
        <v>1078325.4099999999</v>
      </c>
      <c r="AP158">
        <v>980552.68830000004</v>
      </c>
      <c r="AQ158">
        <v>873032.76529999997</v>
      </c>
      <c r="AR158">
        <v>752405.38769999996</v>
      </c>
      <c r="AS158">
        <v>723071.83019999997</v>
      </c>
      <c r="AT158">
        <v>692506.80599999998</v>
      </c>
      <c r="AU158">
        <v>660699.26989999996</v>
      </c>
      <c r="AV158">
        <v>627265.40769999998</v>
      </c>
      <c r="AW158">
        <v>591781.46779999998</v>
      </c>
    </row>
    <row r="159" spans="2:49" x14ac:dyDescent="0.25">
      <c r="B159" t="s">
        <v>230</v>
      </c>
      <c r="C159">
        <v>20640520.667746101</v>
      </c>
      <c r="D159">
        <v>20971910.903432399</v>
      </c>
      <c r="E159">
        <v>21313932.760000002</v>
      </c>
      <c r="F159">
        <v>22187989.690000001</v>
      </c>
      <c r="G159">
        <v>21880443.760000002</v>
      </c>
      <c r="H159">
        <v>21532361.98</v>
      </c>
      <c r="I159">
        <v>21977937</v>
      </c>
      <c r="J159">
        <v>21697474.829999998</v>
      </c>
      <c r="K159">
        <v>20950062.73</v>
      </c>
      <c r="L159">
        <v>20809436.399999999</v>
      </c>
      <c r="M159">
        <v>21292118.690000001</v>
      </c>
      <c r="N159">
        <v>22420871.550000001</v>
      </c>
      <c r="O159">
        <v>22030149.050000001</v>
      </c>
      <c r="P159">
        <v>21040048.940000001</v>
      </c>
      <c r="Q159">
        <v>19465238.850000001</v>
      </c>
      <c r="R159">
        <v>18262406.07</v>
      </c>
      <c r="S159">
        <v>17330938.27</v>
      </c>
      <c r="T159">
        <v>16861640.199999999</v>
      </c>
      <c r="U159">
        <v>16393632.02</v>
      </c>
      <c r="V159">
        <v>15846450.9</v>
      </c>
      <c r="W159">
        <v>16234638.75</v>
      </c>
      <c r="X159">
        <v>16569044.59</v>
      </c>
      <c r="Y159">
        <v>16401681.710000001</v>
      </c>
      <c r="Z159">
        <v>16020855.07</v>
      </c>
      <c r="AA159">
        <v>15454971.289999999</v>
      </c>
      <c r="AB159">
        <v>14624690.26</v>
      </c>
      <c r="AC159">
        <v>13709413.609999999</v>
      </c>
      <c r="AD159">
        <v>12400954.560000001</v>
      </c>
      <c r="AE159">
        <v>11108774.17</v>
      </c>
      <c r="AF159">
        <v>9877650.0130000003</v>
      </c>
      <c r="AG159">
        <v>9084492.9790000003</v>
      </c>
      <c r="AH159">
        <v>8323109.7869999995</v>
      </c>
      <c r="AI159">
        <v>7564507.4230000004</v>
      </c>
      <c r="AJ159">
        <v>6830108.4349999996</v>
      </c>
      <c r="AK159">
        <v>6110454.3279999997</v>
      </c>
      <c r="AL159">
        <v>6410490.591</v>
      </c>
      <c r="AM159">
        <v>6641782.0999999996</v>
      </c>
      <c r="AN159">
        <v>5758320.4689999996</v>
      </c>
      <c r="AO159">
        <v>4905328.4139999999</v>
      </c>
      <c r="AP159">
        <v>4080986.85</v>
      </c>
      <c r="AQ159">
        <v>3283492.3620000002</v>
      </c>
      <c r="AR159">
        <v>2505683.213</v>
      </c>
      <c r="AS159">
        <v>2637630.1320000002</v>
      </c>
      <c r="AT159">
        <v>2752587.7379999999</v>
      </c>
      <c r="AU159">
        <v>2848861.6140000001</v>
      </c>
      <c r="AV159">
        <v>2930633.4019999998</v>
      </c>
      <c r="AW159">
        <v>2997765.14</v>
      </c>
    </row>
    <row r="160" spans="2:49" x14ac:dyDescent="0.25">
      <c r="B160" t="s">
        <v>231</v>
      </c>
      <c r="C160">
        <v>261855678.291933</v>
      </c>
      <c r="D160">
        <v>266059855.90652901</v>
      </c>
      <c r="E160">
        <v>270446411.19999999</v>
      </c>
      <c r="F160">
        <v>272018682.60000002</v>
      </c>
      <c r="G160">
        <v>256453275.40000001</v>
      </c>
      <c r="H160">
        <v>237902840.19999999</v>
      </c>
      <c r="I160">
        <v>234619219.40000001</v>
      </c>
      <c r="J160">
        <v>227771890.40000001</v>
      </c>
      <c r="K160">
        <v>217536697.59999999</v>
      </c>
      <c r="L160">
        <v>211383410.90000001</v>
      </c>
      <c r="M160">
        <v>210068629.90000001</v>
      </c>
      <c r="N160">
        <v>211183130.5</v>
      </c>
      <c r="O160">
        <v>202121465</v>
      </c>
      <c r="P160">
        <v>194496729.59999999</v>
      </c>
      <c r="Q160">
        <v>183610325.59999999</v>
      </c>
      <c r="R160">
        <v>176052601.40000001</v>
      </c>
      <c r="S160">
        <v>169557344.59999999</v>
      </c>
      <c r="T160">
        <v>167439746.19999999</v>
      </c>
      <c r="U160">
        <v>165718131.30000001</v>
      </c>
      <c r="V160">
        <v>163884574</v>
      </c>
      <c r="W160">
        <v>157090296.19999999</v>
      </c>
      <c r="X160">
        <v>149031459.59999999</v>
      </c>
      <c r="Y160">
        <v>141657132.19999999</v>
      </c>
      <c r="Z160">
        <v>135405659.30000001</v>
      </c>
      <c r="AA160">
        <v>129707949.09999999</v>
      </c>
      <c r="AB160">
        <v>124302239.59999999</v>
      </c>
      <c r="AC160">
        <v>119178432.5</v>
      </c>
      <c r="AD160">
        <v>112155071.3</v>
      </c>
      <c r="AE160">
        <v>105422959.90000001</v>
      </c>
      <c r="AF160">
        <v>98493274.079999998</v>
      </c>
      <c r="AG160">
        <v>92965615.680000007</v>
      </c>
      <c r="AH160">
        <v>87394966.709999904</v>
      </c>
      <c r="AI160">
        <v>81331062.180000007</v>
      </c>
      <c r="AJ160">
        <v>75196946.010000005</v>
      </c>
      <c r="AK160">
        <v>68849220.920000002</v>
      </c>
      <c r="AL160">
        <v>65670569.259999998</v>
      </c>
      <c r="AM160">
        <v>61843818.710000001</v>
      </c>
      <c r="AN160">
        <v>57302212.229999997</v>
      </c>
      <c r="AO160">
        <v>52624313.740000002</v>
      </c>
      <c r="AP160">
        <v>47635125.659999996</v>
      </c>
      <c r="AQ160">
        <v>42382991.259999998</v>
      </c>
      <c r="AR160">
        <v>36757894.509999998</v>
      </c>
      <c r="AS160">
        <v>36334729.5</v>
      </c>
      <c r="AT160">
        <v>35896195.280000001</v>
      </c>
      <c r="AU160">
        <v>35431121.960000001</v>
      </c>
      <c r="AV160">
        <v>34934616.390000001</v>
      </c>
      <c r="AW160">
        <v>34405831.270000003</v>
      </c>
    </row>
    <row r="161" spans="2:49" x14ac:dyDescent="0.25">
      <c r="B161" t="s">
        <v>232</v>
      </c>
      <c r="C161">
        <v>5733144.4507061103</v>
      </c>
      <c r="D161">
        <v>5825191.9393003099</v>
      </c>
      <c r="E161">
        <v>5919233.7230000002</v>
      </c>
      <c r="F161">
        <v>6043683.1339999996</v>
      </c>
      <c r="G161">
        <v>5969887.7910000002</v>
      </c>
      <c r="H161">
        <v>6213141.2850000001</v>
      </c>
      <c r="I161">
        <v>6281590.1040000003</v>
      </c>
      <c r="J161">
        <v>6185235.8490000004</v>
      </c>
      <c r="K161">
        <v>6008009.716</v>
      </c>
      <c r="L161">
        <v>5998281.5120000001</v>
      </c>
      <c r="M161">
        <v>6093370.8459999999</v>
      </c>
      <c r="N161">
        <v>6363115.7779999999</v>
      </c>
      <c r="O161">
        <v>6316846.8899999997</v>
      </c>
      <c r="P161">
        <v>6006505.2759999996</v>
      </c>
      <c r="Q161">
        <v>5442327.0149999997</v>
      </c>
      <c r="R161">
        <v>5032618.9819999998</v>
      </c>
      <c r="S161">
        <v>4752104.3880000003</v>
      </c>
      <c r="T161">
        <v>4550105.4979999997</v>
      </c>
      <c r="U161">
        <v>4348422.1749999998</v>
      </c>
      <c r="V161">
        <v>4129577.0780000002</v>
      </c>
      <c r="W161">
        <v>4385010.4879999999</v>
      </c>
      <c r="X161">
        <v>4553018.9859999996</v>
      </c>
      <c r="Y161">
        <v>4506034.5810000002</v>
      </c>
      <c r="Z161">
        <v>4382444.6529999999</v>
      </c>
      <c r="AA161">
        <v>4200491.4620000003</v>
      </c>
      <c r="AB161">
        <v>3942383.1230000001</v>
      </c>
      <c r="AC161">
        <v>3664183.236</v>
      </c>
      <c r="AD161">
        <v>3256074.432</v>
      </c>
      <c r="AE161">
        <v>2856892.2719999999</v>
      </c>
      <c r="AF161">
        <v>2478537.6809999999</v>
      </c>
      <c r="AG161">
        <v>2252863.727</v>
      </c>
      <c r="AH161">
        <v>2039479.64</v>
      </c>
      <c r="AI161">
        <v>1831471.0660000001</v>
      </c>
      <c r="AJ161">
        <v>1634592.6310000001</v>
      </c>
      <c r="AK161">
        <v>1446531.915</v>
      </c>
      <c r="AL161">
        <v>1625509.497</v>
      </c>
      <c r="AM161">
        <v>1789096.824</v>
      </c>
      <c r="AN161">
        <v>1519358.3640000001</v>
      </c>
      <c r="AO161">
        <v>1261721.6140000001</v>
      </c>
      <c r="AP161">
        <v>1016427.398</v>
      </c>
      <c r="AQ161">
        <v>783455.28410000005</v>
      </c>
      <c r="AR161">
        <v>561556.67539999995</v>
      </c>
      <c r="AS161">
        <v>628503.39020000002</v>
      </c>
      <c r="AT161">
        <v>690303.32449999999</v>
      </c>
      <c r="AU161">
        <v>746302.22759999998</v>
      </c>
      <c r="AV161">
        <v>797998.21990000003</v>
      </c>
      <c r="AW161">
        <v>845367.03529999999</v>
      </c>
    </row>
    <row r="162" spans="2:49" x14ac:dyDescent="0.25">
      <c r="B162" t="s">
        <v>233</v>
      </c>
      <c r="C162">
        <v>746221.21464997705</v>
      </c>
      <c r="D162">
        <v>758202.03762327298</v>
      </c>
      <c r="E162">
        <v>770375.21660000004</v>
      </c>
      <c r="F162">
        <v>784864.38020000001</v>
      </c>
      <c r="G162">
        <v>646032.04810000001</v>
      </c>
      <c r="H162">
        <v>574427.74600000004</v>
      </c>
      <c r="I162">
        <v>367019.56689999998</v>
      </c>
      <c r="J162">
        <v>369945.48200000002</v>
      </c>
      <c r="K162">
        <v>341443.3996</v>
      </c>
      <c r="L162">
        <v>336842.74560000002</v>
      </c>
      <c r="M162">
        <v>340330.54239999998</v>
      </c>
      <c r="N162">
        <v>330185.41399999999</v>
      </c>
      <c r="O162">
        <v>281259.51160000003</v>
      </c>
      <c r="P162">
        <v>242305.92019999999</v>
      </c>
      <c r="Q162">
        <v>213274.9834</v>
      </c>
      <c r="R162">
        <v>191144.32089999999</v>
      </c>
      <c r="S162">
        <v>171270.54300000001</v>
      </c>
      <c r="T162">
        <v>160660.69779999999</v>
      </c>
      <c r="U162">
        <v>150240.84239999999</v>
      </c>
      <c r="V162">
        <v>141615.9149</v>
      </c>
      <c r="W162">
        <v>122548.7464</v>
      </c>
      <c r="X162">
        <v>101403.8841</v>
      </c>
      <c r="Y162">
        <v>91412.781589999999</v>
      </c>
      <c r="Z162">
        <v>84332.861600000004</v>
      </c>
      <c r="AA162">
        <v>78612.831590000002</v>
      </c>
      <c r="AB162">
        <v>73669.374079999994</v>
      </c>
      <c r="AC162">
        <v>69546.165970000002</v>
      </c>
      <c r="AD162">
        <v>69633.161649999995</v>
      </c>
      <c r="AE162">
        <v>70219.822209999998</v>
      </c>
      <c r="AF162">
        <v>70907.146670000002</v>
      </c>
      <c r="AG162">
        <v>71673.513630000001</v>
      </c>
      <c r="AH162">
        <v>72494.021689999994</v>
      </c>
      <c r="AI162">
        <v>73400.880919999996</v>
      </c>
      <c r="AJ162">
        <v>74283.352859999999</v>
      </c>
      <c r="AK162">
        <v>75252.525139999998</v>
      </c>
      <c r="AL162">
        <v>76292.293170000004</v>
      </c>
      <c r="AM162">
        <v>77373.033360000001</v>
      </c>
      <c r="AN162">
        <v>77964.078439999997</v>
      </c>
      <c r="AO162">
        <v>78342.77476</v>
      </c>
      <c r="AP162">
        <v>78595.979919999998</v>
      </c>
      <c r="AQ162">
        <v>78903.450849999994</v>
      </c>
      <c r="AR162">
        <v>79038.375469999999</v>
      </c>
      <c r="AS162">
        <v>79307.12556</v>
      </c>
      <c r="AT162">
        <v>79735.668749999997</v>
      </c>
      <c r="AU162">
        <v>80148.463990000004</v>
      </c>
      <c r="AV162">
        <v>80549.650370000003</v>
      </c>
      <c r="AW162">
        <v>81054.083259999999</v>
      </c>
    </row>
    <row r="163" spans="2:49" x14ac:dyDescent="0.25">
      <c r="B163" t="s">
        <v>234</v>
      </c>
      <c r="C163">
        <v>480333.66960581898</v>
      </c>
      <c r="D163">
        <v>488045.58203966799</v>
      </c>
      <c r="E163">
        <v>495881.31170000002</v>
      </c>
      <c r="F163">
        <v>501001.76419999998</v>
      </c>
      <c r="G163">
        <v>417662.10840000003</v>
      </c>
      <c r="H163">
        <v>386836.65659999999</v>
      </c>
      <c r="I163">
        <v>350207.57980000001</v>
      </c>
      <c r="J163">
        <v>314441.89889999997</v>
      </c>
      <c r="K163">
        <v>303560.20909999998</v>
      </c>
      <c r="L163">
        <v>325422.59240000002</v>
      </c>
      <c r="M163">
        <v>326911.00069999998</v>
      </c>
      <c r="N163">
        <v>328443.57339999999</v>
      </c>
      <c r="O163">
        <v>246573.37059999999</v>
      </c>
      <c r="P163">
        <v>190457.3463</v>
      </c>
      <c r="Q163">
        <v>161810.3131</v>
      </c>
      <c r="R163">
        <v>144173.02710000001</v>
      </c>
      <c r="S163">
        <v>129551.0698</v>
      </c>
      <c r="T163">
        <v>126154.4822</v>
      </c>
      <c r="U163">
        <v>124243.7966</v>
      </c>
      <c r="V163">
        <v>122000.46610000001</v>
      </c>
      <c r="W163">
        <v>123186.86350000001</v>
      </c>
      <c r="X163">
        <v>116697.7822</v>
      </c>
      <c r="Y163">
        <v>116009.4105</v>
      </c>
      <c r="Z163">
        <v>117426.8128</v>
      </c>
      <c r="AA163">
        <v>120290.0672</v>
      </c>
      <c r="AB163">
        <v>124532.5183</v>
      </c>
      <c r="AC163">
        <v>130551.84699999999</v>
      </c>
      <c r="AD163">
        <v>130948.75019999999</v>
      </c>
      <c r="AE163">
        <v>132561.3493</v>
      </c>
      <c r="AF163">
        <v>134412.6072</v>
      </c>
      <c r="AG163">
        <v>136474.1139</v>
      </c>
      <c r="AH163">
        <v>138494.85560000001</v>
      </c>
      <c r="AI163">
        <v>140655.16990000001</v>
      </c>
      <c r="AJ163">
        <v>143035.0968</v>
      </c>
      <c r="AK163">
        <v>145470.4412</v>
      </c>
      <c r="AL163">
        <v>148086.764</v>
      </c>
      <c r="AM163">
        <v>150784.44959999999</v>
      </c>
      <c r="AN163">
        <v>152660.9804</v>
      </c>
      <c r="AO163">
        <v>154428.8995</v>
      </c>
      <c r="AP163">
        <v>155967.3787</v>
      </c>
      <c r="AQ163">
        <v>157403.02480000001</v>
      </c>
      <c r="AR163">
        <v>158602.185</v>
      </c>
      <c r="AS163">
        <v>160292.35949999999</v>
      </c>
      <c r="AT163">
        <v>162061.0539</v>
      </c>
      <c r="AU163">
        <v>163866.394</v>
      </c>
      <c r="AV163">
        <v>165644.16829999999</v>
      </c>
      <c r="AW163">
        <v>167407.40299999999</v>
      </c>
    </row>
    <row r="164" spans="2:49" x14ac:dyDescent="0.25">
      <c r="B164" t="s">
        <v>235</v>
      </c>
      <c r="C164">
        <v>1469582.3108926199</v>
      </c>
      <c r="D164">
        <v>1493176.93024387</v>
      </c>
      <c r="E164">
        <v>1517150.3689999999</v>
      </c>
      <c r="F164">
        <v>1534774.851</v>
      </c>
      <c r="G164">
        <v>1325534.852</v>
      </c>
      <c r="H164">
        <v>1278018.5249999999</v>
      </c>
      <c r="I164">
        <v>980008.80859999999</v>
      </c>
      <c r="J164">
        <v>906773.03830000001</v>
      </c>
      <c r="K164">
        <v>905929.77</v>
      </c>
      <c r="L164">
        <v>964071.33940000006</v>
      </c>
      <c r="M164">
        <v>970142.98259999999</v>
      </c>
      <c r="N164">
        <v>980577.39430000004</v>
      </c>
      <c r="O164">
        <v>757349.85660000006</v>
      </c>
      <c r="P164">
        <v>597555.75230000005</v>
      </c>
      <c r="Q164">
        <v>510612.54060000001</v>
      </c>
      <c r="R164">
        <v>465947.35859999998</v>
      </c>
      <c r="S164">
        <v>413048.95809999999</v>
      </c>
      <c r="T164">
        <v>395791.39240000001</v>
      </c>
      <c r="U164">
        <v>382381.17800000001</v>
      </c>
      <c r="V164">
        <v>367709.04719999997</v>
      </c>
      <c r="W164">
        <v>350591.48690000002</v>
      </c>
      <c r="X164">
        <v>313854.17469999997</v>
      </c>
      <c r="Y164">
        <v>296599.1642</v>
      </c>
      <c r="Z164">
        <v>285091.15360000002</v>
      </c>
      <c r="AA164">
        <v>276647.32160000002</v>
      </c>
      <c r="AB164">
        <v>270328.70620000002</v>
      </c>
      <c r="AC164">
        <v>266528.2157</v>
      </c>
      <c r="AD164">
        <v>268050.77149999997</v>
      </c>
      <c r="AE164">
        <v>272009.1948</v>
      </c>
      <c r="AF164">
        <v>276474.81900000002</v>
      </c>
      <c r="AG164">
        <v>281358.28580000001</v>
      </c>
      <c r="AH164">
        <v>286302.90749999997</v>
      </c>
      <c r="AI164">
        <v>291548.3052</v>
      </c>
      <c r="AJ164">
        <v>297210.23469999997</v>
      </c>
      <c r="AK164">
        <v>302962.25150000001</v>
      </c>
      <c r="AL164">
        <v>309169.37770000001</v>
      </c>
      <c r="AM164">
        <v>315461.48229999997</v>
      </c>
      <c r="AN164">
        <v>319663.90240000002</v>
      </c>
      <c r="AO164">
        <v>323673.18650000001</v>
      </c>
      <c r="AP164">
        <v>327106.09529999999</v>
      </c>
      <c r="AQ164">
        <v>330318.05900000001</v>
      </c>
      <c r="AR164">
        <v>333119.6384</v>
      </c>
      <c r="AS164">
        <v>337328.15029999998</v>
      </c>
      <c r="AT164">
        <v>341745.63419999997</v>
      </c>
      <c r="AU164">
        <v>346227.68569999997</v>
      </c>
      <c r="AV164">
        <v>350610.33169999998</v>
      </c>
      <c r="AW164">
        <v>354904.7328</v>
      </c>
    </row>
    <row r="165" spans="2:49" x14ac:dyDescent="0.25">
      <c r="B165" t="s">
        <v>236</v>
      </c>
      <c r="C165">
        <v>225722.47732836599</v>
      </c>
      <c r="D165">
        <v>229346.52471387701</v>
      </c>
      <c r="E165">
        <v>233028.7574</v>
      </c>
      <c r="F165">
        <v>236552.79759999999</v>
      </c>
      <c r="G165">
        <v>214093.95740000001</v>
      </c>
      <c r="H165">
        <v>204123.3406</v>
      </c>
      <c r="I165">
        <v>186676.56469999999</v>
      </c>
      <c r="J165">
        <v>180632.63200000001</v>
      </c>
      <c r="K165">
        <v>182766.4204</v>
      </c>
      <c r="L165">
        <v>194600.18179999999</v>
      </c>
      <c r="M165">
        <v>198252.10320000001</v>
      </c>
      <c r="N165">
        <v>202605.87419999999</v>
      </c>
      <c r="O165">
        <v>169690.45319999999</v>
      </c>
      <c r="P165">
        <v>147814.20499999999</v>
      </c>
      <c r="Q165">
        <v>135877.52069999999</v>
      </c>
      <c r="R165">
        <v>132085.74660000001</v>
      </c>
      <c r="S165">
        <v>124687.3991</v>
      </c>
      <c r="T165">
        <v>121301.9967</v>
      </c>
      <c r="U165">
        <v>119331.4869</v>
      </c>
      <c r="V165">
        <v>117348.36320000001</v>
      </c>
      <c r="W165">
        <v>110106.05680000001</v>
      </c>
      <c r="X165">
        <v>99448.771189999999</v>
      </c>
      <c r="Y165">
        <v>93777.815189999994</v>
      </c>
      <c r="Z165">
        <v>89385.423559999996</v>
      </c>
      <c r="AA165">
        <v>86007.099539999996</v>
      </c>
      <c r="AB165">
        <v>83114.128700000001</v>
      </c>
      <c r="AC165">
        <v>80756.162930000006</v>
      </c>
      <c r="AD165">
        <v>80761.605290000007</v>
      </c>
      <c r="AE165">
        <v>81573.135420000006</v>
      </c>
      <c r="AF165">
        <v>82560.670880000005</v>
      </c>
      <c r="AG165">
        <v>83703.201239999995</v>
      </c>
      <c r="AH165">
        <v>84841.571400000001</v>
      </c>
      <c r="AI165">
        <v>86031.488100000002</v>
      </c>
      <c r="AJ165">
        <v>87403.101039999994</v>
      </c>
      <c r="AK165">
        <v>88832.263479999994</v>
      </c>
      <c r="AL165">
        <v>90349.854779999994</v>
      </c>
      <c r="AM165">
        <v>91965.430720000004</v>
      </c>
      <c r="AN165">
        <v>93083.063859999995</v>
      </c>
      <c r="AO165">
        <v>94094.690990000003</v>
      </c>
      <c r="AP165">
        <v>95064.3272</v>
      </c>
      <c r="AQ165">
        <v>95983.322310000003</v>
      </c>
      <c r="AR165">
        <v>96822.946500000005</v>
      </c>
      <c r="AS165">
        <v>97917.744810000004</v>
      </c>
      <c r="AT165">
        <v>99045.269379999998</v>
      </c>
      <c r="AU165">
        <v>100201.1018</v>
      </c>
      <c r="AV165">
        <v>101336.8227</v>
      </c>
      <c r="AW165">
        <v>102452.9912</v>
      </c>
    </row>
    <row r="166" spans="2:49" x14ac:dyDescent="0.25">
      <c r="B166" t="s">
        <v>237</v>
      </c>
      <c r="C166">
        <v>20679763.666016001</v>
      </c>
      <c r="D166">
        <v>21011783.9607329</v>
      </c>
      <c r="E166">
        <v>21361243.91</v>
      </c>
      <c r="F166">
        <v>21487264.75</v>
      </c>
      <c r="G166">
        <v>18162349.440000001</v>
      </c>
      <c r="H166">
        <v>15169202.720000001</v>
      </c>
      <c r="I166">
        <v>15551180.83</v>
      </c>
      <c r="J166">
        <v>15180996</v>
      </c>
      <c r="K166">
        <v>14441635.460000001</v>
      </c>
      <c r="L166">
        <v>15120283.01</v>
      </c>
      <c r="M166">
        <v>15487189.84</v>
      </c>
      <c r="N166">
        <v>15815334.109999999</v>
      </c>
      <c r="O166">
        <v>13101754.220000001</v>
      </c>
      <c r="P166">
        <v>11769211.66</v>
      </c>
      <c r="Q166">
        <v>10699681.48</v>
      </c>
      <c r="R166">
        <v>9834234.9179999996</v>
      </c>
      <c r="S166">
        <v>9251161.773</v>
      </c>
      <c r="T166">
        <v>9199433.4839999899</v>
      </c>
      <c r="U166">
        <v>9185266.875</v>
      </c>
      <c r="V166">
        <v>9229144.693</v>
      </c>
      <c r="W166">
        <v>8623760.6490000002</v>
      </c>
      <c r="X166">
        <v>7888217.8810000001</v>
      </c>
      <c r="Y166">
        <v>7425790.6320000002</v>
      </c>
      <c r="Z166">
        <v>7105946.1909999996</v>
      </c>
      <c r="AA166">
        <v>6852367.7810000004</v>
      </c>
      <c r="AB166">
        <v>6641202.2199999997</v>
      </c>
      <c r="AC166">
        <v>6469061.8459999999</v>
      </c>
      <c r="AD166">
        <v>6475830.0810000002</v>
      </c>
      <c r="AE166">
        <v>6520395.6349999998</v>
      </c>
      <c r="AF166">
        <v>6571857.7620000001</v>
      </c>
      <c r="AG166">
        <v>6629763.6809999999</v>
      </c>
      <c r="AH166">
        <v>6687931.1689999998</v>
      </c>
      <c r="AI166">
        <v>6753072.6150000002</v>
      </c>
      <c r="AJ166">
        <v>6821875.9900000002</v>
      </c>
      <c r="AK166">
        <v>6892632.9239999996</v>
      </c>
      <c r="AL166">
        <v>6967122.4670000002</v>
      </c>
      <c r="AM166">
        <v>7040930.7769999998</v>
      </c>
      <c r="AN166">
        <v>7093232.8660000004</v>
      </c>
      <c r="AO166">
        <v>7141452.3099999996</v>
      </c>
      <c r="AP166">
        <v>7179786.9859999996</v>
      </c>
      <c r="AQ166">
        <v>7215540.29</v>
      </c>
      <c r="AR166">
        <v>7240057.2719999999</v>
      </c>
      <c r="AS166">
        <v>7276693.534</v>
      </c>
      <c r="AT166">
        <v>7315693.6869999999</v>
      </c>
      <c r="AU166">
        <v>7353215.1869999999</v>
      </c>
      <c r="AV166">
        <v>7388214.5060000001</v>
      </c>
      <c r="AW166">
        <v>7422378.9840000002</v>
      </c>
    </row>
    <row r="167" spans="2:49" x14ac:dyDescent="0.25">
      <c r="B167" t="s">
        <v>238</v>
      </c>
      <c r="C167">
        <v>2009388.6600685499</v>
      </c>
      <c r="D167">
        <v>2041650.04496113</v>
      </c>
      <c r="E167">
        <v>2074429.3970000001</v>
      </c>
      <c r="F167">
        <v>2143760.25</v>
      </c>
      <c r="G167">
        <v>1718023.5819999999</v>
      </c>
      <c r="H167">
        <v>1633907.0090000001</v>
      </c>
      <c r="I167">
        <v>1646627.656</v>
      </c>
      <c r="J167">
        <v>1523583.3049999999</v>
      </c>
      <c r="K167">
        <v>1564145.7450000001</v>
      </c>
      <c r="L167">
        <v>1798392.787</v>
      </c>
      <c r="M167">
        <v>1878047.8319999999</v>
      </c>
      <c r="N167">
        <v>1892999.317</v>
      </c>
      <c r="O167">
        <v>1209135.554</v>
      </c>
      <c r="P167">
        <v>837290.23609999998</v>
      </c>
      <c r="Q167">
        <v>676632.2561</v>
      </c>
      <c r="R167">
        <v>615121.98730000004</v>
      </c>
      <c r="S167">
        <v>542125.20070000004</v>
      </c>
      <c r="T167">
        <v>539418.25309999997</v>
      </c>
      <c r="U167">
        <v>547659.81960000005</v>
      </c>
      <c r="V167">
        <v>561471.49939999997</v>
      </c>
      <c r="W167">
        <v>578556.37300000002</v>
      </c>
      <c r="X167">
        <v>568913.08149999997</v>
      </c>
      <c r="Y167">
        <v>546858.04960000003</v>
      </c>
      <c r="Z167">
        <v>523854.75650000002</v>
      </c>
      <c r="AA167">
        <v>499984.97989999998</v>
      </c>
      <c r="AB167">
        <v>476316.80560000002</v>
      </c>
      <c r="AC167">
        <v>453921.6483</v>
      </c>
      <c r="AD167">
        <v>457400.42090000003</v>
      </c>
      <c r="AE167">
        <v>465845.62939999998</v>
      </c>
      <c r="AF167">
        <v>475459.56709999999</v>
      </c>
      <c r="AG167">
        <v>485991.58779999998</v>
      </c>
      <c r="AH167">
        <v>496449.37400000001</v>
      </c>
      <c r="AI167">
        <v>508085.663</v>
      </c>
      <c r="AJ167">
        <v>520337.30330000003</v>
      </c>
      <c r="AK167">
        <v>532852.23219999997</v>
      </c>
      <c r="AL167">
        <v>546252.39199999999</v>
      </c>
      <c r="AM167">
        <v>559720.40899999999</v>
      </c>
      <c r="AN167">
        <v>573729.77489999996</v>
      </c>
      <c r="AO167">
        <v>588405.10349999997</v>
      </c>
      <c r="AP167">
        <v>602779.3835</v>
      </c>
      <c r="AQ167">
        <v>617559.9767</v>
      </c>
      <c r="AR167">
        <v>631851.6851</v>
      </c>
      <c r="AS167">
        <v>645958.09299999999</v>
      </c>
      <c r="AT167">
        <v>660706.98430000001</v>
      </c>
      <c r="AU167">
        <v>675939.62910000002</v>
      </c>
      <c r="AV167">
        <v>691515.8591</v>
      </c>
      <c r="AW167">
        <v>707547.0405</v>
      </c>
    </row>
    <row r="168" spans="2:49" x14ac:dyDescent="0.25">
      <c r="B168" t="s">
        <v>239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2:49" x14ac:dyDescent="0.25">
      <c r="B169" t="s">
        <v>240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2:49" x14ac:dyDescent="0.25">
      <c r="B170" t="s">
        <v>241</v>
      </c>
      <c r="C170">
        <v>20174774.421468802</v>
      </c>
      <c r="D170">
        <v>20498686.950521201</v>
      </c>
      <c r="E170">
        <v>20827800</v>
      </c>
      <c r="F170">
        <v>19746362.690000001</v>
      </c>
      <c r="G170">
        <v>18579206.66</v>
      </c>
      <c r="H170">
        <v>16390218.619999999</v>
      </c>
      <c r="I170">
        <v>15332247.359999999</v>
      </c>
      <c r="J170">
        <v>14481440.77</v>
      </c>
      <c r="K170">
        <v>13516858.43</v>
      </c>
      <c r="L170">
        <v>12418197.539999999</v>
      </c>
      <c r="M170">
        <v>11374155.32</v>
      </c>
      <c r="N170">
        <v>10295168.1</v>
      </c>
      <c r="O170">
        <v>8748180.2400000002</v>
      </c>
      <c r="P170">
        <v>7408412.3930000002</v>
      </c>
      <c r="Q170">
        <v>6118703.4550000001</v>
      </c>
      <c r="R170">
        <v>4633326.3219999997</v>
      </c>
      <c r="S170">
        <v>3102331.8769999999</v>
      </c>
      <c r="T170">
        <v>2843895.3360000001</v>
      </c>
      <c r="U170">
        <v>2697066.7220000001</v>
      </c>
      <c r="V170">
        <v>2563522.3059999999</v>
      </c>
      <c r="W170">
        <v>1714000.895</v>
      </c>
      <c r="X170">
        <v>805742.82689999999</v>
      </c>
      <c r="Y170">
        <v>588573.06429999997</v>
      </c>
      <c r="Z170">
        <v>416833.64230000001</v>
      </c>
      <c r="AA170">
        <v>251231.78030000001</v>
      </c>
      <c r="AB170">
        <v>237531.03880000001</v>
      </c>
      <c r="AC170">
        <v>235666.30300000001</v>
      </c>
      <c r="AD170">
        <v>200454.21400000001</v>
      </c>
      <c r="AE170">
        <v>161661.96220000001</v>
      </c>
      <c r="AF170">
        <v>122316.9178</v>
      </c>
      <c r="AG170">
        <v>114791.57030000001</v>
      </c>
      <c r="AH170">
        <v>110031.0958</v>
      </c>
      <c r="AI170">
        <v>109439.3472</v>
      </c>
      <c r="AJ170">
        <v>109320.7974</v>
      </c>
      <c r="AK170">
        <v>109220.74430000001</v>
      </c>
      <c r="AL170">
        <v>109259.5947</v>
      </c>
      <c r="AM170">
        <v>109151.1706</v>
      </c>
      <c r="AN170">
        <v>109297.03879999999</v>
      </c>
      <c r="AO170">
        <v>109531.9939</v>
      </c>
      <c r="AP170">
        <v>109693.38770000001</v>
      </c>
      <c r="AQ170">
        <v>109822.6256</v>
      </c>
      <c r="AR170">
        <v>109881.0432</v>
      </c>
      <c r="AS170">
        <v>110077.83349999999</v>
      </c>
      <c r="AT170">
        <v>110282.07799999999</v>
      </c>
      <c r="AU170">
        <v>110474.7648</v>
      </c>
      <c r="AV170">
        <v>110633.42230000001</v>
      </c>
      <c r="AW170">
        <v>110774.66310000001</v>
      </c>
    </row>
    <row r="171" spans="2:49" x14ac:dyDescent="0.25">
      <c r="B171" t="s">
        <v>242</v>
      </c>
      <c r="C171">
        <v>16278956.881142</v>
      </c>
      <c r="D171">
        <v>16540320.799446501</v>
      </c>
      <c r="E171">
        <v>16805881</v>
      </c>
      <c r="F171">
        <v>16652727.390000001</v>
      </c>
      <c r="G171">
        <v>15803484.76</v>
      </c>
      <c r="H171">
        <v>15158728.640000001</v>
      </c>
      <c r="I171">
        <v>14684663.800000001</v>
      </c>
      <c r="J171">
        <v>12871408.18</v>
      </c>
      <c r="K171">
        <v>11220370.380000001</v>
      </c>
      <c r="L171">
        <v>9852633.0749999899</v>
      </c>
      <c r="M171">
        <v>8816909.7709999997</v>
      </c>
      <c r="N171">
        <v>7968409.6550000003</v>
      </c>
      <c r="O171">
        <v>7233851.9460000005</v>
      </c>
      <c r="P171">
        <v>6505791.4759999998</v>
      </c>
      <c r="Q171">
        <v>5738799.2369999997</v>
      </c>
      <c r="R171">
        <v>5097126.8830000004</v>
      </c>
      <c r="S171">
        <v>4451642.6780000003</v>
      </c>
      <c r="T171">
        <v>5206668.4349999996</v>
      </c>
      <c r="U171">
        <v>5934705.2580000004</v>
      </c>
      <c r="V171">
        <v>6608203.0269999998</v>
      </c>
      <c r="W171">
        <v>7348967.568</v>
      </c>
      <c r="X171">
        <v>7970939.3229999999</v>
      </c>
      <c r="Y171">
        <v>7745374.6529999999</v>
      </c>
      <c r="Z171">
        <v>7525557.9869999997</v>
      </c>
      <c r="AA171">
        <v>7304953.9730000002</v>
      </c>
      <c r="AB171">
        <v>7085118.3459999999</v>
      </c>
      <c r="AC171">
        <v>6856451.1770000001</v>
      </c>
      <c r="AD171">
        <v>6726913.2400000002</v>
      </c>
      <c r="AE171">
        <v>6568165.6720000003</v>
      </c>
      <c r="AF171">
        <v>6118339.4500000002</v>
      </c>
      <c r="AG171">
        <v>5910142.4840000002</v>
      </c>
      <c r="AH171">
        <v>5668200.0800000001</v>
      </c>
      <c r="AI171">
        <v>5520124.9939999999</v>
      </c>
      <c r="AJ171">
        <v>5309214.09</v>
      </c>
      <c r="AK171">
        <v>5024648.4869999997</v>
      </c>
      <c r="AL171">
        <v>4917447.9570000004</v>
      </c>
      <c r="AM171">
        <v>4661251.9800000004</v>
      </c>
      <c r="AN171">
        <v>4591853.2810000004</v>
      </c>
      <c r="AO171">
        <v>4449900.5530000003</v>
      </c>
      <c r="AP171">
        <v>4219338.5319999997</v>
      </c>
      <c r="AQ171">
        <v>3900239.7969999998</v>
      </c>
      <c r="AR171">
        <v>3474794.5010000002</v>
      </c>
      <c r="AS171">
        <v>3097857.875</v>
      </c>
      <c r="AT171">
        <v>2745895.0049999999</v>
      </c>
      <c r="AU171">
        <v>2418169.2489999998</v>
      </c>
      <c r="AV171">
        <v>2112269.3739999998</v>
      </c>
      <c r="AW171">
        <v>1827392.2919999999</v>
      </c>
    </row>
    <row r="172" spans="2:49" x14ac:dyDescent="0.25">
      <c r="B172" t="s">
        <v>243</v>
      </c>
      <c r="C172">
        <v>6501803.9853722304</v>
      </c>
      <c r="D172">
        <v>6606192.55142547</v>
      </c>
      <c r="E172">
        <v>6714977.4309999999</v>
      </c>
      <c r="F172">
        <v>6901439.0779999997</v>
      </c>
      <c r="G172">
        <v>6564439.7570000002</v>
      </c>
      <c r="H172">
        <v>6910940.7189999996</v>
      </c>
      <c r="I172">
        <v>7091585.6129999999</v>
      </c>
      <c r="J172">
        <v>6684027.8430000003</v>
      </c>
      <c r="K172">
        <v>6408975.0650000004</v>
      </c>
      <c r="L172">
        <v>6221962.0020000003</v>
      </c>
      <c r="M172">
        <v>6645621.8430000003</v>
      </c>
      <c r="N172">
        <v>7090479.5360000003</v>
      </c>
      <c r="O172">
        <v>7345225.8140000002</v>
      </c>
      <c r="P172">
        <v>7379410.8540000003</v>
      </c>
      <c r="Q172">
        <v>6858279.6150000002</v>
      </c>
      <c r="R172">
        <v>6861126.3150000004</v>
      </c>
      <c r="S172">
        <v>6910828.2659999998</v>
      </c>
      <c r="T172">
        <v>6945387.699</v>
      </c>
      <c r="U172">
        <v>6973464.4709999999</v>
      </c>
      <c r="V172">
        <v>7014517.7209999999</v>
      </c>
      <c r="W172">
        <v>6953921.3250000002</v>
      </c>
      <c r="X172">
        <v>6841070.6140000001</v>
      </c>
      <c r="Y172">
        <v>6881118.4249999998</v>
      </c>
      <c r="Z172">
        <v>6923749.9929999998</v>
      </c>
      <c r="AA172">
        <v>6955497.8080000002</v>
      </c>
      <c r="AB172">
        <v>6968551.8329999996</v>
      </c>
      <c r="AC172">
        <v>6957301.7609999999</v>
      </c>
      <c r="AD172">
        <v>6833992.3030000003</v>
      </c>
      <c r="AE172">
        <v>6698539.1960000005</v>
      </c>
      <c r="AF172">
        <v>6541263.0549999997</v>
      </c>
      <c r="AG172">
        <v>6363236.4939999999</v>
      </c>
      <c r="AH172">
        <v>6158519.7010000004</v>
      </c>
      <c r="AI172">
        <v>5906877.6380000003</v>
      </c>
      <c r="AJ172">
        <v>5623505.8930000002</v>
      </c>
      <c r="AK172">
        <v>5286613.983</v>
      </c>
      <c r="AL172">
        <v>4909531.2740000002</v>
      </c>
      <c r="AM172">
        <v>4458670.26</v>
      </c>
      <c r="AN172">
        <v>4225316.4119999995</v>
      </c>
      <c r="AO172">
        <v>3962944.3450000002</v>
      </c>
      <c r="AP172">
        <v>3654482.5240000002</v>
      </c>
      <c r="AQ172">
        <v>3298245.73</v>
      </c>
      <c r="AR172">
        <v>2881254.1239999998</v>
      </c>
      <c r="AS172">
        <v>2796196.108</v>
      </c>
      <c r="AT172">
        <v>2702765.5860000001</v>
      </c>
      <c r="AU172">
        <v>2602581.6940000001</v>
      </c>
      <c r="AV172">
        <v>2493424.0150000001</v>
      </c>
      <c r="AW172">
        <v>2373919.6189999999</v>
      </c>
    </row>
    <row r="173" spans="2:49" x14ac:dyDescent="0.25">
      <c r="B173" t="s">
        <v>244</v>
      </c>
      <c r="C173">
        <v>6377150.6112568304</v>
      </c>
      <c r="D173">
        <v>6479537.8270683698</v>
      </c>
      <c r="E173">
        <v>6586237.0690000001</v>
      </c>
      <c r="F173">
        <v>6724761.6169999996</v>
      </c>
      <c r="G173">
        <v>6344788.8219999997</v>
      </c>
      <c r="H173">
        <v>6629831.4179999996</v>
      </c>
      <c r="I173">
        <v>6530057.9759999998</v>
      </c>
      <c r="J173">
        <v>6298382.4680000003</v>
      </c>
      <c r="K173">
        <v>5910602.551</v>
      </c>
      <c r="L173">
        <v>5828325.1140000001</v>
      </c>
      <c r="M173">
        <v>5954664.1919999998</v>
      </c>
      <c r="N173">
        <v>6183995.4790000003</v>
      </c>
      <c r="O173">
        <v>5533299.6140000001</v>
      </c>
      <c r="P173">
        <v>4816245.7989999996</v>
      </c>
      <c r="Q173">
        <v>4118951.4709999999</v>
      </c>
      <c r="R173">
        <v>3726937.1430000002</v>
      </c>
      <c r="S173">
        <v>3458633.3790000002</v>
      </c>
      <c r="T173">
        <v>3427777.4010000001</v>
      </c>
      <c r="U173">
        <v>3469819.7740000002</v>
      </c>
      <c r="V173">
        <v>3506188.5589999999</v>
      </c>
      <c r="W173">
        <v>3218588.699</v>
      </c>
      <c r="X173">
        <v>2823652.2769999998</v>
      </c>
      <c r="Y173">
        <v>2530842.8629999999</v>
      </c>
      <c r="Z173">
        <v>2274592.6740000001</v>
      </c>
      <c r="AA173">
        <v>2056784.1340000001</v>
      </c>
      <c r="AB173">
        <v>1869132.669</v>
      </c>
      <c r="AC173">
        <v>1705933.6629999999</v>
      </c>
      <c r="AD173">
        <v>1658041.0220000001</v>
      </c>
      <c r="AE173">
        <v>1633264.2919999999</v>
      </c>
      <c r="AF173">
        <v>1607226.324</v>
      </c>
      <c r="AG173">
        <v>1577470.2860000001</v>
      </c>
      <c r="AH173">
        <v>1538336.693</v>
      </c>
      <c r="AI173">
        <v>1485250</v>
      </c>
      <c r="AJ173">
        <v>1424581.351</v>
      </c>
      <c r="AK173">
        <v>1349613.558</v>
      </c>
      <c r="AL173">
        <v>1262726.0390000001</v>
      </c>
      <c r="AM173">
        <v>1156666.196</v>
      </c>
      <c r="AN173">
        <v>1106001.537</v>
      </c>
      <c r="AO173">
        <v>1046367.475</v>
      </c>
      <c r="AP173">
        <v>973590.8456</v>
      </c>
      <c r="AQ173">
        <v>886489.6716</v>
      </c>
      <c r="AR173">
        <v>781112.19090000005</v>
      </c>
      <c r="AS173">
        <v>764614.27370000002</v>
      </c>
      <c r="AT173">
        <v>745388.74340000004</v>
      </c>
      <c r="AU173">
        <v>723850.90740000003</v>
      </c>
      <c r="AV173">
        <v>699342.1202</v>
      </c>
      <c r="AW173">
        <v>671423.77190000005</v>
      </c>
    </row>
    <row r="174" spans="2:49" x14ac:dyDescent="0.25">
      <c r="B174" t="s">
        <v>245</v>
      </c>
      <c r="C174">
        <v>415184.68418409303</v>
      </c>
      <c r="D174">
        <v>421850.60858395998</v>
      </c>
      <c r="E174">
        <v>428797.26770000003</v>
      </c>
      <c r="F174">
        <v>425408.84240000002</v>
      </c>
      <c r="G174">
        <v>396614.29570000002</v>
      </c>
      <c r="H174">
        <v>376702.68489999999</v>
      </c>
      <c r="I174">
        <v>398204.3713</v>
      </c>
      <c r="J174">
        <v>377702.0528</v>
      </c>
      <c r="K174">
        <v>353130.82049999997</v>
      </c>
      <c r="L174">
        <v>350059.03230000002</v>
      </c>
      <c r="M174">
        <v>367635.53419999999</v>
      </c>
      <c r="N174">
        <v>407007.9325</v>
      </c>
      <c r="O174">
        <v>363603.3602</v>
      </c>
      <c r="P174">
        <v>314159.28169999999</v>
      </c>
      <c r="Q174">
        <v>261942.78339999999</v>
      </c>
      <c r="R174">
        <v>233305.73730000001</v>
      </c>
      <c r="S174">
        <v>196550.90890000001</v>
      </c>
      <c r="T174">
        <v>195538.20189999999</v>
      </c>
      <c r="U174">
        <v>197978.2611</v>
      </c>
      <c r="V174">
        <v>200267.22380000001</v>
      </c>
      <c r="W174">
        <v>175647.54370000001</v>
      </c>
      <c r="X174">
        <v>146067.61739999999</v>
      </c>
      <c r="Y174">
        <v>123523.4181</v>
      </c>
      <c r="Z174">
        <v>105810.13959999999</v>
      </c>
      <c r="AA174">
        <v>90888.388659999997</v>
      </c>
      <c r="AB174">
        <v>78522.881789999999</v>
      </c>
      <c r="AC174">
        <v>68375.538700000005</v>
      </c>
      <c r="AD174">
        <v>64804.738290000001</v>
      </c>
      <c r="AE174">
        <v>62663.146699999998</v>
      </c>
      <c r="AF174">
        <v>60892.836770000002</v>
      </c>
      <c r="AG174">
        <v>59272.279439999998</v>
      </c>
      <c r="AH174">
        <v>57559.284899999999</v>
      </c>
      <c r="AI174">
        <v>55510.981630000002</v>
      </c>
      <c r="AJ174">
        <v>53139.546569999999</v>
      </c>
      <c r="AK174">
        <v>50244.506410000002</v>
      </c>
      <c r="AL174">
        <v>46974.322910000003</v>
      </c>
      <c r="AM174">
        <v>42920.978139999999</v>
      </c>
      <c r="AN174">
        <v>41016.248570000003</v>
      </c>
      <c r="AO174">
        <v>38776.32692</v>
      </c>
      <c r="AP174">
        <v>35996.831579999998</v>
      </c>
      <c r="AQ174">
        <v>32729.99008</v>
      </c>
      <c r="AR174">
        <v>28787.444889999999</v>
      </c>
      <c r="AS174">
        <v>28148.20723</v>
      </c>
      <c r="AT174">
        <v>27440.512449999998</v>
      </c>
      <c r="AU174">
        <v>26641.381740000001</v>
      </c>
      <c r="AV174">
        <v>25732.697680000001</v>
      </c>
      <c r="AW174">
        <v>24703.09737</v>
      </c>
    </row>
    <row r="175" spans="2:49" x14ac:dyDescent="0.25">
      <c r="B175" t="s">
        <v>246</v>
      </c>
      <c r="C175">
        <v>4757556.1935294</v>
      </c>
      <c r="D175">
        <v>4833940.2970916703</v>
      </c>
      <c r="E175">
        <v>4913541.3090000004</v>
      </c>
      <c r="F175">
        <v>4952715.7529999996</v>
      </c>
      <c r="G175">
        <v>4488836.6220000004</v>
      </c>
      <c r="H175">
        <v>4084227.5449999999</v>
      </c>
      <c r="I175">
        <v>3442591.0380000002</v>
      </c>
      <c r="J175">
        <v>3587718.98</v>
      </c>
      <c r="K175">
        <v>3220341.7790000001</v>
      </c>
      <c r="L175">
        <v>3097679.861</v>
      </c>
      <c r="M175">
        <v>3179205.5750000002</v>
      </c>
      <c r="N175">
        <v>3277573.8369999998</v>
      </c>
      <c r="O175">
        <v>3046923.3330000001</v>
      </c>
      <c r="P175">
        <v>2727879.8149999999</v>
      </c>
      <c r="Q175">
        <v>2387046.7599999998</v>
      </c>
      <c r="R175">
        <v>2134344.6430000002</v>
      </c>
      <c r="S175">
        <v>1905196.59</v>
      </c>
      <c r="T175">
        <v>1785455.1980000001</v>
      </c>
      <c r="U175">
        <v>1677862.2209999999</v>
      </c>
      <c r="V175">
        <v>1558871.16</v>
      </c>
      <c r="W175">
        <v>1380392.912</v>
      </c>
      <c r="X175">
        <v>1162431.9310000001</v>
      </c>
      <c r="Y175">
        <v>1097333.9350000001</v>
      </c>
      <c r="Z175">
        <v>1072504.2339999999</v>
      </c>
      <c r="AA175">
        <v>1070875.412</v>
      </c>
      <c r="AB175">
        <v>1086192.1240000001</v>
      </c>
      <c r="AC175">
        <v>1119456.6680000001</v>
      </c>
      <c r="AD175">
        <v>1082565.183</v>
      </c>
      <c r="AE175">
        <v>1060000.101</v>
      </c>
      <c r="AF175">
        <v>1036732.334</v>
      </c>
      <c r="AG175">
        <v>1011798.22</v>
      </c>
      <c r="AH175">
        <v>981129.38450000004</v>
      </c>
      <c r="AI175">
        <v>942669.39980000001</v>
      </c>
      <c r="AJ175">
        <v>900040.81339999998</v>
      </c>
      <c r="AK175">
        <v>849866.21149999998</v>
      </c>
      <c r="AL175">
        <v>793270.15890000004</v>
      </c>
      <c r="AM175">
        <v>726000.01390000002</v>
      </c>
      <c r="AN175">
        <v>688575.55709999998</v>
      </c>
      <c r="AO175">
        <v>645507.36210000003</v>
      </c>
      <c r="AP175">
        <v>595739.92119999998</v>
      </c>
      <c r="AQ175">
        <v>539122.77399999998</v>
      </c>
      <c r="AR175">
        <v>473237.12719999999</v>
      </c>
      <c r="AS175">
        <v>460154.61580000003</v>
      </c>
      <c r="AT175">
        <v>445580.8518</v>
      </c>
      <c r="AU175">
        <v>429895.61729999998</v>
      </c>
      <c r="AV175">
        <v>412801.19949999999</v>
      </c>
      <c r="AW175">
        <v>394180.85350000003</v>
      </c>
    </row>
    <row r="176" spans="2:49" x14ac:dyDescent="0.25">
      <c r="B176" t="s">
        <v>247</v>
      </c>
      <c r="C176">
        <v>16503281.675133999</v>
      </c>
      <c r="D176">
        <v>16768247.200565999</v>
      </c>
      <c r="E176">
        <v>17044371.719999999</v>
      </c>
      <c r="F176">
        <v>17203833.170000002</v>
      </c>
      <c r="G176">
        <v>15709913.18</v>
      </c>
      <c r="H176">
        <v>14095524.609999999</v>
      </c>
      <c r="I176">
        <v>12999069.65</v>
      </c>
      <c r="J176">
        <v>13893885.07</v>
      </c>
      <c r="K176">
        <v>12461167.09</v>
      </c>
      <c r="L176">
        <v>11963362.32</v>
      </c>
      <c r="M176">
        <v>12267160.119999999</v>
      </c>
      <c r="N176">
        <v>12565228.390000001</v>
      </c>
      <c r="O176">
        <v>12006005.98</v>
      </c>
      <c r="P176">
        <v>11086049.49</v>
      </c>
      <c r="Q176">
        <v>9932884.2320000008</v>
      </c>
      <c r="R176">
        <v>9117254.3589999899</v>
      </c>
      <c r="S176">
        <v>8386836.2010000004</v>
      </c>
      <c r="T176">
        <v>8096824.3679999998</v>
      </c>
      <c r="U176">
        <v>7795786.0520000001</v>
      </c>
      <c r="V176">
        <v>7513299.5300000003</v>
      </c>
      <c r="W176">
        <v>6466370.4040000001</v>
      </c>
      <c r="X176">
        <v>5259417.659</v>
      </c>
      <c r="Y176">
        <v>4612747.8339999998</v>
      </c>
      <c r="Z176">
        <v>4119057.1030000001</v>
      </c>
      <c r="AA176">
        <v>3714261.148</v>
      </c>
      <c r="AB176">
        <v>3366953.3509999998</v>
      </c>
      <c r="AC176">
        <v>3075687.2289999998</v>
      </c>
      <c r="AD176">
        <v>2985914.537</v>
      </c>
      <c r="AE176">
        <v>2921177.1609999998</v>
      </c>
      <c r="AF176">
        <v>2853011.8480000002</v>
      </c>
      <c r="AG176">
        <v>2780073.8110000002</v>
      </c>
      <c r="AH176">
        <v>2694980.173</v>
      </c>
      <c r="AI176">
        <v>2589779.7960000001</v>
      </c>
      <c r="AJ176">
        <v>2468004.6570000001</v>
      </c>
      <c r="AK176">
        <v>2328060.25</v>
      </c>
      <c r="AL176">
        <v>2170097.702</v>
      </c>
      <c r="AM176">
        <v>1983191.973</v>
      </c>
      <c r="AN176">
        <v>1882942.077</v>
      </c>
      <c r="AO176">
        <v>1764915.334</v>
      </c>
      <c r="AP176">
        <v>1628829.7509999999</v>
      </c>
      <c r="AQ176">
        <v>1475585.233</v>
      </c>
      <c r="AR176">
        <v>1295050.8970000001</v>
      </c>
      <c r="AS176">
        <v>1258162.824</v>
      </c>
      <c r="AT176">
        <v>1219169.6669999999</v>
      </c>
      <c r="AU176">
        <v>1176694.0730000001</v>
      </c>
      <c r="AV176">
        <v>1130360.6669999999</v>
      </c>
      <c r="AW176">
        <v>1081208.227</v>
      </c>
    </row>
    <row r="177" spans="2:49" x14ac:dyDescent="0.25">
      <c r="B177" t="s">
        <v>248</v>
      </c>
      <c r="C177">
        <v>11632594.838881901</v>
      </c>
      <c r="D177">
        <v>11819359.911689499</v>
      </c>
      <c r="E177">
        <v>12013990.58</v>
      </c>
      <c r="F177">
        <v>12014915.27</v>
      </c>
      <c r="G177">
        <v>11121497.09</v>
      </c>
      <c r="H177">
        <v>10491964.060000001</v>
      </c>
      <c r="I177">
        <v>8866030.5710000005</v>
      </c>
      <c r="J177">
        <v>7951702.2580000004</v>
      </c>
      <c r="K177">
        <v>7243366.4939999999</v>
      </c>
      <c r="L177">
        <v>7172588.2350000003</v>
      </c>
      <c r="M177">
        <v>7154969.9630000005</v>
      </c>
      <c r="N177">
        <v>7486299.0930000003</v>
      </c>
      <c r="O177">
        <v>6815454.9939999999</v>
      </c>
      <c r="P177">
        <v>5977269.0930000003</v>
      </c>
      <c r="Q177">
        <v>5242164.3150000004</v>
      </c>
      <c r="R177">
        <v>4640689.0379999997</v>
      </c>
      <c r="S177">
        <v>4197459.9869999997</v>
      </c>
      <c r="T177">
        <v>3916003.2570000002</v>
      </c>
      <c r="U177">
        <v>3648189.469</v>
      </c>
      <c r="V177">
        <v>3355016.91</v>
      </c>
      <c r="W177">
        <v>2827209.0660000001</v>
      </c>
      <c r="X177">
        <v>2270561.9380000001</v>
      </c>
      <c r="Y177">
        <v>2061674.8049999999</v>
      </c>
      <c r="Z177">
        <v>1942122.433</v>
      </c>
      <c r="AA177">
        <v>1870084.81</v>
      </c>
      <c r="AB177">
        <v>1830748.128</v>
      </c>
      <c r="AC177">
        <v>1824151.7120000001</v>
      </c>
      <c r="AD177">
        <v>1769318.794</v>
      </c>
      <c r="AE177">
        <v>1738658.675</v>
      </c>
      <c r="AF177">
        <v>1707273.084</v>
      </c>
      <c r="AG177">
        <v>1673950.334</v>
      </c>
      <c r="AH177">
        <v>1630575.233</v>
      </c>
      <c r="AI177">
        <v>1574004.2479999999</v>
      </c>
      <c r="AJ177">
        <v>1510160.439</v>
      </c>
      <c r="AK177">
        <v>1433245.023</v>
      </c>
      <c r="AL177">
        <v>1344711.371</v>
      </c>
      <c r="AM177">
        <v>1237526.726</v>
      </c>
      <c r="AN177">
        <v>1179819.7120000001</v>
      </c>
      <c r="AO177">
        <v>1111777.949</v>
      </c>
      <c r="AP177">
        <v>1031596.174</v>
      </c>
      <c r="AQ177">
        <v>938494.97080000001</v>
      </c>
      <c r="AR177">
        <v>828052.04229999997</v>
      </c>
      <c r="AS177">
        <v>809827.90099999995</v>
      </c>
      <c r="AT177">
        <v>788662.60089999996</v>
      </c>
      <c r="AU177">
        <v>765309.55539999995</v>
      </c>
      <c r="AV177">
        <v>739119.76850000001</v>
      </c>
      <c r="AW177">
        <v>709815.11789999995</v>
      </c>
    </row>
    <row r="178" spans="2:49" x14ac:dyDescent="0.25">
      <c r="B178" t="s">
        <v>249</v>
      </c>
      <c r="C178">
        <v>3166830.51938263</v>
      </c>
      <c r="D178">
        <v>3217675.0077116699</v>
      </c>
      <c r="E178">
        <v>3270660.8059999999</v>
      </c>
      <c r="F178">
        <v>3287082.6239999998</v>
      </c>
      <c r="G178">
        <v>3225285.3990000002</v>
      </c>
      <c r="H178">
        <v>3127071.1260000002</v>
      </c>
      <c r="I178">
        <v>3033942.3990000002</v>
      </c>
      <c r="J178">
        <v>2948927.5690000001</v>
      </c>
      <c r="K178">
        <v>2805566.4079999998</v>
      </c>
      <c r="L178">
        <v>2800918.2540000002</v>
      </c>
      <c r="M178">
        <v>2832702.6159999999</v>
      </c>
      <c r="N178">
        <v>3021331.9270000001</v>
      </c>
      <c r="O178">
        <v>2968691.4389999998</v>
      </c>
      <c r="P178">
        <v>2808177.15</v>
      </c>
      <c r="Q178">
        <v>2604745.926</v>
      </c>
      <c r="R178">
        <v>2520958.875</v>
      </c>
      <c r="S178">
        <v>2403046.2880000002</v>
      </c>
      <c r="T178">
        <v>2361400.4449999998</v>
      </c>
      <c r="U178">
        <v>2325398.6209999998</v>
      </c>
      <c r="V178">
        <v>2280611.0890000002</v>
      </c>
      <c r="W178">
        <v>2010444.067</v>
      </c>
      <c r="X178">
        <v>1703553.632</v>
      </c>
      <c r="Y178">
        <v>1523003.86</v>
      </c>
      <c r="Z178">
        <v>1391157.895</v>
      </c>
      <c r="AA178">
        <v>1288708.645</v>
      </c>
      <c r="AB178">
        <v>1206175.28</v>
      </c>
      <c r="AC178">
        <v>1141862.088</v>
      </c>
      <c r="AD178">
        <v>1111986.0519999999</v>
      </c>
      <c r="AE178">
        <v>1094591.9709999999</v>
      </c>
      <c r="AF178">
        <v>1076096.402</v>
      </c>
      <c r="AG178">
        <v>1055556.4140000001</v>
      </c>
      <c r="AH178">
        <v>1029107.333</v>
      </c>
      <c r="AI178">
        <v>994090.424</v>
      </c>
      <c r="AJ178">
        <v>953704.24320000003</v>
      </c>
      <c r="AK178">
        <v>904513.98529999994</v>
      </c>
      <c r="AL178">
        <v>847282.42590000003</v>
      </c>
      <c r="AM178">
        <v>777506.88710000005</v>
      </c>
      <c r="AN178">
        <v>742435.61540000001</v>
      </c>
      <c r="AO178">
        <v>701443.63769999996</v>
      </c>
      <c r="AP178">
        <v>652277.95640000002</v>
      </c>
      <c r="AQ178">
        <v>594440.71649999998</v>
      </c>
      <c r="AR178">
        <v>525140.71990000003</v>
      </c>
      <c r="AS178">
        <v>514561.09149999998</v>
      </c>
      <c r="AT178">
        <v>502093.03039999999</v>
      </c>
      <c r="AU178">
        <v>488018.50420000002</v>
      </c>
      <c r="AV178">
        <v>471947.81760000001</v>
      </c>
      <c r="AW178">
        <v>453645.9472</v>
      </c>
    </row>
    <row r="179" spans="2:49" x14ac:dyDescent="0.25">
      <c r="B179" t="s">
        <v>250</v>
      </c>
      <c r="C179">
        <v>6723975.7599636996</v>
      </c>
      <c r="D179">
        <v>6831931.3657214995</v>
      </c>
      <c r="E179">
        <v>6945714.4060000004</v>
      </c>
      <c r="F179">
        <v>7002852.8140000002</v>
      </c>
      <c r="G179">
        <v>7028861.7470000004</v>
      </c>
      <c r="H179">
        <v>6608481.4529999997</v>
      </c>
      <c r="I179">
        <v>6869803.2139999997</v>
      </c>
      <c r="J179">
        <v>6945895.6179999998</v>
      </c>
      <c r="K179">
        <v>6826912.4040000001</v>
      </c>
      <c r="L179">
        <v>6843285.3959999997</v>
      </c>
      <c r="M179">
        <v>6902377.4050000003</v>
      </c>
      <c r="N179">
        <v>7195916.0829999996</v>
      </c>
      <c r="O179">
        <v>7206479.2589999996</v>
      </c>
      <c r="P179">
        <v>7215149.8789999997</v>
      </c>
      <c r="Q179">
        <v>7097765.2439999999</v>
      </c>
      <c r="R179">
        <v>7170627.5020000003</v>
      </c>
      <c r="S179">
        <v>7094820.2429999998</v>
      </c>
      <c r="T179">
        <v>7082398.2429999998</v>
      </c>
      <c r="U179">
        <v>7152230.3590000002</v>
      </c>
      <c r="V179">
        <v>7212156.5310000004</v>
      </c>
      <c r="W179">
        <v>7124249.2609999999</v>
      </c>
      <c r="X179">
        <v>6977039.2410000004</v>
      </c>
      <c r="Y179">
        <v>6876835.9869999997</v>
      </c>
      <c r="Z179">
        <v>6787464.0669999998</v>
      </c>
      <c r="AA179">
        <v>6735226.983</v>
      </c>
      <c r="AB179">
        <v>6694357.4960000003</v>
      </c>
      <c r="AC179">
        <v>6665354.6229999997</v>
      </c>
      <c r="AD179">
        <v>6495869.9960000003</v>
      </c>
      <c r="AE179">
        <v>6326395.3210000005</v>
      </c>
      <c r="AF179">
        <v>6142210.8399999999</v>
      </c>
      <c r="AG179">
        <v>5942920.449</v>
      </c>
      <c r="AH179">
        <v>5723509.0329999998</v>
      </c>
      <c r="AI179">
        <v>5463151.1660000002</v>
      </c>
      <c r="AJ179">
        <v>5172955.1409999998</v>
      </c>
      <c r="AK179">
        <v>4841068.3430000003</v>
      </c>
      <c r="AL179">
        <v>4473519.6880000001</v>
      </c>
      <c r="AM179">
        <v>4045453.4640000002</v>
      </c>
      <c r="AN179">
        <v>3822793.574</v>
      </c>
      <c r="AO179">
        <v>3573475.6379999998</v>
      </c>
      <c r="AP179">
        <v>3289532.9709999999</v>
      </c>
      <c r="AQ179">
        <v>2964576.3879999998</v>
      </c>
      <c r="AR179">
        <v>2586980.6239999998</v>
      </c>
      <c r="AS179">
        <v>2510242.4500000002</v>
      </c>
      <c r="AT179">
        <v>2426906.4249999998</v>
      </c>
      <c r="AU179">
        <v>2337137.798</v>
      </c>
      <c r="AV179">
        <v>2239092.7119999998</v>
      </c>
      <c r="AW179">
        <v>2131630.6230000001</v>
      </c>
    </row>
    <row r="180" spans="2:49" x14ac:dyDescent="0.25">
      <c r="B180" t="s">
        <v>251</v>
      </c>
      <c r="C180">
        <v>312332.22295347298</v>
      </c>
      <c r="D180">
        <v>317346.817819711</v>
      </c>
      <c r="E180">
        <v>322572.6018</v>
      </c>
      <c r="F180">
        <v>334134.49839999998</v>
      </c>
      <c r="G180">
        <v>321362.7451</v>
      </c>
      <c r="H180">
        <v>280271.92310000001</v>
      </c>
      <c r="I180">
        <v>292846.32630000002</v>
      </c>
      <c r="J180">
        <v>296691.42609999998</v>
      </c>
      <c r="K180">
        <v>277370.11979999999</v>
      </c>
      <c r="L180">
        <v>262300.61430000002</v>
      </c>
      <c r="M180">
        <v>258192.33840000001</v>
      </c>
      <c r="N180">
        <v>272175.55359999998</v>
      </c>
      <c r="O180">
        <v>250971.21849999999</v>
      </c>
      <c r="P180">
        <v>233024.05300000001</v>
      </c>
      <c r="Q180">
        <v>212299.08470000001</v>
      </c>
      <c r="R180">
        <v>193628.30170000001</v>
      </c>
      <c r="S180">
        <v>181934.6832</v>
      </c>
      <c r="T180">
        <v>181952.329</v>
      </c>
      <c r="U180">
        <v>183577.4069</v>
      </c>
      <c r="V180">
        <v>186005.5006</v>
      </c>
      <c r="W180">
        <v>171815.823</v>
      </c>
      <c r="X180">
        <v>156541.7562</v>
      </c>
      <c r="Y180">
        <v>145624.05840000001</v>
      </c>
      <c r="Z180">
        <v>137646.68160000001</v>
      </c>
      <c r="AA180">
        <v>131355.4209</v>
      </c>
      <c r="AB180">
        <v>126259.9817</v>
      </c>
      <c r="AC180">
        <v>122127.5438</v>
      </c>
      <c r="AD180">
        <v>118174.9541</v>
      </c>
      <c r="AE180">
        <v>114919.6758</v>
      </c>
      <c r="AF180">
        <v>111536.3961</v>
      </c>
      <c r="AG180">
        <v>107872.3404</v>
      </c>
      <c r="AH180">
        <v>103892.9771</v>
      </c>
      <c r="AI180">
        <v>99241.616559999995</v>
      </c>
      <c r="AJ180">
        <v>93972.636729999998</v>
      </c>
      <c r="AK180">
        <v>87920.065749999994</v>
      </c>
      <c r="AL180">
        <v>81241.786630000002</v>
      </c>
      <c r="AM180">
        <v>73411.69713</v>
      </c>
      <c r="AN180">
        <v>69341.556079999995</v>
      </c>
      <c r="AO180">
        <v>64806.98373</v>
      </c>
      <c r="AP180">
        <v>59569.366880000001</v>
      </c>
      <c r="AQ180">
        <v>53627.231650000002</v>
      </c>
      <c r="AR180">
        <v>46725.980360000001</v>
      </c>
      <c r="AS180">
        <v>45236.398229999999</v>
      </c>
      <c r="AT180">
        <v>43645.657299999999</v>
      </c>
      <c r="AU180">
        <v>41937.560109999999</v>
      </c>
      <c r="AV180">
        <v>40091.349920000001</v>
      </c>
      <c r="AW180">
        <v>38095.843419999997</v>
      </c>
    </row>
    <row r="181" spans="2:49" x14ac:dyDescent="0.25">
      <c r="B181" t="s">
        <v>252</v>
      </c>
      <c r="C181">
        <v>7845653.0561234802</v>
      </c>
      <c r="D181">
        <v>7971617.5536879301</v>
      </c>
      <c r="E181">
        <v>8102887.0319999997</v>
      </c>
      <c r="F181">
        <v>8279902.8119999999</v>
      </c>
      <c r="G181">
        <v>7923192.8140000002</v>
      </c>
      <c r="H181">
        <v>7539323.5420000004</v>
      </c>
      <c r="I181">
        <v>7571168.6960000005</v>
      </c>
      <c r="J181">
        <v>7349448.6869999999</v>
      </c>
      <c r="K181">
        <v>6907306.824</v>
      </c>
      <c r="L181">
        <v>6740395.0939999996</v>
      </c>
      <c r="M181">
        <v>6890744.8190000001</v>
      </c>
      <c r="N181">
        <v>7361377.3260000004</v>
      </c>
      <c r="O181">
        <v>7055636.5520000001</v>
      </c>
      <c r="P181">
        <v>6452170.4380000001</v>
      </c>
      <c r="Q181">
        <v>5768879.4380000001</v>
      </c>
      <c r="R181">
        <v>5459641.148</v>
      </c>
      <c r="S181">
        <v>5116470.2860000003</v>
      </c>
      <c r="T181">
        <v>5118373.1289999997</v>
      </c>
      <c r="U181">
        <v>5167429.4129999997</v>
      </c>
      <c r="V181">
        <v>5221637.6059999997</v>
      </c>
      <c r="W181">
        <v>4682835.8260000004</v>
      </c>
      <c r="X181">
        <v>4057750.9939999999</v>
      </c>
      <c r="Y181">
        <v>3587521.9139999999</v>
      </c>
      <c r="Z181">
        <v>3206498.5809999998</v>
      </c>
      <c r="AA181">
        <v>2888836.0120000001</v>
      </c>
      <c r="AB181">
        <v>2618594.1669999999</v>
      </c>
      <c r="AC181">
        <v>2386550.0869999998</v>
      </c>
      <c r="AD181">
        <v>2316655.7459999998</v>
      </c>
      <c r="AE181">
        <v>2274918.7390000001</v>
      </c>
      <c r="AF181">
        <v>2231552.8670000001</v>
      </c>
      <c r="AG181">
        <v>2183505.1779999998</v>
      </c>
      <c r="AH181">
        <v>2123149.8489999999</v>
      </c>
      <c r="AI181">
        <v>2047374.459</v>
      </c>
      <c r="AJ181">
        <v>1957969.32</v>
      </c>
      <c r="AK181">
        <v>1849792.335</v>
      </c>
      <c r="AL181">
        <v>1726018.243</v>
      </c>
      <c r="AM181">
        <v>1575891.263</v>
      </c>
      <c r="AN181">
        <v>1503529.6</v>
      </c>
      <c r="AO181">
        <v>1418851.798</v>
      </c>
      <c r="AP181">
        <v>1316591.058</v>
      </c>
      <c r="AQ181">
        <v>1195915.284</v>
      </c>
      <c r="AR181">
        <v>1050476.8</v>
      </c>
      <c r="AS181">
        <v>1025442.591</v>
      </c>
      <c r="AT181">
        <v>997764.19290000002</v>
      </c>
      <c r="AU181">
        <v>966995.33470000001</v>
      </c>
      <c r="AV181">
        <v>932334.70750000002</v>
      </c>
      <c r="AW181">
        <v>893359.86320000002</v>
      </c>
    </row>
    <row r="182" spans="2:49" x14ac:dyDescent="0.25">
      <c r="B182" t="s">
        <v>253</v>
      </c>
      <c r="C182">
        <v>3.3990718667427999</v>
      </c>
      <c r="D182">
        <v>3.4536450650243098</v>
      </c>
      <c r="E182">
        <v>3.5105166080000001</v>
      </c>
      <c r="F182">
        <v>3.7212839519999998</v>
      </c>
      <c r="G182">
        <v>3.6470243309999999</v>
      </c>
      <c r="H182">
        <v>3.4015423770000002</v>
      </c>
      <c r="I182">
        <v>3.3597782820000002</v>
      </c>
      <c r="J182">
        <v>3.3593072909999999</v>
      </c>
      <c r="K182">
        <v>3.2193372629999999</v>
      </c>
      <c r="L182">
        <v>3.2178930590000001</v>
      </c>
      <c r="M182">
        <v>3.2233629380000002</v>
      </c>
      <c r="N182">
        <v>3.3046317489999999</v>
      </c>
      <c r="O182">
        <v>3.4859040339999998</v>
      </c>
      <c r="P182">
        <v>3.6210390710000002</v>
      </c>
      <c r="Q182">
        <v>3.6148402160000002</v>
      </c>
      <c r="R182">
        <v>3.73548407</v>
      </c>
      <c r="S182">
        <v>3.769676284</v>
      </c>
      <c r="T182">
        <v>3.8263155160000002</v>
      </c>
      <c r="U182">
        <v>3.8288664479999999</v>
      </c>
      <c r="V182">
        <v>3.889183498</v>
      </c>
      <c r="W182">
        <v>3.8441195549999998</v>
      </c>
      <c r="X182">
        <v>3.765399076</v>
      </c>
      <c r="Y182">
        <v>3.738316653</v>
      </c>
      <c r="Z182">
        <v>3.6996685980000001</v>
      </c>
      <c r="AA182">
        <v>3.6490716390000002</v>
      </c>
      <c r="AB182">
        <v>3.5811028309999999</v>
      </c>
      <c r="AC182">
        <v>3.5077242860000002</v>
      </c>
      <c r="AD182">
        <v>3.4392761059999999</v>
      </c>
      <c r="AE182">
        <v>3.3346841199999999</v>
      </c>
      <c r="AF182">
        <v>3.2167074759999998</v>
      </c>
      <c r="AG182">
        <v>3.0904956170000002</v>
      </c>
      <c r="AH182">
        <v>2.9560103469999999</v>
      </c>
      <c r="AI182">
        <v>2.8045893749999999</v>
      </c>
      <c r="AJ182">
        <v>2.6299971740000001</v>
      </c>
      <c r="AK182">
        <v>2.439244693</v>
      </c>
      <c r="AL182">
        <v>2.2341013049999998</v>
      </c>
      <c r="AM182">
        <v>2.0019658969999998</v>
      </c>
      <c r="AN182">
        <v>1.885551116</v>
      </c>
      <c r="AO182">
        <v>1.7522787470000001</v>
      </c>
      <c r="AP182">
        <v>1.6014386279999999</v>
      </c>
      <c r="AQ182">
        <v>1.434890121</v>
      </c>
      <c r="AR182">
        <v>1.240915524</v>
      </c>
      <c r="AS182">
        <v>1.1919216239999999</v>
      </c>
      <c r="AT182">
        <v>1.1449023410000001</v>
      </c>
      <c r="AU182">
        <v>1.0950705110000001</v>
      </c>
      <c r="AV182">
        <v>1.04218817</v>
      </c>
      <c r="AW182">
        <v>0.98882699510000005</v>
      </c>
    </row>
    <row r="183" spans="2:49" x14ac:dyDescent="0.25">
      <c r="B183" t="s">
        <v>254</v>
      </c>
      <c r="C183">
        <v>600391.80946004798</v>
      </c>
      <c r="D183">
        <v>610031.29416316305</v>
      </c>
      <c r="E183">
        <v>620076.74470000004</v>
      </c>
      <c r="F183">
        <v>631872.84730000002</v>
      </c>
      <c r="G183">
        <v>593978.85069999995</v>
      </c>
      <c r="H183">
        <v>585305.74750000006</v>
      </c>
      <c r="I183">
        <v>592888.08330000006</v>
      </c>
      <c r="J183">
        <v>568290.10309999995</v>
      </c>
      <c r="K183">
        <v>535003.64040000003</v>
      </c>
      <c r="L183">
        <v>540046.39980000001</v>
      </c>
      <c r="M183">
        <v>549861.16260000004</v>
      </c>
      <c r="N183">
        <v>580320.17920000001</v>
      </c>
      <c r="O183">
        <v>614923.30610000005</v>
      </c>
      <c r="P183">
        <v>627247.56530000002</v>
      </c>
      <c r="Q183">
        <v>582737.77339999995</v>
      </c>
      <c r="R183">
        <v>600492.2622</v>
      </c>
      <c r="S183">
        <v>599380.19850000006</v>
      </c>
      <c r="T183">
        <v>596138.31740000006</v>
      </c>
      <c r="U183">
        <v>595731.9399</v>
      </c>
      <c r="V183">
        <v>594868.58609999996</v>
      </c>
      <c r="W183">
        <v>612207.16910000006</v>
      </c>
      <c r="X183">
        <v>620327.91460000002</v>
      </c>
      <c r="Y183">
        <v>626695.55599999998</v>
      </c>
      <c r="Z183">
        <v>632452.02469999995</v>
      </c>
      <c r="AA183">
        <v>636936.91619999998</v>
      </c>
      <c r="AB183">
        <v>612739.48129999998</v>
      </c>
      <c r="AC183">
        <v>586726.00249999994</v>
      </c>
      <c r="AD183">
        <v>567090.92669999995</v>
      </c>
      <c r="AE183">
        <v>549969.2328</v>
      </c>
      <c r="AF183">
        <v>532018.85950000002</v>
      </c>
      <c r="AG183">
        <v>513799.09100000001</v>
      </c>
      <c r="AH183">
        <v>493091.74910000002</v>
      </c>
      <c r="AI183">
        <v>473737.36829999997</v>
      </c>
      <c r="AJ183">
        <v>453075.60320000001</v>
      </c>
      <c r="AK183">
        <v>428614.6727</v>
      </c>
      <c r="AL183">
        <v>400836.26520000002</v>
      </c>
      <c r="AM183">
        <v>367778.52679999999</v>
      </c>
      <c r="AN183">
        <v>347159.42180000001</v>
      </c>
      <c r="AO183">
        <v>323897.2806</v>
      </c>
      <c r="AP183">
        <v>298022.9105</v>
      </c>
      <c r="AQ183">
        <v>269255.14789999998</v>
      </c>
      <c r="AR183">
        <v>236464.0722</v>
      </c>
      <c r="AS183">
        <v>229045.4889</v>
      </c>
      <c r="AT183">
        <v>220784.91680000001</v>
      </c>
      <c r="AU183">
        <v>212127.1128</v>
      </c>
      <c r="AV183">
        <v>202889.50570000001</v>
      </c>
      <c r="AW183">
        <v>192989.96830000001</v>
      </c>
    </row>
    <row r="184" spans="2:49" x14ac:dyDescent="0.25">
      <c r="B184" t="s">
        <v>255</v>
      </c>
      <c r="C184">
        <v>2139866.37253871</v>
      </c>
      <c r="D184">
        <v>2174222.6193092102</v>
      </c>
      <c r="E184">
        <v>2197623.4389999998</v>
      </c>
      <c r="F184">
        <v>2183234.6090000002</v>
      </c>
      <c r="G184">
        <v>2173371.7439999999</v>
      </c>
      <c r="H184">
        <v>2169369.0639999998</v>
      </c>
      <c r="I184">
        <v>2173397.8810000001</v>
      </c>
      <c r="J184">
        <v>2185581.4980000001</v>
      </c>
      <c r="K184">
        <v>2186247.3730000001</v>
      </c>
      <c r="L184">
        <v>2182868.5499999998</v>
      </c>
      <c r="M184">
        <v>2195762.8760000002</v>
      </c>
      <c r="N184">
        <v>2173753.9169999999</v>
      </c>
      <c r="O184">
        <v>2202194.1910000001</v>
      </c>
      <c r="P184">
        <v>2221862.5970000001</v>
      </c>
      <c r="Q184">
        <v>2248803.406</v>
      </c>
      <c r="R184">
        <v>2271262.821</v>
      </c>
      <c r="S184">
        <v>2240388.463</v>
      </c>
      <c r="T184">
        <v>2193873.8309999998</v>
      </c>
      <c r="U184">
        <v>2172168.3339999998</v>
      </c>
      <c r="V184">
        <v>2149798.0690000001</v>
      </c>
      <c r="W184">
        <v>2117277.4410000001</v>
      </c>
      <c r="X184">
        <v>2059651.226</v>
      </c>
      <c r="Y184">
        <v>1982260.422</v>
      </c>
      <c r="Z184">
        <v>1914275.8840000001</v>
      </c>
      <c r="AA184">
        <v>1849201.885</v>
      </c>
      <c r="AB184">
        <v>1785798.6969999999</v>
      </c>
      <c r="AC184">
        <v>1721587.59</v>
      </c>
      <c r="AD184">
        <v>1589801.757</v>
      </c>
      <c r="AE184">
        <v>1460301.094</v>
      </c>
      <c r="AF184">
        <v>1331709.8940000001</v>
      </c>
      <c r="AG184">
        <v>1205423.335</v>
      </c>
      <c r="AH184">
        <v>1081142.666</v>
      </c>
      <c r="AI184">
        <v>950702.67839999998</v>
      </c>
      <c r="AJ184">
        <v>823642.6899</v>
      </c>
      <c r="AK184">
        <v>699823.22230000002</v>
      </c>
      <c r="AL184">
        <v>582216.19909999997</v>
      </c>
      <c r="AM184">
        <v>469069.04560000001</v>
      </c>
      <c r="AN184">
        <v>397565.32939999999</v>
      </c>
      <c r="AO184">
        <v>329792.1605</v>
      </c>
      <c r="AP184">
        <v>265620.23249999998</v>
      </c>
      <c r="AQ184">
        <v>205859.51509999999</v>
      </c>
      <c r="AR184">
        <v>151227.57699999999</v>
      </c>
      <c r="AS184">
        <v>127168.6762</v>
      </c>
      <c r="AT184">
        <v>104392.82279999999</v>
      </c>
      <c r="AU184">
        <v>83010.119030000002</v>
      </c>
      <c r="AV184">
        <v>63077.32548</v>
      </c>
      <c r="AW184">
        <v>44637.928599999999</v>
      </c>
    </row>
    <row r="185" spans="2:49" x14ac:dyDescent="0.25">
      <c r="B185" t="s">
        <v>256</v>
      </c>
      <c r="C185">
        <v>48247577.676067904</v>
      </c>
      <c r="D185">
        <v>49022208.141778298</v>
      </c>
      <c r="E185">
        <v>49870603.270000003</v>
      </c>
      <c r="F185">
        <v>49562746.969999999</v>
      </c>
      <c r="G185">
        <v>48580911.189999998</v>
      </c>
      <c r="H185">
        <v>46819646.670000002</v>
      </c>
      <c r="I185">
        <v>46423838.93</v>
      </c>
      <c r="J185">
        <v>46120164.25</v>
      </c>
      <c r="K185">
        <v>45532047.479999997</v>
      </c>
      <c r="L185">
        <v>44673684.32</v>
      </c>
      <c r="M185">
        <v>44198308.990000002</v>
      </c>
      <c r="N185">
        <v>43663924.969999999</v>
      </c>
      <c r="O185">
        <v>43603134.490000002</v>
      </c>
      <c r="P185">
        <v>43753765.539999999</v>
      </c>
      <c r="Q185">
        <v>43138438.039999999</v>
      </c>
      <c r="R185">
        <v>42538273.780000001</v>
      </c>
      <c r="S185">
        <v>42061501.07</v>
      </c>
      <c r="T185">
        <v>42328758.869999997</v>
      </c>
      <c r="U185">
        <v>42493469.5</v>
      </c>
      <c r="V185">
        <v>42718202.950000003</v>
      </c>
      <c r="W185">
        <v>42358243.159999996</v>
      </c>
      <c r="X185">
        <v>41719624.170000002</v>
      </c>
      <c r="Y185">
        <v>40684187.560000002</v>
      </c>
      <c r="Z185">
        <v>39733436.109999999</v>
      </c>
      <c r="AA185">
        <v>38766148.460000001</v>
      </c>
      <c r="AB185">
        <v>37709341.960000001</v>
      </c>
      <c r="AC185">
        <v>36617013.170000002</v>
      </c>
      <c r="AD185">
        <v>34255078.329999998</v>
      </c>
      <c r="AE185">
        <v>31868331.48</v>
      </c>
      <c r="AF185">
        <v>29475685.23</v>
      </c>
      <c r="AG185">
        <v>27102621.43</v>
      </c>
      <c r="AH185">
        <v>24741337.260000002</v>
      </c>
      <c r="AI185">
        <v>22091426.850000001</v>
      </c>
      <c r="AJ185">
        <v>19463927.870000001</v>
      </c>
      <c r="AK185">
        <v>16819561.969999999</v>
      </c>
      <c r="AL185">
        <v>14315439.84</v>
      </c>
      <c r="AM185">
        <v>11803949.34</v>
      </c>
      <c r="AN185">
        <v>10444655.810000001</v>
      </c>
      <c r="AO185">
        <v>9133261.0730000008</v>
      </c>
      <c r="AP185">
        <v>7795821.9850000003</v>
      </c>
      <c r="AQ185">
        <v>6479588.5310000004</v>
      </c>
      <c r="AR185">
        <v>5182836.0990000004</v>
      </c>
      <c r="AS185">
        <v>4817070.142</v>
      </c>
      <c r="AT185">
        <v>4457995.4840000002</v>
      </c>
      <c r="AU185">
        <v>4102576.29</v>
      </c>
      <c r="AV185">
        <v>3749861.835</v>
      </c>
      <c r="AW185">
        <v>3399823.9759999998</v>
      </c>
    </row>
    <row r="186" spans="2:49" x14ac:dyDescent="0.25">
      <c r="B186" t="s">
        <v>257</v>
      </c>
      <c r="C186">
        <v>9181601.5739378203</v>
      </c>
      <c r="D186">
        <v>9329015.1570805702</v>
      </c>
      <c r="E186">
        <v>9482637.0470000003</v>
      </c>
      <c r="F186">
        <v>10816916.5</v>
      </c>
      <c r="G186">
        <v>9121002.6050000004</v>
      </c>
      <c r="H186">
        <v>6576790.102</v>
      </c>
      <c r="I186">
        <v>7799197.0939999996</v>
      </c>
      <c r="J186">
        <v>6138028.2829999998</v>
      </c>
      <c r="K186">
        <v>7114747.9639999997</v>
      </c>
      <c r="L186">
        <v>6386643.7110000001</v>
      </c>
      <c r="M186">
        <v>6424232.3360000001</v>
      </c>
      <c r="N186">
        <v>6606422.1380000003</v>
      </c>
      <c r="O186">
        <v>6035247.0180000002</v>
      </c>
      <c r="P186">
        <v>6397852.9840000002</v>
      </c>
      <c r="Q186">
        <v>6290873.9029999999</v>
      </c>
      <c r="R186">
        <v>6403430.4740000004</v>
      </c>
      <c r="S186">
        <v>6397204.1619999995</v>
      </c>
      <c r="T186">
        <v>6283458.1679999996</v>
      </c>
      <c r="U186">
        <v>6320637.8420000002</v>
      </c>
      <c r="V186">
        <v>6360269.8909999998</v>
      </c>
      <c r="W186">
        <v>6326933.8499999996</v>
      </c>
      <c r="X186">
        <v>6258261.0049999999</v>
      </c>
      <c r="Y186">
        <v>6235375.483</v>
      </c>
      <c r="Z186">
        <v>6216789.8219999997</v>
      </c>
      <c r="AA186">
        <v>6194986.9230000004</v>
      </c>
      <c r="AB186">
        <v>6007796.8509999998</v>
      </c>
      <c r="AC186">
        <v>5795081.4000000004</v>
      </c>
      <c r="AD186">
        <v>5585712.943</v>
      </c>
      <c r="AE186">
        <v>5381092.6430000002</v>
      </c>
      <c r="AF186">
        <v>5173601.1629999997</v>
      </c>
      <c r="AG186">
        <v>4963229.9289999995</v>
      </c>
      <c r="AH186">
        <v>4744998.4809999997</v>
      </c>
      <c r="AI186">
        <v>4528328.74</v>
      </c>
      <c r="AJ186">
        <v>4295383.0310000004</v>
      </c>
      <c r="AK186">
        <v>4032961.4539999999</v>
      </c>
      <c r="AL186">
        <v>3747507.5690000001</v>
      </c>
      <c r="AM186">
        <v>3414129.486</v>
      </c>
      <c r="AN186">
        <v>3230681.5040000002</v>
      </c>
      <c r="AO186">
        <v>3019229.3080000002</v>
      </c>
      <c r="AP186">
        <v>2778362.7769999998</v>
      </c>
      <c r="AQ186">
        <v>2505972.7689999999</v>
      </c>
      <c r="AR186">
        <v>2192520.42</v>
      </c>
      <c r="AS186">
        <v>2126993.0619999999</v>
      </c>
      <c r="AT186">
        <v>2056455.77</v>
      </c>
      <c r="AU186">
        <v>1980256.554</v>
      </c>
      <c r="AV186">
        <v>1897445.1640000001</v>
      </c>
      <c r="AW186">
        <v>1807335.9439999999</v>
      </c>
    </row>
    <row r="187" spans="2:49" x14ac:dyDescent="0.25">
      <c r="B187" t="s">
        <v>258</v>
      </c>
      <c r="C187">
        <v>2568505.4482754301</v>
      </c>
      <c r="D187">
        <v>2609743.6340541099</v>
      </c>
      <c r="E187">
        <v>2652718.5619999999</v>
      </c>
      <c r="F187">
        <v>2757482.8670000001</v>
      </c>
      <c r="G187">
        <v>2739927.4330000002</v>
      </c>
      <c r="H187">
        <v>2259007.4</v>
      </c>
      <c r="I187">
        <v>2331498.841</v>
      </c>
      <c r="J187">
        <v>2441281.5350000001</v>
      </c>
      <c r="K187">
        <v>2383205.6179999998</v>
      </c>
      <c r="L187">
        <v>2318971.1639999999</v>
      </c>
      <c r="M187">
        <v>2319345.5</v>
      </c>
      <c r="N187">
        <v>2452591.0249999999</v>
      </c>
      <c r="O187">
        <v>2458475.6940000001</v>
      </c>
      <c r="P187">
        <v>2458620.96</v>
      </c>
      <c r="Q187">
        <v>2536305.69</v>
      </c>
      <c r="R187">
        <v>2577526.1800000002</v>
      </c>
      <c r="S187">
        <v>2550624.068</v>
      </c>
      <c r="T187">
        <v>2505323.2760000001</v>
      </c>
      <c r="U187">
        <v>2476430.5750000002</v>
      </c>
      <c r="V187">
        <v>2446772.716</v>
      </c>
      <c r="W187">
        <v>2407195.4619999998</v>
      </c>
      <c r="X187">
        <v>2350054.807</v>
      </c>
      <c r="Y187">
        <v>2315065.58</v>
      </c>
      <c r="Z187">
        <v>2286974.63</v>
      </c>
      <c r="AA187">
        <v>2261281.0389999999</v>
      </c>
      <c r="AB187">
        <v>2240079.1460000002</v>
      </c>
      <c r="AC187">
        <v>2217108.4249999998</v>
      </c>
      <c r="AD187">
        <v>2147243.7459999998</v>
      </c>
      <c r="AE187">
        <v>2075082.1810000001</v>
      </c>
      <c r="AF187">
        <v>1997459.581</v>
      </c>
      <c r="AG187">
        <v>1915011.6880000001</v>
      </c>
      <c r="AH187">
        <v>1826587.2050000001</v>
      </c>
      <c r="AI187">
        <v>1727385.5959999999</v>
      </c>
      <c r="AJ187">
        <v>1619902.71</v>
      </c>
      <c r="AK187">
        <v>1500000.871</v>
      </c>
      <c r="AL187">
        <v>1372316.477</v>
      </c>
      <c r="AM187">
        <v>1227595.172</v>
      </c>
      <c r="AN187">
        <v>1147877.0549999999</v>
      </c>
      <c r="AO187">
        <v>1062058.07</v>
      </c>
      <c r="AP187">
        <v>966623.85290000006</v>
      </c>
      <c r="AQ187">
        <v>861490.20519999997</v>
      </c>
      <c r="AR187">
        <v>743406.69579999999</v>
      </c>
      <c r="AS187">
        <v>712999.60939999996</v>
      </c>
      <c r="AT187">
        <v>681764.77110000001</v>
      </c>
      <c r="AU187">
        <v>649483.82680000004</v>
      </c>
      <c r="AV187">
        <v>615691.36490000004</v>
      </c>
      <c r="AW187">
        <v>579943.99280000001</v>
      </c>
    </row>
    <row r="188" spans="2:49" x14ac:dyDescent="0.25">
      <c r="B188" t="s">
        <v>259</v>
      </c>
      <c r="C188">
        <v>12693844.6626458</v>
      </c>
      <c r="D188">
        <v>12897648.444645001</v>
      </c>
      <c r="E188">
        <v>13110035.4</v>
      </c>
      <c r="F188">
        <v>13386511.91</v>
      </c>
      <c r="G188">
        <v>12855897.550000001</v>
      </c>
      <c r="H188">
        <v>12597590.68</v>
      </c>
      <c r="I188">
        <v>12412879.68</v>
      </c>
      <c r="J188">
        <v>11869196.83</v>
      </c>
      <c r="K188">
        <v>11261584.82</v>
      </c>
      <c r="L188">
        <v>11041304.6</v>
      </c>
      <c r="M188">
        <v>11104605.18</v>
      </c>
      <c r="N188">
        <v>11490387.470000001</v>
      </c>
      <c r="O188">
        <v>10882500.369999999</v>
      </c>
      <c r="P188">
        <v>10161386.57</v>
      </c>
      <c r="Q188">
        <v>9480394.4100000001</v>
      </c>
      <c r="R188">
        <v>8968892.5559999999</v>
      </c>
      <c r="S188">
        <v>8389324.5899999999</v>
      </c>
      <c r="T188">
        <v>8347959.0860000001</v>
      </c>
      <c r="U188">
        <v>8340369.1670000004</v>
      </c>
      <c r="V188">
        <v>8253388.182</v>
      </c>
      <c r="W188">
        <v>6994917.8109999998</v>
      </c>
      <c r="X188">
        <v>6020429.2510000002</v>
      </c>
      <c r="Y188">
        <v>5361403.2829999998</v>
      </c>
      <c r="Z188">
        <v>4825668.63</v>
      </c>
      <c r="AA188">
        <v>4379252.12</v>
      </c>
      <c r="AB188">
        <v>4025894.591</v>
      </c>
      <c r="AC188">
        <v>3718953.2719999999</v>
      </c>
      <c r="AD188">
        <v>3583374.426</v>
      </c>
      <c r="AE188">
        <v>3459725.1310000001</v>
      </c>
      <c r="AF188">
        <v>3328501.4070000001</v>
      </c>
      <c r="AG188">
        <v>3191357.0490000001</v>
      </c>
      <c r="AH188">
        <v>3038911.5120000001</v>
      </c>
      <c r="AI188">
        <v>2859671.1979999999</v>
      </c>
      <c r="AJ188">
        <v>2666674.2829999998</v>
      </c>
      <c r="AK188">
        <v>2456754.4470000002</v>
      </c>
      <c r="AL188">
        <v>2238965.0639999998</v>
      </c>
      <c r="AM188">
        <v>1996382.014</v>
      </c>
      <c r="AN188">
        <v>1853285.67</v>
      </c>
      <c r="AO188">
        <v>1701069.544</v>
      </c>
      <c r="AP188">
        <v>1536953.0630000001</v>
      </c>
      <c r="AQ188">
        <v>1358667.7560000001</v>
      </c>
      <c r="AR188">
        <v>1162411.55</v>
      </c>
      <c r="AS188">
        <v>1109902.7339999999</v>
      </c>
      <c r="AT188">
        <v>1055375.379</v>
      </c>
      <c r="AU188">
        <v>999583.3567</v>
      </c>
      <c r="AV188">
        <v>941289.777</v>
      </c>
      <c r="AW188">
        <v>880512.45510000002</v>
      </c>
    </row>
    <row r="189" spans="2:49" x14ac:dyDescent="0.25">
      <c r="B189" t="s">
        <v>260</v>
      </c>
      <c r="C189">
        <v>1234344.16589374</v>
      </c>
      <c r="D189">
        <v>1254161.9607370901</v>
      </c>
      <c r="E189">
        <v>1274814.3799999999</v>
      </c>
      <c r="F189">
        <v>1251653.7</v>
      </c>
      <c r="G189">
        <v>1176414.517</v>
      </c>
      <c r="H189">
        <v>1209531.9129999999</v>
      </c>
      <c r="I189">
        <v>1146159.209</v>
      </c>
      <c r="J189">
        <v>1066586.8089999999</v>
      </c>
      <c r="K189">
        <v>1003894.302</v>
      </c>
      <c r="L189">
        <v>977300.75789999997</v>
      </c>
      <c r="M189">
        <v>961966.91269999999</v>
      </c>
      <c r="N189">
        <v>972015.09420000005</v>
      </c>
      <c r="O189">
        <v>905098.96739999996</v>
      </c>
      <c r="P189">
        <v>830136.48939999996</v>
      </c>
      <c r="Q189">
        <v>763810.41339999996</v>
      </c>
      <c r="R189">
        <v>714607.62580000004</v>
      </c>
      <c r="S189">
        <v>658503.05940000003</v>
      </c>
      <c r="T189">
        <v>655253.87490000005</v>
      </c>
      <c r="U189">
        <v>656651.64099999995</v>
      </c>
      <c r="V189">
        <v>650232.99580000003</v>
      </c>
      <c r="W189">
        <v>503086.36739999999</v>
      </c>
      <c r="X189">
        <v>404424.48849999998</v>
      </c>
      <c r="Y189">
        <v>344600.19459999999</v>
      </c>
      <c r="Z189">
        <v>299567.68040000001</v>
      </c>
      <c r="AA189">
        <v>264461.48220000003</v>
      </c>
      <c r="AB189">
        <v>238681.81630000001</v>
      </c>
      <c r="AC189">
        <v>217365.40239999999</v>
      </c>
      <c r="AD189">
        <v>209696.1545</v>
      </c>
      <c r="AE189">
        <v>203307.72640000001</v>
      </c>
      <c r="AF189">
        <v>196477.84570000001</v>
      </c>
      <c r="AG189">
        <v>189323.84210000001</v>
      </c>
      <c r="AH189">
        <v>181079.5588</v>
      </c>
      <c r="AI189">
        <v>171007.24299999999</v>
      </c>
      <c r="AJ189">
        <v>160037.76930000001</v>
      </c>
      <c r="AK189">
        <v>147965.5552</v>
      </c>
      <c r="AL189">
        <v>135520.0877</v>
      </c>
      <c r="AM189">
        <v>121454.3266</v>
      </c>
      <c r="AN189">
        <v>113115.1891</v>
      </c>
      <c r="AO189">
        <v>104167.734</v>
      </c>
      <c r="AP189">
        <v>94432.682279999906</v>
      </c>
      <c r="AQ189">
        <v>83744.978709999996</v>
      </c>
      <c r="AR189">
        <v>71862.378450000004</v>
      </c>
      <c r="AS189">
        <v>68947.578169999906</v>
      </c>
      <c r="AT189">
        <v>65864.278869999995</v>
      </c>
      <c r="AU189">
        <v>62686.212809999997</v>
      </c>
      <c r="AV189">
        <v>59303.022250000002</v>
      </c>
      <c r="AW189">
        <v>55724.7258</v>
      </c>
    </row>
    <row r="190" spans="2:49" x14ac:dyDescent="0.25">
      <c r="B190" t="s">
        <v>261</v>
      </c>
      <c r="C190">
        <v>16278955.912495499</v>
      </c>
      <c r="D190">
        <v>16540319.8152481</v>
      </c>
      <c r="E190">
        <v>16805880</v>
      </c>
      <c r="F190">
        <v>16652726.42</v>
      </c>
      <c r="G190">
        <v>15803483.83</v>
      </c>
      <c r="H190">
        <v>15158727.76</v>
      </c>
      <c r="I190">
        <v>14684662.949999999</v>
      </c>
      <c r="J190">
        <v>12871407.380000001</v>
      </c>
      <c r="K190">
        <v>11220369.609999999</v>
      </c>
      <c r="L190">
        <v>9852632.3460000008</v>
      </c>
      <c r="M190">
        <v>8816909.0659999996</v>
      </c>
      <c r="N190">
        <v>7968408.9670000002</v>
      </c>
      <c r="O190">
        <v>7233851.2690000003</v>
      </c>
      <c r="P190">
        <v>6505790.8140000002</v>
      </c>
      <c r="Q190">
        <v>5738798.5970000001</v>
      </c>
      <c r="R190">
        <v>5097126.2539999997</v>
      </c>
      <c r="S190">
        <v>4451642.0750000002</v>
      </c>
      <c r="T190">
        <v>5206667.8669999996</v>
      </c>
      <c r="U190">
        <v>5934704.7230000002</v>
      </c>
      <c r="V190">
        <v>6608202.5310000004</v>
      </c>
      <c r="W190">
        <v>7348967.0949999997</v>
      </c>
      <c r="X190">
        <v>7970938.8799999999</v>
      </c>
      <c r="Y190">
        <v>7745374.2429999998</v>
      </c>
      <c r="Z190">
        <v>7525557.6069999998</v>
      </c>
      <c r="AA190">
        <v>7304953.6229999997</v>
      </c>
      <c r="AB190">
        <v>7085118.0240000002</v>
      </c>
      <c r="AC190">
        <v>6856450.8810000001</v>
      </c>
      <c r="AD190">
        <v>6726912.9859999996</v>
      </c>
      <c r="AE190">
        <v>6568165.4560000002</v>
      </c>
      <c r="AF190">
        <v>6118339.2690000003</v>
      </c>
      <c r="AG190">
        <v>5910142.3250000002</v>
      </c>
      <c r="AH190">
        <v>5668199.9419999998</v>
      </c>
      <c r="AI190">
        <v>5520124.875</v>
      </c>
      <c r="AJ190">
        <v>5309213.9890000001</v>
      </c>
      <c r="AK190">
        <v>5024648.4019999998</v>
      </c>
      <c r="AL190">
        <v>4917447.8650000002</v>
      </c>
      <c r="AM190">
        <v>4661251.8839999996</v>
      </c>
      <c r="AN190">
        <v>4591853.2039999999</v>
      </c>
      <c r="AO190">
        <v>4449900.4910000004</v>
      </c>
      <c r="AP190">
        <v>4219338.4850000003</v>
      </c>
      <c r="AQ190">
        <v>3900239.7629999998</v>
      </c>
      <c r="AR190">
        <v>3474794.4789999998</v>
      </c>
      <c r="AS190">
        <v>3097857.85</v>
      </c>
      <c r="AT190">
        <v>2745894.9759999998</v>
      </c>
      <c r="AU190">
        <v>2418169.216</v>
      </c>
      <c r="AV190">
        <v>2112269.338</v>
      </c>
      <c r="AW190">
        <v>1827392.254</v>
      </c>
    </row>
    <row r="191" spans="2:49" x14ac:dyDescent="0.25">
      <c r="B191" t="s">
        <v>262</v>
      </c>
      <c r="C191">
        <v>4315668.6239754204</v>
      </c>
      <c r="D191">
        <v>4384958.0796759203</v>
      </c>
      <c r="E191">
        <v>4455360</v>
      </c>
      <c r="F191">
        <v>4316626.7209999999</v>
      </c>
      <c r="G191">
        <v>4161719.4219999998</v>
      </c>
      <c r="H191">
        <v>3762966.4019999998</v>
      </c>
      <c r="I191">
        <v>3607883.1660000002</v>
      </c>
      <c r="J191">
        <v>3492608.892</v>
      </c>
      <c r="K191">
        <v>3341148.7540000002</v>
      </c>
      <c r="L191">
        <v>3145949.0469999998</v>
      </c>
      <c r="M191">
        <v>2953094.8480000002</v>
      </c>
      <c r="N191">
        <v>2739363.4210000001</v>
      </c>
      <c r="O191">
        <v>2409628.585</v>
      </c>
      <c r="P191">
        <v>2137794.412</v>
      </c>
      <c r="Q191">
        <v>1886698.139</v>
      </c>
      <c r="R191">
        <v>1582498.7960000001</v>
      </c>
      <c r="S191">
        <v>1267474.9099999999</v>
      </c>
      <c r="T191">
        <v>1575793.0430000001</v>
      </c>
      <c r="U191">
        <v>1954912.5190000001</v>
      </c>
      <c r="V191">
        <v>2331270.352</v>
      </c>
      <c r="W191">
        <v>1730882.2439999999</v>
      </c>
      <c r="X191">
        <v>1051877.5430000001</v>
      </c>
      <c r="Y191">
        <v>774079.25219999999</v>
      </c>
      <c r="Z191">
        <v>533039.20739999996</v>
      </c>
      <c r="AA191">
        <v>304186.3798</v>
      </c>
      <c r="AB191">
        <v>255776.45019999999</v>
      </c>
      <c r="AC191">
        <v>221333.60440000001</v>
      </c>
      <c r="AD191">
        <v>209971.54870000001</v>
      </c>
      <c r="AE191">
        <v>200757.9307</v>
      </c>
      <c r="AF191">
        <v>191382.20569999999</v>
      </c>
      <c r="AG191">
        <v>175155.57389999999</v>
      </c>
      <c r="AH191">
        <v>158562.3634</v>
      </c>
      <c r="AI191">
        <v>123008.9713</v>
      </c>
      <c r="AJ191">
        <v>88678.229359999998</v>
      </c>
      <c r="AK191">
        <v>57629.378700000001</v>
      </c>
      <c r="AL191">
        <v>54130.197240000001</v>
      </c>
      <c r="AM191">
        <v>51471.28325</v>
      </c>
      <c r="AN191">
        <v>46998.230040000002</v>
      </c>
      <c r="AO191">
        <v>42039.499629999998</v>
      </c>
      <c r="AP191">
        <v>36918.31841</v>
      </c>
      <c r="AQ191">
        <v>31683.98184</v>
      </c>
      <c r="AR191">
        <v>26278.655630000001</v>
      </c>
      <c r="AS191">
        <v>25093.329259999999</v>
      </c>
      <c r="AT191">
        <v>23959.58</v>
      </c>
      <c r="AU191">
        <v>22787.698110000001</v>
      </c>
      <c r="AV191">
        <v>21555.503939999999</v>
      </c>
      <c r="AW191">
        <v>20258.130860000001</v>
      </c>
    </row>
    <row r="192" spans="2:49" x14ac:dyDescent="0.25">
      <c r="B192" t="s">
        <v>263</v>
      </c>
      <c r="C192">
        <v>4315668.6239754204</v>
      </c>
      <c r="D192">
        <v>4384958.0796759203</v>
      </c>
      <c r="E192">
        <v>4455360</v>
      </c>
      <c r="F192">
        <v>4316626.7209999999</v>
      </c>
      <c r="G192">
        <v>4161719.4219999998</v>
      </c>
      <c r="H192">
        <v>3762966.4019999998</v>
      </c>
      <c r="I192">
        <v>3607883.1660000002</v>
      </c>
      <c r="J192">
        <v>3492608.892</v>
      </c>
      <c r="K192">
        <v>3341148.7540000002</v>
      </c>
      <c r="L192">
        <v>3145949.0469999998</v>
      </c>
      <c r="M192">
        <v>2953094.8480000002</v>
      </c>
      <c r="N192">
        <v>2739363.4210000001</v>
      </c>
      <c r="O192">
        <v>2409628.585</v>
      </c>
      <c r="P192">
        <v>2137794.412</v>
      </c>
      <c r="Q192">
        <v>1886698.139</v>
      </c>
      <c r="R192">
        <v>1582498.7960000001</v>
      </c>
      <c r="S192">
        <v>1267474.9099999999</v>
      </c>
      <c r="T192">
        <v>1575793.0430000001</v>
      </c>
      <c r="U192">
        <v>1954912.5190000001</v>
      </c>
      <c r="V192">
        <v>2331270.352</v>
      </c>
      <c r="W192">
        <v>1730882.2439999999</v>
      </c>
      <c r="X192">
        <v>1051877.5430000001</v>
      </c>
      <c r="Y192">
        <v>774079.25219999999</v>
      </c>
      <c r="Z192">
        <v>533039.20739999996</v>
      </c>
      <c r="AA192">
        <v>304186.3798</v>
      </c>
      <c r="AB192">
        <v>255776.45019999999</v>
      </c>
      <c r="AC192">
        <v>221333.60440000001</v>
      </c>
      <c r="AD192">
        <v>209971.54870000001</v>
      </c>
      <c r="AE192">
        <v>200757.9307</v>
      </c>
      <c r="AF192">
        <v>191382.20569999999</v>
      </c>
      <c r="AG192">
        <v>175155.57389999999</v>
      </c>
      <c r="AH192">
        <v>158562.3634</v>
      </c>
      <c r="AI192">
        <v>123008.9713</v>
      </c>
      <c r="AJ192">
        <v>88678.229359999998</v>
      </c>
      <c r="AK192">
        <v>57629.378700000001</v>
      </c>
      <c r="AL192">
        <v>54130.197240000001</v>
      </c>
      <c r="AM192">
        <v>51471.28325</v>
      </c>
      <c r="AN192">
        <v>46998.230040000002</v>
      </c>
      <c r="AO192">
        <v>42039.499629999998</v>
      </c>
      <c r="AP192">
        <v>36918.31841</v>
      </c>
      <c r="AQ192">
        <v>31683.98184</v>
      </c>
      <c r="AR192">
        <v>26278.655630000001</v>
      </c>
      <c r="AS192">
        <v>25093.329259999999</v>
      </c>
      <c r="AT192">
        <v>23959.58</v>
      </c>
      <c r="AU192">
        <v>22787.698110000001</v>
      </c>
      <c r="AV192">
        <v>21555.503939999999</v>
      </c>
      <c r="AW192">
        <v>20258.130860000001</v>
      </c>
    </row>
    <row r="193" spans="2:49" x14ac:dyDescent="0.25">
      <c r="B193" t="s">
        <v>264</v>
      </c>
      <c r="C193">
        <v>8232235.5397947598</v>
      </c>
      <c r="D193">
        <v>8364406.7441781899</v>
      </c>
      <c r="E193">
        <v>8498700</v>
      </c>
      <c r="F193">
        <v>8432797.6960000005</v>
      </c>
      <c r="G193">
        <v>8370146.0209999997</v>
      </c>
      <c r="H193">
        <v>7795443.9790000003</v>
      </c>
      <c r="I193">
        <v>7698664.1789999995</v>
      </c>
      <c r="J193">
        <v>7676208.3360000001</v>
      </c>
      <c r="K193">
        <v>7563236.7439999999</v>
      </c>
      <c r="L193">
        <v>7334348.1359999999</v>
      </c>
      <c r="M193">
        <v>7090383.7860000003</v>
      </c>
      <c r="N193">
        <v>6773460.8109999998</v>
      </c>
      <c r="O193">
        <v>7129956.1849999996</v>
      </c>
      <c r="P193">
        <v>7748737.4369999999</v>
      </c>
      <c r="Q193">
        <v>8527441.7070000004</v>
      </c>
      <c r="R193">
        <v>9146075.8249999899</v>
      </c>
      <c r="S193">
        <v>9739939.8560000006</v>
      </c>
      <c r="T193">
        <v>8990452.5960000008</v>
      </c>
      <c r="U193">
        <v>8191726.9280000003</v>
      </c>
      <c r="V193">
        <v>7336199.4610000001</v>
      </c>
      <c r="W193">
        <v>7952725.6459999997</v>
      </c>
      <c r="X193">
        <v>8472170.2359999996</v>
      </c>
      <c r="Y193">
        <v>7918559.227</v>
      </c>
      <c r="Z193">
        <v>7295228.8890000004</v>
      </c>
      <c r="AA193">
        <v>6697078.2400000002</v>
      </c>
      <c r="AB193">
        <v>6172666.3279999997</v>
      </c>
      <c r="AC193">
        <v>5681325.3439999996</v>
      </c>
      <c r="AD193">
        <v>4841084.4919999996</v>
      </c>
      <c r="AE193">
        <v>4064505.6460000002</v>
      </c>
      <c r="AF193">
        <v>3358298.3470000001</v>
      </c>
      <c r="AG193">
        <v>2816689.9739999999</v>
      </c>
      <c r="AH193">
        <v>2331423.8420000002</v>
      </c>
      <c r="AI193">
        <v>1747503.6669999999</v>
      </c>
      <c r="AJ193">
        <v>1232922.5179999999</v>
      </c>
      <c r="AK193">
        <v>795878.42969999998</v>
      </c>
      <c r="AL193">
        <v>589623.60549999995</v>
      </c>
      <c r="AM193">
        <v>279839.97499999998</v>
      </c>
      <c r="AN193">
        <v>233431.9724</v>
      </c>
      <c r="AO193">
        <v>207362.10740000001</v>
      </c>
      <c r="AP193">
        <v>179096.23939999999</v>
      </c>
      <c r="AQ193">
        <v>146862.5919</v>
      </c>
      <c r="AR193">
        <v>110559.08590000001</v>
      </c>
      <c r="AS193">
        <v>135047.8731</v>
      </c>
      <c r="AT193">
        <v>160609.38459999999</v>
      </c>
      <c r="AU193">
        <v>187245.8793</v>
      </c>
      <c r="AV193">
        <v>214964.2009</v>
      </c>
      <c r="AW193">
        <v>243746.84169999999</v>
      </c>
    </row>
    <row r="194" spans="2:49" x14ac:dyDescent="0.25">
      <c r="B194" t="s">
        <v>265</v>
      </c>
      <c r="C194">
        <v>20174774.421468802</v>
      </c>
      <c r="D194">
        <v>20498686.950521201</v>
      </c>
      <c r="E194">
        <v>20827800</v>
      </c>
      <c r="F194">
        <v>19746362.690000001</v>
      </c>
      <c r="G194">
        <v>18579206.66</v>
      </c>
      <c r="H194">
        <v>16390218.619999999</v>
      </c>
      <c r="I194">
        <v>15332247.359999999</v>
      </c>
      <c r="J194">
        <v>14481440.77</v>
      </c>
      <c r="K194">
        <v>13516858.43</v>
      </c>
      <c r="L194">
        <v>12418197.539999999</v>
      </c>
      <c r="M194">
        <v>11374155.32</v>
      </c>
      <c r="N194">
        <v>10295168.1</v>
      </c>
      <c r="O194">
        <v>8748180.2400000002</v>
      </c>
      <c r="P194">
        <v>7408412.3930000002</v>
      </c>
      <c r="Q194">
        <v>6118703.4550000001</v>
      </c>
      <c r="R194">
        <v>4633326.3219999997</v>
      </c>
      <c r="S194">
        <v>3102331.8769999999</v>
      </c>
      <c r="T194">
        <v>2843895.3360000001</v>
      </c>
      <c r="U194">
        <v>2697066.7220000001</v>
      </c>
      <c r="V194">
        <v>2563522.3059999999</v>
      </c>
      <c r="W194">
        <v>1714000.895</v>
      </c>
      <c r="X194">
        <v>805742.82689999999</v>
      </c>
      <c r="Y194">
        <v>588573.06429999997</v>
      </c>
      <c r="Z194">
        <v>416833.64230000001</v>
      </c>
      <c r="AA194">
        <v>251231.78030000001</v>
      </c>
      <c r="AB194">
        <v>237531.03880000001</v>
      </c>
      <c r="AC194">
        <v>235666.30300000001</v>
      </c>
      <c r="AD194">
        <v>200454.21400000001</v>
      </c>
      <c r="AE194">
        <v>161661.96220000001</v>
      </c>
      <c r="AF194">
        <v>122316.9178</v>
      </c>
      <c r="AG194">
        <v>114791.57030000001</v>
      </c>
      <c r="AH194">
        <v>110031.0958</v>
      </c>
      <c r="AI194">
        <v>109439.3472</v>
      </c>
      <c r="AJ194">
        <v>109320.7974</v>
      </c>
      <c r="AK194">
        <v>109220.74430000001</v>
      </c>
      <c r="AL194">
        <v>109259.5947</v>
      </c>
      <c r="AM194">
        <v>109151.1706</v>
      </c>
      <c r="AN194">
        <v>109297.03879999999</v>
      </c>
      <c r="AO194">
        <v>109531.9939</v>
      </c>
      <c r="AP194">
        <v>109693.38770000001</v>
      </c>
      <c r="AQ194">
        <v>109822.6256</v>
      </c>
      <c r="AR194">
        <v>109881.0432</v>
      </c>
      <c r="AS194">
        <v>110077.83349999999</v>
      </c>
      <c r="AT194">
        <v>110282.07799999999</v>
      </c>
      <c r="AU194">
        <v>110474.7648</v>
      </c>
      <c r="AV194">
        <v>110633.42230000001</v>
      </c>
      <c r="AW194">
        <v>110774.66310000001</v>
      </c>
    </row>
    <row r="195" spans="2:49" x14ac:dyDescent="0.25">
      <c r="B195" t="s">
        <v>266</v>
      </c>
      <c r="C195">
        <v>463787.91773491597</v>
      </c>
      <c r="D195">
        <v>471234.182770602</v>
      </c>
      <c r="E195">
        <v>478800</v>
      </c>
      <c r="F195">
        <v>476398.39390000002</v>
      </c>
      <c r="G195">
        <v>456803.78739999997</v>
      </c>
      <c r="H195">
        <v>430160.75819999998</v>
      </c>
      <c r="I195">
        <v>431646.47340000002</v>
      </c>
      <c r="J195">
        <v>443435.40749999997</v>
      </c>
      <c r="K195">
        <v>439093.50309999997</v>
      </c>
      <c r="L195">
        <v>442704.18800000002</v>
      </c>
      <c r="M195">
        <v>456234.80410000001</v>
      </c>
      <c r="N195">
        <v>476341.6103</v>
      </c>
      <c r="O195">
        <v>447051.4644</v>
      </c>
      <c r="P195">
        <v>410542.4768</v>
      </c>
      <c r="Q195">
        <v>358869.50209999998</v>
      </c>
      <c r="R195">
        <v>315149.10810000001</v>
      </c>
      <c r="S195">
        <v>280395.64030000003</v>
      </c>
      <c r="T195">
        <v>259811.8224</v>
      </c>
      <c r="U195">
        <v>240468.70370000001</v>
      </c>
      <c r="V195">
        <v>221426.01259999999</v>
      </c>
      <c r="W195">
        <v>209712.09890000001</v>
      </c>
      <c r="X195">
        <v>199533.0301</v>
      </c>
      <c r="Y195">
        <v>189161.67600000001</v>
      </c>
      <c r="Z195">
        <v>179602.82180000001</v>
      </c>
      <c r="AA195">
        <v>170063.34179999999</v>
      </c>
      <c r="AB195">
        <v>158924.7567</v>
      </c>
      <c r="AC195">
        <v>148048.62669999999</v>
      </c>
      <c r="AD195">
        <v>143736.1574</v>
      </c>
      <c r="AE195">
        <v>137093.51569999999</v>
      </c>
      <c r="AF195">
        <v>118495.6928</v>
      </c>
      <c r="AG195">
        <v>110052.1876</v>
      </c>
      <c r="AH195">
        <v>101772.0095</v>
      </c>
      <c r="AI195">
        <v>93111.990130000006</v>
      </c>
      <c r="AJ195">
        <v>84751.421560000003</v>
      </c>
      <c r="AK195">
        <v>76527.871100000004</v>
      </c>
      <c r="AL195">
        <v>71748.318339999998</v>
      </c>
      <c r="AM195">
        <v>62008.936869999998</v>
      </c>
      <c r="AN195">
        <v>62051.14604</v>
      </c>
      <c r="AO195">
        <v>59318.038500000002</v>
      </c>
      <c r="AP195">
        <v>53969.68346</v>
      </c>
      <c r="AQ195">
        <v>46202.545630000001</v>
      </c>
      <c r="AR195">
        <v>36097.952870000001</v>
      </c>
      <c r="AS195">
        <v>33413.754209999999</v>
      </c>
      <c r="AT195">
        <v>28348.945360000002</v>
      </c>
      <c r="AU195">
        <v>20987.321670000001</v>
      </c>
      <c r="AV195">
        <v>11507.90598</v>
      </c>
      <c r="AW195">
        <v>1813.018186</v>
      </c>
    </row>
    <row r="196" spans="2:49" x14ac:dyDescent="0.25">
      <c r="B196" s="274" t="s">
        <v>267</v>
      </c>
      <c r="C196">
        <v>748170.71461916296</v>
      </c>
      <c r="D196">
        <v>760182.83744504896</v>
      </c>
      <c r="E196">
        <v>772387.81880000001</v>
      </c>
      <c r="F196">
        <v>780791.20539999998</v>
      </c>
      <c r="G196">
        <v>737643.37080000003</v>
      </c>
      <c r="H196">
        <v>716942.04399999999</v>
      </c>
      <c r="I196">
        <v>735888.58669999999</v>
      </c>
      <c r="J196">
        <v>700318.02190000005</v>
      </c>
      <c r="K196">
        <v>664131.10690000001</v>
      </c>
      <c r="L196">
        <v>619095.18519999995</v>
      </c>
      <c r="M196">
        <v>626892.14269999997</v>
      </c>
      <c r="N196">
        <v>612034.08759999997</v>
      </c>
      <c r="O196">
        <v>601496.5196</v>
      </c>
      <c r="P196">
        <v>601023.62479999999</v>
      </c>
      <c r="Q196">
        <v>562044.89870000002</v>
      </c>
      <c r="R196">
        <v>542120.08490000002</v>
      </c>
      <c r="S196">
        <v>542860.43700000003</v>
      </c>
      <c r="T196">
        <v>526965.00529999996</v>
      </c>
      <c r="U196">
        <v>510131.9607</v>
      </c>
      <c r="V196">
        <v>495865.364</v>
      </c>
      <c r="W196">
        <v>498040.91470000002</v>
      </c>
      <c r="X196">
        <v>491938.45939999999</v>
      </c>
      <c r="Y196">
        <v>473839.39909999998</v>
      </c>
      <c r="Z196">
        <v>457763.59860000003</v>
      </c>
      <c r="AA196">
        <v>441197.21509999997</v>
      </c>
      <c r="AB196">
        <v>424995.52539999998</v>
      </c>
      <c r="AC196">
        <v>408124.79430000001</v>
      </c>
      <c r="AD196">
        <v>369291.07089999999</v>
      </c>
      <c r="AE196">
        <v>330661.69620000001</v>
      </c>
      <c r="AF196">
        <v>292310.84659999999</v>
      </c>
      <c r="AG196">
        <v>271902.8983</v>
      </c>
      <c r="AH196">
        <v>252177.26379999999</v>
      </c>
      <c r="AI196">
        <v>231778.6188</v>
      </c>
      <c r="AJ196">
        <v>211878.68169999999</v>
      </c>
      <c r="AK196">
        <v>191963.02979999999</v>
      </c>
      <c r="AL196">
        <v>227938.85070000001</v>
      </c>
      <c r="AM196">
        <v>264192.00579999998</v>
      </c>
      <c r="AN196">
        <v>230419.8064</v>
      </c>
      <c r="AO196">
        <v>195940.3916</v>
      </c>
      <c r="AP196">
        <v>160809.28169999999</v>
      </c>
      <c r="AQ196">
        <v>125606.2123</v>
      </c>
      <c r="AR196">
        <v>90331.841090000002</v>
      </c>
      <c r="AS196">
        <v>106704.96430000001</v>
      </c>
      <c r="AT196">
        <v>123403.3275</v>
      </c>
      <c r="AU196">
        <v>140066.69959999999</v>
      </c>
      <c r="AV196">
        <v>157041.53760000001</v>
      </c>
      <c r="AW196">
        <v>174266.3474</v>
      </c>
    </row>
    <row r="197" spans="2:49" x14ac:dyDescent="0.25">
      <c r="B197" s="274" t="s">
        <v>268</v>
      </c>
      <c r="C197">
        <v>5051155.6907064496</v>
      </c>
      <c r="D197">
        <v>5132253.62916335</v>
      </c>
      <c r="E197">
        <v>5214653.6210000003</v>
      </c>
      <c r="F197">
        <v>5236798.3470000001</v>
      </c>
      <c r="G197">
        <v>4905401.7259999998</v>
      </c>
      <c r="H197">
        <v>4736332.8119999999</v>
      </c>
      <c r="I197">
        <v>4663271.3679999998</v>
      </c>
      <c r="J197">
        <v>4538498.9380000001</v>
      </c>
      <c r="K197">
        <v>4211506.9069999997</v>
      </c>
      <c r="L197">
        <v>3988576.2009999999</v>
      </c>
      <c r="M197">
        <v>3930581.7319999998</v>
      </c>
      <c r="N197">
        <v>3830160.1949999998</v>
      </c>
      <c r="O197">
        <v>3768898.4070000001</v>
      </c>
      <c r="P197">
        <v>3743549.6549999998</v>
      </c>
      <c r="Q197">
        <v>3560306.1340000001</v>
      </c>
      <c r="R197">
        <v>3411598.4980000001</v>
      </c>
      <c r="S197">
        <v>3424481.0750000002</v>
      </c>
      <c r="T197">
        <v>3301935.986</v>
      </c>
      <c r="U197">
        <v>3194967.9950000001</v>
      </c>
      <c r="V197">
        <v>3089010.9440000001</v>
      </c>
      <c r="W197">
        <v>2501308.1460000002</v>
      </c>
      <c r="X197">
        <v>1998387.926</v>
      </c>
      <c r="Y197">
        <v>1611786.5730000001</v>
      </c>
      <c r="Z197">
        <v>1335611.8359999999</v>
      </c>
      <c r="AA197">
        <v>1125918.9350000001</v>
      </c>
      <c r="AB197">
        <v>962816.05870000005</v>
      </c>
      <c r="AC197">
        <v>830601.48349999997</v>
      </c>
      <c r="AD197">
        <v>742689.89950000006</v>
      </c>
      <c r="AE197">
        <v>670743.71250000002</v>
      </c>
      <c r="AF197">
        <v>600453.99410000001</v>
      </c>
      <c r="AG197">
        <v>566588.38459999999</v>
      </c>
      <c r="AH197">
        <v>531752.61679999996</v>
      </c>
      <c r="AI197">
        <v>494067.76699999999</v>
      </c>
      <c r="AJ197">
        <v>457035.00349999999</v>
      </c>
      <c r="AK197">
        <v>419104.90899999999</v>
      </c>
      <c r="AL197">
        <v>503536.33049999998</v>
      </c>
      <c r="AM197">
        <v>590172.17279999994</v>
      </c>
      <c r="AN197">
        <v>518562.48920000001</v>
      </c>
      <c r="AO197">
        <v>445112.82650000002</v>
      </c>
      <c r="AP197">
        <v>369243.55499999999</v>
      </c>
      <c r="AQ197">
        <v>291584.55570000003</v>
      </c>
      <c r="AR197">
        <v>212034.99489999999</v>
      </c>
      <c r="AS197">
        <v>253147.17329999999</v>
      </c>
      <c r="AT197">
        <v>295168.18699999998</v>
      </c>
      <c r="AU197">
        <v>337983.00819999998</v>
      </c>
      <c r="AV197">
        <v>381872.37800000003</v>
      </c>
      <c r="AW197">
        <v>426820.98210000002</v>
      </c>
    </row>
    <row r="198" spans="2:49" x14ac:dyDescent="0.25">
      <c r="B198" s="274" t="s">
        <v>269</v>
      </c>
      <c r="C198">
        <v>738109.45702439197</v>
      </c>
      <c r="D198">
        <v>749960.04310518701</v>
      </c>
      <c r="E198">
        <v>762000.89419999998</v>
      </c>
      <c r="F198">
        <v>743550.33299999998</v>
      </c>
      <c r="G198">
        <v>688190.52320000005</v>
      </c>
      <c r="H198">
        <v>604070.60160000005</v>
      </c>
      <c r="I198">
        <v>638232.95959999994</v>
      </c>
      <c r="J198">
        <v>610778.75329999998</v>
      </c>
      <c r="K198">
        <v>564648.20079999999</v>
      </c>
      <c r="L198">
        <v>537613.14910000004</v>
      </c>
      <c r="M198">
        <v>534690.33979999996</v>
      </c>
      <c r="N198">
        <v>540805.40549999999</v>
      </c>
      <c r="O198">
        <v>519744.68209999998</v>
      </c>
      <c r="P198">
        <v>507184.68520000001</v>
      </c>
      <c r="Q198">
        <v>465240.35090000002</v>
      </c>
      <c r="R198">
        <v>441201.20490000001</v>
      </c>
      <c r="S198">
        <v>406333.54399999999</v>
      </c>
      <c r="T198">
        <v>394319.46220000001</v>
      </c>
      <c r="U198">
        <v>382030.99650000001</v>
      </c>
      <c r="V198">
        <v>370280.33059999999</v>
      </c>
      <c r="W198">
        <v>284671.31089999998</v>
      </c>
      <c r="X198">
        <v>215132.41219999999</v>
      </c>
      <c r="Y198">
        <v>163191.3941</v>
      </c>
      <c r="Z198">
        <v>128526.48729999999</v>
      </c>
      <c r="AA198">
        <v>102781.29790000001</v>
      </c>
      <c r="AB198">
        <v>83506.975569999995</v>
      </c>
      <c r="AC198">
        <v>68731.407260000007</v>
      </c>
      <c r="AD198">
        <v>59930.310799999999</v>
      </c>
      <c r="AE198">
        <v>53146.41764</v>
      </c>
      <c r="AF198">
        <v>47002.445529999997</v>
      </c>
      <c r="AG198">
        <v>44011.676939999998</v>
      </c>
      <c r="AH198">
        <v>41160.215020000003</v>
      </c>
      <c r="AI198">
        <v>38230.252809999998</v>
      </c>
      <c r="AJ198">
        <v>35326.435989999998</v>
      </c>
      <c r="AK198">
        <v>32362.272580000001</v>
      </c>
      <c r="AL198">
        <v>38901.308920000003</v>
      </c>
      <c r="AM198">
        <v>45544.876810000002</v>
      </c>
      <c r="AN198">
        <v>40028.585120000003</v>
      </c>
      <c r="AO198">
        <v>34360.17164</v>
      </c>
      <c r="AP198">
        <v>28461.403969999999</v>
      </c>
      <c r="AQ198">
        <v>22463.271000000001</v>
      </c>
      <c r="AR198">
        <v>16321.128070000001</v>
      </c>
      <c r="AS198">
        <v>19477.139810000001</v>
      </c>
      <c r="AT198">
        <v>22724.448980000001</v>
      </c>
      <c r="AU198">
        <v>26030.68391</v>
      </c>
      <c r="AV198">
        <v>29421.86161</v>
      </c>
      <c r="AW198">
        <v>32902.97625</v>
      </c>
    </row>
    <row r="199" spans="2:49" x14ac:dyDescent="0.25">
      <c r="B199" s="274" t="s">
        <v>270</v>
      </c>
      <c r="C199">
        <v>1453742.3069470399</v>
      </c>
      <c r="D199">
        <v>1477082.6099113501</v>
      </c>
      <c r="E199">
        <v>1500797.649</v>
      </c>
      <c r="F199">
        <v>1487889.5919999999</v>
      </c>
      <c r="G199">
        <v>1338669.672</v>
      </c>
      <c r="H199">
        <v>1125766.3959999999</v>
      </c>
      <c r="I199">
        <v>1131215.841</v>
      </c>
      <c r="J199">
        <v>1216266.399</v>
      </c>
      <c r="K199">
        <v>1075314.4950000001</v>
      </c>
      <c r="L199">
        <v>998183.4325</v>
      </c>
      <c r="M199">
        <v>991258.88899999997</v>
      </c>
      <c r="N199">
        <v>970282.0612</v>
      </c>
      <c r="O199">
        <v>1009580.105</v>
      </c>
      <c r="P199">
        <v>1041122.2439999999</v>
      </c>
      <c r="Q199">
        <v>1019102.2560000001</v>
      </c>
      <c r="R199">
        <v>993418.20830000006</v>
      </c>
      <c r="S199">
        <v>984373.99410000001</v>
      </c>
      <c r="T199">
        <v>943736.92850000004</v>
      </c>
      <c r="U199">
        <v>902457.37789999996</v>
      </c>
      <c r="V199">
        <v>860264.12450000003</v>
      </c>
      <c r="W199">
        <v>761003.21979999996</v>
      </c>
      <c r="X199">
        <v>658903.6311</v>
      </c>
      <c r="Y199">
        <v>587209.51540000003</v>
      </c>
      <c r="Z199">
        <v>542694.80660000001</v>
      </c>
      <c r="AA199">
        <v>513804.2194</v>
      </c>
      <c r="AB199">
        <v>496619.65299999999</v>
      </c>
      <c r="AC199">
        <v>488060.86609999998</v>
      </c>
      <c r="AD199">
        <v>435302.21649999998</v>
      </c>
      <c r="AE199">
        <v>391075.29249999998</v>
      </c>
      <c r="AF199">
        <v>347992.91869999998</v>
      </c>
      <c r="AG199">
        <v>326191.70539999998</v>
      </c>
      <c r="AH199">
        <v>303920.35139999999</v>
      </c>
      <c r="AI199">
        <v>280399.84019999998</v>
      </c>
      <c r="AJ199">
        <v>257472.9803</v>
      </c>
      <c r="AK199">
        <v>234476.95920000001</v>
      </c>
      <c r="AL199">
        <v>279113.99239999999</v>
      </c>
      <c r="AM199">
        <v>324017.1225</v>
      </c>
      <c r="AN199">
        <v>282432.63020000001</v>
      </c>
      <c r="AO199">
        <v>240622.076</v>
      </c>
      <c r="AP199">
        <v>198265.72760000001</v>
      </c>
      <c r="AQ199">
        <v>155670.62040000001</v>
      </c>
      <c r="AR199">
        <v>112630.28049999999</v>
      </c>
      <c r="AS199">
        <v>133324.856</v>
      </c>
      <c r="AT199">
        <v>154030.60260000001</v>
      </c>
      <c r="AU199">
        <v>174699.81099999999</v>
      </c>
      <c r="AV199">
        <v>195454.8922</v>
      </c>
      <c r="AW199">
        <v>216311.84950000001</v>
      </c>
    </row>
    <row r="200" spans="2:49" x14ac:dyDescent="0.25">
      <c r="B200" s="274" t="s">
        <v>271</v>
      </c>
      <c r="C200">
        <v>1819036.8432423901</v>
      </c>
      <c r="D200">
        <v>1848242.0681447799</v>
      </c>
      <c r="E200">
        <v>1877916.192</v>
      </c>
      <c r="F200">
        <v>1864310.1470000001</v>
      </c>
      <c r="G200">
        <v>1690344.1740000001</v>
      </c>
      <c r="H200">
        <v>1401595.787</v>
      </c>
      <c r="I200">
        <v>1436338.372</v>
      </c>
      <c r="J200">
        <v>1569067.287</v>
      </c>
      <c r="K200">
        <v>1387789.3330000001</v>
      </c>
      <c r="L200">
        <v>1283650.3999999999</v>
      </c>
      <c r="M200">
        <v>1267961.18</v>
      </c>
      <c r="N200">
        <v>1221217.666</v>
      </c>
      <c r="O200">
        <v>1294618.544</v>
      </c>
      <c r="P200">
        <v>1374456.4010000001</v>
      </c>
      <c r="Q200">
        <v>1378191.1680000001</v>
      </c>
      <c r="R200">
        <v>1368402.1410000001</v>
      </c>
      <c r="S200">
        <v>1388950.2679999999</v>
      </c>
      <c r="T200">
        <v>1348398.07</v>
      </c>
      <c r="U200">
        <v>1294829.798</v>
      </c>
      <c r="V200">
        <v>1254789.395</v>
      </c>
      <c r="W200">
        <v>1046036.258</v>
      </c>
      <c r="X200">
        <v>854745.36369999999</v>
      </c>
      <c r="Y200">
        <v>701877.24439999997</v>
      </c>
      <c r="Z200">
        <v>590551.93319999997</v>
      </c>
      <c r="AA200">
        <v>503857.35840000003</v>
      </c>
      <c r="AB200">
        <v>434608.1165</v>
      </c>
      <c r="AC200">
        <v>378176.48070000001</v>
      </c>
      <c r="AD200">
        <v>338409.59269999998</v>
      </c>
      <c r="AE200">
        <v>303681.2831</v>
      </c>
      <c r="AF200">
        <v>269801.78659999999</v>
      </c>
      <c r="AG200">
        <v>252531.0575</v>
      </c>
      <c r="AH200">
        <v>235270.31719999999</v>
      </c>
      <c r="AI200">
        <v>217172.9405</v>
      </c>
      <c r="AJ200">
        <v>199133.17370000001</v>
      </c>
      <c r="AK200">
        <v>181276.62150000001</v>
      </c>
      <c r="AL200">
        <v>215794.27410000001</v>
      </c>
      <c r="AM200">
        <v>250587.4271</v>
      </c>
      <c r="AN200">
        <v>218671.34390000001</v>
      </c>
      <c r="AO200">
        <v>186234.0129</v>
      </c>
      <c r="AP200">
        <v>153428.89319999999</v>
      </c>
      <c r="AQ200">
        <v>120601.3407</v>
      </c>
      <c r="AR200">
        <v>87277.246790000005</v>
      </c>
      <c r="AS200">
        <v>103285.11659999999</v>
      </c>
      <c r="AT200">
        <v>119493.2378</v>
      </c>
      <c r="AU200">
        <v>135687.7795</v>
      </c>
      <c r="AV200">
        <v>152012.55439999999</v>
      </c>
      <c r="AW200">
        <v>168703.9374</v>
      </c>
    </row>
    <row r="201" spans="2:49" x14ac:dyDescent="0.25">
      <c r="B201" s="274" t="s">
        <v>272</v>
      </c>
      <c r="C201">
        <v>2313078.33193391</v>
      </c>
      <c r="D201">
        <v>2350215.5527395001</v>
      </c>
      <c r="E201">
        <v>2387949.0240000002</v>
      </c>
      <c r="F201">
        <v>2348822.3080000002</v>
      </c>
      <c r="G201">
        <v>2159351.2179999999</v>
      </c>
      <c r="H201">
        <v>1882772.541</v>
      </c>
      <c r="I201">
        <v>1948240.371</v>
      </c>
      <c r="J201">
        <v>1809726.1810000001</v>
      </c>
      <c r="K201">
        <v>1622345.3810000001</v>
      </c>
      <c r="L201">
        <v>1549819</v>
      </c>
      <c r="M201">
        <v>1497482.476</v>
      </c>
      <c r="N201">
        <v>1491562.4790000001</v>
      </c>
      <c r="O201">
        <v>1528986.7379999999</v>
      </c>
      <c r="P201">
        <v>1551669.814</v>
      </c>
      <c r="Q201">
        <v>1527096.693</v>
      </c>
      <c r="R201">
        <v>1482850.075</v>
      </c>
      <c r="S201">
        <v>1499035.838</v>
      </c>
      <c r="T201">
        <v>1443695.4820000001</v>
      </c>
      <c r="U201">
        <v>1382544.098</v>
      </c>
      <c r="V201">
        <v>1319034.666</v>
      </c>
      <c r="W201">
        <v>1124627.3370000001</v>
      </c>
      <c r="X201">
        <v>941040.81389999995</v>
      </c>
      <c r="Y201">
        <v>806783.0477</v>
      </c>
      <c r="Z201">
        <v>717373.72010000004</v>
      </c>
      <c r="AA201">
        <v>653555.43740000005</v>
      </c>
      <c r="AB201">
        <v>608390.66819999996</v>
      </c>
      <c r="AC201">
        <v>576725.8175</v>
      </c>
      <c r="AD201">
        <v>515322.36430000002</v>
      </c>
      <c r="AE201">
        <v>464200.21409999998</v>
      </c>
      <c r="AF201">
        <v>414341.00540000002</v>
      </c>
      <c r="AG201">
        <v>389938.31579999998</v>
      </c>
      <c r="AH201">
        <v>364749.29830000002</v>
      </c>
      <c r="AI201">
        <v>337894.92859999998</v>
      </c>
      <c r="AJ201">
        <v>311584.18430000002</v>
      </c>
      <c r="AK201">
        <v>285013.5319</v>
      </c>
      <c r="AL201">
        <v>341098.6764</v>
      </c>
      <c r="AM201">
        <v>398335.41749999998</v>
      </c>
      <c r="AN201">
        <v>348937.32610000001</v>
      </c>
      <c r="AO201">
        <v>298690.0197</v>
      </c>
      <c r="AP201">
        <v>247285.6097</v>
      </c>
      <c r="AQ201">
        <v>195034.60159999999</v>
      </c>
      <c r="AR201">
        <v>141702.6189</v>
      </c>
      <c r="AS201">
        <v>168749.39480000001</v>
      </c>
      <c r="AT201">
        <v>196175.3028</v>
      </c>
      <c r="AU201">
        <v>223927.89720000001</v>
      </c>
      <c r="AV201">
        <v>252154.87609999999</v>
      </c>
      <c r="AW201">
        <v>280874.83</v>
      </c>
    </row>
    <row r="202" spans="2:49" x14ac:dyDescent="0.25">
      <c r="B202" s="274" t="s">
        <v>273</v>
      </c>
      <c r="C202">
        <v>4643279.3828946501</v>
      </c>
      <c r="D202">
        <v>4717828.7352982899</v>
      </c>
      <c r="E202">
        <v>4793575.0020000003</v>
      </c>
      <c r="F202">
        <v>4716223.6220000004</v>
      </c>
      <c r="G202">
        <v>4578806.2139999997</v>
      </c>
      <c r="H202">
        <v>4165196.2779999999</v>
      </c>
      <c r="I202">
        <v>4179068.409</v>
      </c>
      <c r="J202">
        <v>4079309.335</v>
      </c>
      <c r="K202">
        <v>3812801.6809999999</v>
      </c>
      <c r="L202">
        <v>3677597.452</v>
      </c>
      <c r="M202">
        <v>3596404.0109999999</v>
      </c>
      <c r="N202">
        <v>3638102.477</v>
      </c>
      <c r="O202">
        <v>3744748.909</v>
      </c>
      <c r="P202">
        <v>3803043.7910000002</v>
      </c>
      <c r="Q202">
        <v>3732152.415</v>
      </c>
      <c r="R202">
        <v>3721858.548</v>
      </c>
      <c r="S202">
        <v>3696001.281</v>
      </c>
      <c r="T202">
        <v>3548289.4920000001</v>
      </c>
      <c r="U202">
        <v>3391349.3820000002</v>
      </c>
      <c r="V202">
        <v>3222718.233</v>
      </c>
      <c r="W202">
        <v>2787365.7779999999</v>
      </c>
      <c r="X202">
        <v>2338071.3709999998</v>
      </c>
      <c r="Y202">
        <v>1983668.99</v>
      </c>
      <c r="Z202">
        <v>1725808.635</v>
      </c>
      <c r="AA202">
        <v>1525451.058</v>
      </c>
      <c r="AB202">
        <v>1367022.5360000001</v>
      </c>
      <c r="AC202">
        <v>1239295.851</v>
      </c>
      <c r="AD202">
        <v>1114602.105</v>
      </c>
      <c r="AE202">
        <v>1007805.085</v>
      </c>
      <c r="AF202">
        <v>902561.27839999995</v>
      </c>
      <c r="AG202">
        <v>851739.05790000001</v>
      </c>
      <c r="AH202">
        <v>799383.07920000004</v>
      </c>
      <c r="AI202">
        <v>743133.3173</v>
      </c>
      <c r="AJ202">
        <v>687446.04269999999</v>
      </c>
      <c r="AK202">
        <v>630745.19510000001</v>
      </c>
      <c r="AL202">
        <v>756620.54180000001</v>
      </c>
      <c r="AM202">
        <v>884945.37329999998</v>
      </c>
      <c r="AN202">
        <v>777106.75950000004</v>
      </c>
      <c r="AO202">
        <v>667478.89060000004</v>
      </c>
      <c r="AP202">
        <v>554604.05649999995</v>
      </c>
      <c r="AQ202">
        <v>439192.62699999998</v>
      </c>
      <c r="AR202">
        <v>320639.64630000002</v>
      </c>
      <c r="AS202">
        <v>383177.9252</v>
      </c>
      <c r="AT202">
        <v>446815.55550000002</v>
      </c>
      <c r="AU202">
        <v>511516.82150000002</v>
      </c>
      <c r="AV202">
        <v>577580.69070000004</v>
      </c>
      <c r="AW202">
        <v>645020.68359999999</v>
      </c>
    </row>
    <row r="203" spans="2:49" x14ac:dyDescent="0.25">
      <c r="B203" s="274" t="s">
        <v>274</v>
      </c>
      <c r="C203">
        <v>3833938.33697946</v>
      </c>
      <c r="D203">
        <v>3895493.45710216</v>
      </c>
      <c r="E203">
        <v>3971696.9419999998</v>
      </c>
      <c r="F203">
        <v>3912867.4479999999</v>
      </c>
      <c r="G203">
        <v>3848539.568</v>
      </c>
      <c r="H203">
        <v>3470983.6510000001</v>
      </c>
      <c r="I203">
        <v>3552334.4939999999</v>
      </c>
      <c r="J203">
        <v>3552006.497</v>
      </c>
      <c r="K203">
        <v>3421736.8480000002</v>
      </c>
      <c r="L203">
        <v>3333550.6839999999</v>
      </c>
      <c r="M203">
        <v>3262291.1680000001</v>
      </c>
      <c r="N203">
        <v>3246245.6540000001</v>
      </c>
      <c r="O203">
        <v>3329357.9789999998</v>
      </c>
      <c r="P203">
        <v>3470837.1150000002</v>
      </c>
      <c r="Q203">
        <v>3537706.6519999998</v>
      </c>
      <c r="R203">
        <v>3647104.9720000001</v>
      </c>
      <c r="S203">
        <v>3699328.8119999999</v>
      </c>
      <c r="T203">
        <v>3557841.8539999998</v>
      </c>
      <c r="U203">
        <v>3432590.9270000001</v>
      </c>
      <c r="V203">
        <v>3287772.233</v>
      </c>
      <c r="W203">
        <v>3153584.872</v>
      </c>
      <c r="X203">
        <v>3004927.2289999998</v>
      </c>
      <c r="Y203">
        <v>2822888.49</v>
      </c>
      <c r="Z203">
        <v>2674083.5210000002</v>
      </c>
      <c r="AA203">
        <v>2552666.4219999998</v>
      </c>
      <c r="AB203">
        <v>2448266.1359999999</v>
      </c>
      <c r="AC203">
        <v>2353226.977</v>
      </c>
      <c r="AD203">
        <v>2121159.5359999998</v>
      </c>
      <c r="AE203">
        <v>1897768.6240000001</v>
      </c>
      <c r="AF203">
        <v>1678434.1329999999</v>
      </c>
      <c r="AG203">
        <v>1563450.9739999999</v>
      </c>
      <c r="AH203">
        <v>1451147.966</v>
      </c>
      <c r="AI203">
        <v>1335137.949</v>
      </c>
      <c r="AJ203">
        <v>1221271.6580000001</v>
      </c>
      <c r="AK203">
        <v>1108220.378</v>
      </c>
      <c r="AL203">
        <v>1318043.01</v>
      </c>
      <c r="AM203">
        <v>1528155.5179999999</v>
      </c>
      <c r="AN203">
        <v>1327719.497</v>
      </c>
      <c r="AO203">
        <v>1127194.909</v>
      </c>
      <c r="AP203">
        <v>926318.07929999998</v>
      </c>
      <c r="AQ203">
        <v>725080.13210000005</v>
      </c>
      <c r="AR203">
        <v>523054.1594</v>
      </c>
      <c r="AS203">
        <v>619939.61780000001</v>
      </c>
      <c r="AT203">
        <v>717556.54520000005</v>
      </c>
      <c r="AU203">
        <v>815695.13340000005</v>
      </c>
      <c r="AV203">
        <v>914717.46129999997</v>
      </c>
      <c r="AW203">
        <v>1014602.528</v>
      </c>
    </row>
    <row r="204" spans="2:49" x14ac:dyDescent="0.25">
      <c r="B204" s="274" t="s">
        <v>275</v>
      </c>
      <c r="C204">
        <v>271678.64339116903</v>
      </c>
      <c r="D204">
        <v>276040.53188776103</v>
      </c>
      <c r="E204">
        <v>280472.45189999999</v>
      </c>
      <c r="F204">
        <v>284256.04269999999</v>
      </c>
      <c r="G204">
        <v>263435.05450000003</v>
      </c>
      <c r="H204">
        <v>223760.6893</v>
      </c>
      <c r="I204">
        <v>227804.31469999999</v>
      </c>
      <c r="J204">
        <v>223576.77910000001</v>
      </c>
      <c r="K204">
        <v>200349.65590000001</v>
      </c>
      <c r="L204">
        <v>182926.11360000001</v>
      </c>
      <c r="M204">
        <v>176156.54680000001</v>
      </c>
      <c r="N204">
        <v>182251.47839999999</v>
      </c>
      <c r="O204">
        <v>180155.90210000001</v>
      </c>
      <c r="P204">
        <v>178511.7029</v>
      </c>
      <c r="Q204">
        <v>168045.12450000001</v>
      </c>
      <c r="R204">
        <v>157139.7666</v>
      </c>
      <c r="S204">
        <v>153587.2794</v>
      </c>
      <c r="T204">
        <v>147123.1569</v>
      </c>
      <c r="U204">
        <v>140332.9411</v>
      </c>
      <c r="V204">
        <v>134034.51310000001</v>
      </c>
      <c r="W204">
        <v>102471.02190000001</v>
      </c>
      <c r="X204">
        <v>78029.195569999996</v>
      </c>
      <c r="Y204">
        <v>61424.424469999998</v>
      </c>
      <c r="Z204">
        <v>50427.041640000003</v>
      </c>
      <c r="AA204">
        <v>42465.923640000001</v>
      </c>
      <c r="AB204">
        <v>36503.030059999997</v>
      </c>
      <c r="AC204">
        <v>31854.920389999999</v>
      </c>
      <c r="AD204">
        <v>28252.151829999999</v>
      </c>
      <c r="AE204">
        <v>25314.287380000002</v>
      </c>
      <c r="AF204">
        <v>22494.429919999999</v>
      </c>
      <c r="AG204">
        <v>21075.991119999999</v>
      </c>
      <c r="AH204">
        <v>19654.110199999999</v>
      </c>
      <c r="AI204">
        <v>18163.915969999998</v>
      </c>
      <c r="AJ204">
        <v>16699.717560000001</v>
      </c>
      <c r="AK204">
        <v>15229.45643</v>
      </c>
      <c r="AL204">
        <v>18188.971580000001</v>
      </c>
      <c r="AM204">
        <v>21188.318889999999</v>
      </c>
      <c r="AN204">
        <v>18506.589469999999</v>
      </c>
      <c r="AO204">
        <v>15791.079760000001</v>
      </c>
      <c r="AP204">
        <v>13026.521500000001</v>
      </c>
      <c r="AQ204">
        <v>10240.8014</v>
      </c>
      <c r="AR204">
        <v>7416.7630200000003</v>
      </c>
      <c r="AS204">
        <v>8805.8361270000005</v>
      </c>
      <c r="AT204">
        <v>10210.16237</v>
      </c>
      <c r="AU204">
        <v>11623.39421</v>
      </c>
      <c r="AV204">
        <v>13054.261060000001</v>
      </c>
      <c r="AW204">
        <v>14506.016250000001</v>
      </c>
    </row>
    <row r="205" spans="2:49" x14ac:dyDescent="0.25">
      <c r="B205" s="274" t="s">
        <v>276</v>
      </c>
      <c r="C205">
        <v>2033071.8879050901</v>
      </c>
      <c r="D205">
        <v>2065713.51468114</v>
      </c>
      <c r="E205">
        <v>2098879.213</v>
      </c>
      <c r="F205">
        <v>2050983.4569999999</v>
      </c>
      <c r="G205">
        <v>1805768.1240000001</v>
      </c>
      <c r="H205">
        <v>1444925.503</v>
      </c>
      <c r="I205">
        <v>1506417.0109999999</v>
      </c>
      <c r="J205">
        <v>1464335.1070000001</v>
      </c>
      <c r="K205">
        <v>1319268.405</v>
      </c>
      <c r="L205">
        <v>1279287.7250000001</v>
      </c>
      <c r="M205">
        <v>1263284.6599999999</v>
      </c>
      <c r="N205">
        <v>1264497.8899999999</v>
      </c>
      <c r="O205">
        <v>1229818.162</v>
      </c>
      <c r="P205">
        <v>1262051.618</v>
      </c>
      <c r="Q205">
        <v>1219628.023</v>
      </c>
      <c r="R205">
        <v>1155571.3049999999</v>
      </c>
      <c r="S205">
        <v>1139808.4469999999</v>
      </c>
      <c r="T205">
        <v>1089619.2819999999</v>
      </c>
      <c r="U205">
        <v>1032858.64</v>
      </c>
      <c r="V205">
        <v>974412.36259999999</v>
      </c>
      <c r="W205">
        <v>786081.66540000006</v>
      </c>
      <c r="X205">
        <v>620061.46640000003</v>
      </c>
      <c r="Y205">
        <v>504359.14889999997</v>
      </c>
      <c r="Z205">
        <v>423654.98</v>
      </c>
      <c r="AA205">
        <v>362010.19540000003</v>
      </c>
      <c r="AB205">
        <v>313474.31180000002</v>
      </c>
      <c r="AC205">
        <v>274085.05050000001</v>
      </c>
      <c r="AD205">
        <v>244146.01819999999</v>
      </c>
      <c r="AE205">
        <v>218860.7978</v>
      </c>
      <c r="AF205">
        <v>194343.22959999999</v>
      </c>
      <c r="AG205">
        <v>181927.01509999999</v>
      </c>
      <c r="AH205">
        <v>169303.304</v>
      </c>
      <c r="AI205">
        <v>156031.81690000001</v>
      </c>
      <c r="AJ205">
        <v>143045.15900000001</v>
      </c>
      <c r="AK205">
        <v>130100.0365</v>
      </c>
      <c r="AL205">
        <v>154781.60800000001</v>
      </c>
      <c r="AM205">
        <v>179618.0485</v>
      </c>
      <c r="AN205">
        <v>156015.62729999999</v>
      </c>
      <c r="AO205">
        <v>132293.63709999999</v>
      </c>
      <c r="AP205">
        <v>108436.17909999999</v>
      </c>
      <c r="AQ205">
        <v>84637.728860000003</v>
      </c>
      <c r="AR205">
        <v>60804.749400000001</v>
      </c>
      <c r="AS205">
        <v>71737.02248</v>
      </c>
      <c r="AT205">
        <v>82630.599870000005</v>
      </c>
      <c r="AU205">
        <v>93426.173779999997</v>
      </c>
      <c r="AV205">
        <v>104161.75109999999</v>
      </c>
      <c r="AW205">
        <v>114851.7631</v>
      </c>
    </row>
    <row r="206" spans="2:49" x14ac:dyDescent="0.25">
      <c r="B206" s="274" t="s">
        <v>277</v>
      </c>
      <c r="C206">
        <v>611949.61832884501</v>
      </c>
      <c r="D206">
        <v>621774.66739182698</v>
      </c>
      <c r="E206">
        <v>631757.4608</v>
      </c>
      <c r="F206">
        <v>618688.21050000004</v>
      </c>
      <c r="G206">
        <v>554271.20039999997</v>
      </c>
      <c r="H206">
        <v>462187.0465</v>
      </c>
      <c r="I206">
        <v>491832.29259999999</v>
      </c>
      <c r="J206">
        <v>472107.42379999999</v>
      </c>
      <c r="K206">
        <v>422790.19189999998</v>
      </c>
      <c r="L206">
        <v>397800.2464</v>
      </c>
      <c r="M206">
        <v>392305.91210000002</v>
      </c>
      <c r="N206">
        <v>387850.29460000002</v>
      </c>
      <c r="O206">
        <v>355814.2733</v>
      </c>
      <c r="P206">
        <v>341475.12180000002</v>
      </c>
      <c r="Q206">
        <v>302481.95529999997</v>
      </c>
      <c r="R206">
        <v>276416.67619999999</v>
      </c>
      <c r="S206">
        <v>268300.69870000001</v>
      </c>
      <c r="T206">
        <v>261743.3126</v>
      </c>
      <c r="U206">
        <v>253498.35019999999</v>
      </c>
      <c r="V206">
        <v>246879.81049999999</v>
      </c>
      <c r="W206">
        <v>189394.10200000001</v>
      </c>
      <c r="X206">
        <v>144124.14910000001</v>
      </c>
      <c r="Y206">
        <v>111609.7049</v>
      </c>
      <c r="Z206">
        <v>90891.531220000004</v>
      </c>
      <c r="AA206">
        <v>76416.192899999995</v>
      </c>
      <c r="AB206">
        <v>65979.470870000005</v>
      </c>
      <c r="AC206">
        <v>58148.690860000002</v>
      </c>
      <c r="AD206">
        <v>51561.927459999999</v>
      </c>
      <c r="AE206">
        <v>46350.054190000003</v>
      </c>
      <c r="AF206">
        <v>41340.779199999997</v>
      </c>
      <c r="AG206">
        <v>38890.492729999998</v>
      </c>
      <c r="AH206">
        <v>36408.045290000002</v>
      </c>
      <c r="AI206">
        <v>33773.735639999999</v>
      </c>
      <c r="AJ206">
        <v>31153.116239999999</v>
      </c>
      <c r="AK206">
        <v>28503.221949999999</v>
      </c>
      <c r="AL206">
        <v>34152.963589999999</v>
      </c>
      <c r="AM206">
        <v>39925.327469999997</v>
      </c>
      <c r="AN206">
        <v>35000.190600000002</v>
      </c>
      <c r="AO206">
        <v>29969.886119999999</v>
      </c>
      <c r="AP206">
        <v>24805.1283</v>
      </c>
      <c r="AQ206">
        <v>19553.314009999998</v>
      </c>
      <c r="AR206">
        <v>14190.10541</v>
      </c>
      <c r="AS206">
        <v>16917.990659999999</v>
      </c>
      <c r="AT206">
        <v>19704.176329999998</v>
      </c>
      <c r="AU206">
        <v>22532.922409999999</v>
      </c>
      <c r="AV206">
        <v>25424.2641</v>
      </c>
      <c r="AW206">
        <v>28382.721079999999</v>
      </c>
    </row>
    <row r="207" spans="2:49" x14ac:dyDescent="0.25">
      <c r="B207" s="274" t="s">
        <v>278</v>
      </c>
      <c r="C207">
        <v>8749188.7351059392</v>
      </c>
      <c r="D207">
        <v>8889659.7902533505</v>
      </c>
      <c r="E207">
        <v>9032386.1539999899</v>
      </c>
      <c r="F207">
        <v>9078019.7200000007</v>
      </c>
      <c r="G207">
        <v>8626968.79099999</v>
      </c>
      <c r="H207">
        <v>7580816.7640000004</v>
      </c>
      <c r="I207">
        <v>7613297.8039999995</v>
      </c>
      <c r="J207">
        <v>7460372.6349999998</v>
      </c>
      <c r="K207">
        <v>6934166.9009999996</v>
      </c>
      <c r="L207">
        <v>6497855.6469999999</v>
      </c>
      <c r="M207">
        <v>6263697.5199999996</v>
      </c>
      <c r="N207">
        <v>6090736.5880000005</v>
      </c>
      <c r="O207">
        <v>6227496.4400000004</v>
      </c>
      <c r="P207">
        <v>6361154.2779999999</v>
      </c>
      <c r="Q207">
        <v>6176813.2949999999</v>
      </c>
      <c r="R207">
        <v>6198627.8169999998</v>
      </c>
      <c r="S207">
        <v>6313844.8720000004</v>
      </c>
      <c r="T207">
        <v>6172569.2520000003</v>
      </c>
      <c r="U207">
        <v>5983720.2929999996</v>
      </c>
      <c r="V207">
        <v>5811320.676</v>
      </c>
      <c r="W207">
        <v>4597958.6320000002</v>
      </c>
      <c r="X207">
        <v>3629532.5580000002</v>
      </c>
      <c r="Y207">
        <v>2891966.1609999998</v>
      </c>
      <c r="Z207">
        <v>2387268.3590000002</v>
      </c>
      <c r="AA207">
        <v>2009420.507</v>
      </c>
      <c r="AB207">
        <v>1718189.773</v>
      </c>
      <c r="AC207">
        <v>1484436.7949999999</v>
      </c>
      <c r="AD207">
        <v>1327514.54</v>
      </c>
      <c r="AE207">
        <v>1196579.379</v>
      </c>
      <c r="AF207">
        <v>1069002.558</v>
      </c>
      <c r="AG207">
        <v>1006617.7439999999</v>
      </c>
      <c r="AH207">
        <v>942911.15220000001</v>
      </c>
      <c r="AI207">
        <v>875920.11270000006</v>
      </c>
      <c r="AJ207">
        <v>808761.96070000005</v>
      </c>
      <c r="AK207">
        <v>740426.05319999997</v>
      </c>
      <c r="AL207">
        <v>887843.1777</v>
      </c>
      <c r="AM207">
        <v>1037968.145</v>
      </c>
      <c r="AN207">
        <v>910931.20810000005</v>
      </c>
      <c r="AO207">
        <v>780790.7182</v>
      </c>
      <c r="AP207">
        <v>646703.2916</v>
      </c>
      <c r="AQ207">
        <v>510072.73090000002</v>
      </c>
      <c r="AR207">
        <v>370223.68680000002</v>
      </c>
      <c r="AS207">
        <v>441035.53370000003</v>
      </c>
      <c r="AT207">
        <v>513489.09909999999</v>
      </c>
      <c r="AU207">
        <v>587040.73470000003</v>
      </c>
      <c r="AV207">
        <v>662185.04350000003</v>
      </c>
      <c r="AW207">
        <v>738991.0723</v>
      </c>
    </row>
    <row r="208" spans="2:49" x14ac:dyDescent="0.25">
      <c r="B208" s="274" t="s">
        <v>279</v>
      </c>
      <c r="C208">
        <v>583434.83019375498</v>
      </c>
      <c r="D208">
        <v>592802.06510985899</v>
      </c>
      <c r="E208">
        <v>602319.69400000002</v>
      </c>
      <c r="F208">
        <v>627990.47979999997</v>
      </c>
      <c r="G208">
        <v>611283.73860000004</v>
      </c>
      <c r="H208">
        <v>526378.4719</v>
      </c>
      <c r="I208">
        <v>520043.57500000001</v>
      </c>
      <c r="J208">
        <v>524992.05050000001</v>
      </c>
      <c r="K208">
        <v>497591.79889999999</v>
      </c>
      <c r="L208">
        <v>477582.65460000001</v>
      </c>
      <c r="M208">
        <v>439536.80979999999</v>
      </c>
      <c r="N208">
        <v>396750.59019999998</v>
      </c>
      <c r="O208">
        <v>379260.10259999998</v>
      </c>
      <c r="P208">
        <v>377033.37310000003</v>
      </c>
      <c r="Q208">
        <v>363131.17749999999</v>
      </c>
      <c r="R208">
        <v>361175.39870000002</v>
      </c>
      <c r="S208">
        <v>363571.70679999999</v>
      </c>
      <c r="T208">
        <v>359276.00880000001</v>
      </c>
      <c r="U208">
        <v>349793.49890000001</v>
      </c>
      <c r="V208">
        <v>346331.45510000002</v>
      </c>
      <c r="W208">
        <v>348955.53629999998</v>
      </c>
      <c r="X208">
        <v>345319.75270000001</v>
      </c>
      <c r="Y208">
        <v>331256.5931</v>
      </c>
      <c r="Z208">
        <v>317507.90470000001</v>
      </c>
      <c r="AA208">
        <v>302898.72480000003</v>
      </c>
      <c r="AB208">
        <v>287947.2352</v>
      </c>
      <c r="AC208">
        <v>273239.34710000001</v>
      </c>
      <c r="AD208">
        <v>249222.4797</v>
      </c>
      <c r="AE208">
        <v>223199.96530000001</v>
      </c>
      <c r="AF208">
        <v>196997.13709999999</v>
      </c>
      <c r="AG208">
        <v>182389.97349999999</v>
      </c>
      <c r="AH208">
        <v>168324.18789999999</v>
      </c>
      <c r="AI208">
        <v>154057.9376</v>
      </c>
      <c r="AJ208">
        <v>139641.68520000001</v>
      </c>
      <c r="AK208">
        <v>125613.45209999999</v>
      </c>
      <c r="AL208">
        <v>147029.3707</v>
      </c>
      <c r="AM208">
        <v>167881.14550000001</v>
      </c>
      <c r="AN208">
        <v>146329.43299999999</v>
      </c>
      <c r="AO208">
        <v>124167.8869</v>
      </c>
      <c r="AP208">
        <v>101716.84209999999</v>
      </c>
      <c r="AQ208">
        <v>79422.584239999996</v>
      </c>
      <c r="AR208">
        <v>56927.012060000001</v>
      </c>
      <c r="AS208">
        <v>66603.858999999997</v>
      </c>
      <c r="AT208">
        <v>76505.135150000002</v>
      </c>
      <c r="AU208">
        <v>86202.822620000006</v>
      </c>
      <c r="AV208">
        <v>95957.353910000005</v>
      </c>
      <c r="AW208">
        <v>106060.371</v>
      </c>
    </row>
    <row r="209" spans="2:49" x14ac:dyDescent="0.25">
      <c r="B209" s="274" t="s">
        <v>280</v>
      </c>
      <c r="C209">
        <v>40605.282443966003</v>
      </c>
      <c r="D209">
        <v>41257.2133877546</v>
      </c>
      <c r="E209">
        <v>41919.611290000001</v>
      </c>
      <c r="F209">
        <v>42014.712809999997</v>
      </c>
      <c r="G209">
        <v>39206.396580000001</v>
      </c>
      <c r="H209">
        <v>35707.836109999997</v>
      </c>
      <c r="I209">
        <v>36149.567510000001</v>
      </c>
      <c r="J209">
        <v>34956.531110000004</v>
      </c>
      <c r="K209">
        <v>32539.615750000001</v>
      </c>
      <c r="L209">
        <v>31548.99165</v>
      </c>
      <c r="M209">
        <v>31199.976439999999</v>
      </c>
      <c r="N209">
        <v>31133.02447</v>
      </c>
      <c r="O209">
        <v>32570.307720000001</v>
      </c>
      <c r="P209">
        <v>34127.706380000003</v>
      </c>
      <c r="Q209">
        <v>33058.447789999998</v>
      </c>
      <c r="R209">
        <v>32967.590969999997</v>
      </c>
      <c r="S209">
        <v>32623.898140000001</v>
      </c>
      <c r="T209">
        <v>31149.541990000002</v>
      </c>
      <c r="U209">
        <v>29809.643820000001</v>
      </c>
      <c r="V209">
        <v>28567.835129999999</v>
      </c>
      <c r="W209">
        <v>29569.965469999999</v>
      </c>
      <c r="X209">
        <v>29908.371709999999</v>
      </c>
      <c r="Y209">
        <v>28805.257440000001</v>
      </c>
      <c r="Z209">
        <v>27785.046999999999</v>
      </c>
      <c r="AA209">
        <v>26723.81856</v>
      </c>
      <c r="AB209">
        <v>25881.392059999998</v>
      </c>
      <c r="AC209">
        <v>25052.446629999999</v>
      </c>
      <c r="AD209">
        <v>22660.963629999998</v>
      </c>
      <c r="AE209">
        <v>20257.638749999998</v>
      </c>
      <c r="AF209">
        <v>17864.034769999998</v>
      </c>
      <c r="AG209">
        <v>16594.026580000002</v>
      </c>
      <c r="AH209">
        <v>15327.97078</v>
      </c>
      <c r="AI209">
        <v>13992.204760000001</v>
      </c>
      <c r="AJ209">
        <v>12696.53039</v>
      </c>
      <c r="AK209">
        <v>11415.309869999999</v>
      </c>
      <c r="AL209">
        <v>13445.97746</v>
      </c>
      <c r="AM209">
        <v>15472.4503</v>
      </c>
      <c r="AN209">
        <v>13399.771849999999</v>
      </c>
      <c r="AO209">
        <v>11309.81439</v>
      </c>
      <c r="AP209">
        <v>9220.9303280000004</v>
      </c>
      <c r="AQ209">
        <v>7155.8988680000002</v>
      </c>
      <c r="AR209">
        <v>5113.6836759999997</v>
      </c>
      <c r="AS209">
        <v>6008.6688889999996</v>
      </c>
      <c r="AT209">
        <v>6912.4606530000001</v>
      </c>
      <c r="AU209">
        <v>7804.7999749999999</v>
      </c>
      <c r="AV209">
        <v>8702.2396769999996</v>
      </c>
      <c r="AW209">
        <v>9601.0148530000006</v>
      </c>
    </row>
    <row r="210" spans="2:49" x14ac:dyDescent="0.25">
      <c r="B210" s="274" t="s">
        <v>281</v>
      </c>
      <c r="C210">
        <v>55091.732691944802</v>
      </c>
      <c r="D210">
        <v>55976.248280239903</v>
      </c>
      <c r="E210">
        <v>56874.994429999999</v>
      </c>
      <c r="F210">
        <v>59887.097009999998</v>
      </c>
      <c r="G210">
        <v>61059.4643</v>
      </c>
      <c r="H210">
        <v>61309.728810000001</v>
      </c>
      <c r="I210">
        <v>64206.344109999998</v>
      </c>
      <c r="J210">
        <v>66304.670599999998</v>
      </c>
      <c r="K210">
        <v>67696.583660000004</v>
      </c>
      <c r="L210">
        <v>69480.739820000003</v>
      </c>
      <c r="M210">
        <v>71364.154599999994</v>
      </c>
      <c r="N210">
        <v>72319.035950000005</v>
      </c>
      <c r="O210">
        <v>71746.3226</v>
      </c>
      <c r="P210">
        <v>74566.902069999996</v>
      </c>
      <c r="Q210">
        <v>76556.460399999996</v>
      </c>
      <c r="R210">
        <v>83637.326780000003</v>
      </c>
      <c r="S210">
        <v>98854.864050000004</v>
      </c>
      <c r="T210">
        <v>108880.8238</v>
      </c>
      <c r="U210">
        <v>115690.75049999999</v>
      </c>
      <c r="V210">
        <v>118382.8072</v>
      </c>
      <c r="W210">
        <v>149552.60380000001</v>
      </c>
      <c r="X210">
        <v>178498.67689999999</v>
      </c>
      <c r="Y210">
        <v>176829.30559999999</v>
      </c>
      <c r="Z210">
        <v>175585.71849999999</v>
      </c>
      <c r="AA210">
        <v>174210.9748</v>
      </c>
      <c r="AB210">
        <v>172936.1617</v>
      </c>
      <c r="AC210">
        <v>171206.38250000001</v>
      </c>
      <c r="AD210">
        <v>156231.2812</v>
      </c>
      <c r="AE210">
        <v>141180.26010000001</v>
      </c>
      <c r="AF210">
        <v>125932.3275</v>
      </c>
      <c r="AG210">
        <v>118195.42570000001</v>
      </c>
      <c r="AH210">
        <v>110384.6088</v>
      </c>
      <c r="AI210">
        <v>102252.19809999999</v>
      </c>
      <c r="AJ210">
        <v>94071.811130000002</v>
      </c>
      <c r="AK210">
        <v>85772.484259999997</v>
      </c>
      <c r="AL210">
        <v>102431.3771</v>
      </c>
      <c r="AM210">
        <v>119157.98450000001</v>
      </c>
      <c r="AN210">
        <v>105220.2879</v>
      </c>
      <c r="AO210">
        <v>90749.627519999995</v>
      </c>
      <c r="AP210">
        <v>75668.500830000004</v>
      </c>
      <c r="AQ210">
        <v>60056.109530000002</v>
      </c>
      <c r="AR210">
        <v>43966.377159999996</v>
      </c>
      <c r="AS210">
        <v>53403.424729999999</v>
      </c>
      <c r="AT210">
        <v>63257.092790000002</v>
      </c>
      <c r="AU210">
        <v>73508.432390000002</v>
      </c>
      <c r="AV210">
        <v>84165.720289999997</v>
      </c>
      <c r="AW210">
        <v>95068.462490000005</v>
      </c>
    </row>
    <row r="211" spans="2:49" x14ac:dyDescent="0.25">
      <c r="B211" s="274" t="s">
        <v>282</v>
      </c>
      <c r="C211">
        <v>53959.065015136701</v>
      </c>
      <c r="D211">
        <v>54825.395257508797</v>
      </c>
      <c r="E211">
        <v>55842.227160000002</v>
      </c>
      <c r="F211">
        <v>63918.933870000001</v>
      </c>
      <c r="G211">
        <v>70445.328129999994</v>
      </c>
      <c r="H211">
        <v>75625.710940000004</v>
      </c>
      <c r="I211">
        <v>82811.389020000002</v>
      </c>
      <c r="J211">
        <v>88920.883600000001</v>
      </c>
      <c r="K211">
        <v>93864.680559999906</v>
      </c>
      <c r="L211">
        <v>98094.593739999997</v>
      </c>
      <c r="M211">
        <v>100662.9198</v>
      </c>
      <c r="N211">
        <v>100824.7408</v>
      </c>
      <c r="O211">
        <v>110694.5417</v>
      </c>
      <c r="P211">
        <v>122435.1989</v>
      </c>
      <c r="Q211">
        <v>134916.46489999999</v>
      </c>
      <c r="R211">
        <v>149453.37839999999</v>
      </c>
      <c r="S211">
        <v>167351.0496</v>
      </c>
      <c r="T211">
        <v>245149.2133</v>
      </c>
      <c r="U211">
        <v>300722.91600000003</v>
      </c>
      <c r="V211">
        <v>337475</v>
      </c>
      <c r="W211">
        <v>323317.44400000002</v>
      </c>
      <c r="X211">
        <v>303127.97519999999</v>
      </c>
      <c r="Y211">
        <v>341796.10759999999</v>
      </c>
      <c r="Z211">
        <v>377648.15610000002</v>
      </c>
      <c r="AA211">
        <v>409919.46269999997</v>
      </c>
      <c r="AB211">
        <v>438594.01079999999</v>
      </c>
      <c r="AC211">
        <v>463427.7084</v>
      </c>
      <c r="AD211">
        <v>476917.68280000001</v>
      </c>
      <c r="AE211">
        <v>478340.5307</v>
      </c>
      <c r="AF211">
        <v>468239.42170000001</v>
      </c>
      <c r="AG211">
        <v>477934.15629999997</v>
      </c>
      <c r="AH211">
        <v>481943.44819999998</v>
      </c>
      <c r="AI211">
        <v>485864.90139999997</v>
      </c>
      <c r="AJ211">
        <v>482778.84129999997</v>
      </c>
      <c r="AK211">
        <v>471521.28580000001</v>
      </c>
      <c r="AL211">
        <v>602020.37239999999</v>
      </c>
      <c r="AM211">
        <v>743249.66870000004</v>
      </c>
      <c r="AN211">
        <v>674003.42749999999</v>
      </c>
      <c r="AO211">
        <v>597864.5172</v>
      </c>
      <c r="AP211">
        <v>510248.72279999999</v>
      </c>
      <c r="AQ211">
        <v>414013.29570000002</v>
      </c>
      <c r="AR211">
        <v>309074.95529999997</v>
      </c>
      <c r="AS211">
        <v>370530.65490000002</v>
      </c>
      <c r="AT211">
        <v>433916.92369999998</v>
      </c>
      <c r="AU211">
        <v>498889.25329999998</v>
      </c>
      <c r="AV211">
        <v>565629.84970000002</v>
      </c>
      <c r="AW211">
        <v>634154.66020000004</v>
      </c>
    </row>
    <row r="212" spans="2:49" x14ac:dyDescent="0.25">
      <c r="B212" s="274" t="s">
        <v>283</v>
      </c>
      <c r="C212">
        <v>216238.436565001</v>
      </c>
      <c r="D212">
        <v>219710.21460835601</v>
      </c>
      <c r="E212">
        <v>223237.73319999999</v>
      </c>
      <c r="F212">
        <v>250161.9761</v>
      </c>
      <c r="G212">
        <v>210169.20110000001</v>
      </c>
      <c r="H212">
        <v>136112.89869999999</v>
      </c>
      <c r="I212">
        <v>160689.1685</v>
      </c>
      <c r="J212">
        <v>128865.6298</v>
      </c>
      <c r="K212">
        <v>147397.29879999999</v>
      </c>
      <c r="L212">
        <v>126855.914</v>
      </c>
      <c r="M212">
        <v>100586.62420000001</v>
      </c>
      <c r="N212">
        <v>80295.004799999995</v>
      </c>
      <c r="O212">
        <v>58733.582159999998</v>
      </c>
      <c r="P212">
        <v>56399.701970000002</v>
      </c>
      <c r="Q212">
        <v>50909.627639999999</v>
      </c>
      <c r="R212">
        <v>50354.839079999998</v>
      </c>
      <c r="S212">
        <v>50386.154549999999</v>
      </c>
      <c r="T212">
        <v>48890.599889999998</v>
      </c>
      <c r="U212">
        <v>48632.397949999999</v>
      </c>
      <c r="V212">
        <v>48416.501830000001</v>
      </c>
      <c r="W212">
        <v>49328.102769999998</v>
      </c>
      <c r="X212">
        <v>49488.758000000002</v>
      </c>
      <c r="Y212">
        <v>48518.023889999997</v>
      </c>
      <c r="Z212">
        <v>47641.967120000001</v>
      </c>
      <c r="AA212">
        <v>46713.617599999998</v>
      </c>
      <c r="AB212">
        <v>39646.764170000002</v>
      </c>
      <c r="AC212">
        <v>34147.092190000003</v>
      </c>
      <c r="AD212">
        <v>30677.188020000001</v>
      </c>
      <c r="AE212">
        <v>27942.653399999999</v>
      </c>
      <c r="AF212">
        <v>25422.321319999999</v>
      </c>
      <c r="AG212">
        <v>23901.643469999999</v>
      </c>
      <c r="AH212">
        <v>22358.1692</v>
      </c>
      <c r="AI212">
        <v>21081.706170000001</v>
      </c>
      <c r="AJ212">
        <v>19830.339670000001</v>
      </c>
      <c r="AK212">
        <v>18522.597849999998</v>
      </c>
      <c r="AL212">
        <v>20350.325550000001</v>
      </c>
      <c r="AM212">
        <v>21433.76756</v>
      </c>
      <c r="AN212">
        <v>18931.282859999999</v>
      </c>
      <c r="AO212">
        <v>16770.259750000001</v>
      </c>
      <c r="AP212">
        <v>14562.781510000001</v>
      </c>
      <c r="AQ212">
        <v>12199.97573</v>
      </c>
      <c r="AR212">
        <v>9569.2878519999995</v>
      </c>
      <c r="AS212">
        <v>10822.278920000001</v>
      </c>
      <c r="AT212">
        <v>11673.853999999999</v>
      </c>
      <c r="AU212">
        <v>12325.51266</v>
      </c>
      <c r="AV212">
        <v>12858.95131</v>
      </c>
      <c r="AW212">
        <v>13295.45808</v>
      </c>
    </row>
    <row r="213" spans="2:49" x14ac:dyDescent="0.25">
      <c r="B213" s="274" t="s">
        <v>284</v>
      </c>
      <c r="C213">
        <v>215538.66868192199</v>
      </c>
      <c r="D213">
        <v>218999.21172556799</v>
      </c>
      <c r="E213">
        <v>222515.3149</v>
      </c>
      <c r="F213">
        <v>227400.49660000001</v>
      </c>
      <c r="G213">
        <v>224345.519</v>
      </c>
      <c r="H213">
        <v>168356.36600000001</v>
      </c>
      <c r="I213">
        <v>118900.4228</v>
      </c>
      <c r="J213">
        <v>119571.6158</v>
      </c>
      <c r="K213">
        <v>116502.42449999999</v>
      </c>
      <c r="L213">
        <v>109636.921</v>
      </c>
      <c r="M213">
        <v>104342.011</v>
      </c>
      <c r="N213">
        <v>100784.5791</v>
      </c>
      <c r="O213">
        <v>90046.434429999994</v>
      </c>
      <c r="P213">
        <v>84730.069170000002</v>
      </c>
      <c r="Q213">
        <v>84856.195779999995</v>
      </c>
      <c r="R213">
        <v>77291.892019999999</v>
      </c>
      <c r="S213">
        <v>70099.282019999999</v>
      </c>
      <c r="T213">
        <v>60368.913540000001</v>
      </c>
      <c r="U213">
        <v>51932.974979999999</v>
      </c>
      <c r="V213">
        <v>44590.659310000003</v>
      </c>
      <c r="W213">
        <v>39005.604010000003</v>
      </c>
      <c r="X213">
        <v>33348.845820000002</v>
      </c>
      <c r="Y213">
        <v>31595.332610000001</v>
      </c>
      <c r="Z213">
        <v>30698.622660000001</v>
      </c>
      <c r="AA213">
        <v>29973.59275</v>
      </c>
      <c r="AB213">
        <v>29360.093570000001</v>
      </c>
      <c r="AC213">
        <v>28781.60166</v>
      </c>
      <c r="AD213">
        <v>27112.09894</v>
      </c>
      <c r="AE213">
        <v>25487.803260000001</v>
      </c>
      <c r="AF213">
        <v>23772.623049999998</v>
      </c>
      <c r="AG213">
        <v>22837.889029999998</v>
      </c>
      <c r="AH213">
        <v>21777.909660000001</v>
      </c>
      <c r="AI213">
        <v>20612.686150000001</v>
      </c>
      <c r="AJ213">
        <v>19416.916150000001</v>
      </c>
      <c r="AK213">
        <v>18157.442060000001</v>
      </c>
      <c r="AL213">
        <v>20103.622350000001</v>
      </c>
      <c r="AM213">
        <v>21373.062310000001</v>
      </c>
      <c r="AN213">
        <v>18637.909169999999</v>
      </c>
      <c r="AO213">
        <v>16267.340889999999</v>
      </c>
      <c r="AP213">
        <v>13928.83548</v>
      </c>
      <c r="AQ213">
        <v>11542.560149999999</v>
      </c>
      <c r="AR213">
        <v>8998.6919190000008</v>
      </c>
      <c r="AS213">
        <v>10072.220810000001</v>
      </c>
      <c r="AT213">
        <v>10742.03493</v>
      </c>
      <c r="AU213">
        <v>11215.443079999999</v>
      </c>
      <c r="AV213">
        <v>11574.04279</v>
      </c>
      <c r="AW213">
        <v>11837.47495</v>
      </c>
    </row>
    <row r="214" spans="2:49" x14ac:dyDescent="0.25">
      <c r="B214" s="274" t="s">
        <v>285</v>
      </c>
      <c r="C214">
        <v>7946676.0051002903</v>
      </c>
      <c r="D214">
        <v>8074262.4587873695</v>
      </c>
      <c r="E214">
        <v>8203897.3540000003</v>
      </c>
      <c r="F214">
        <v>8801477.7829999998</v>
      </c>
      <c r="G214">
        <v>9024546.2019999996</v>
      </c>
      <c r="H214">
        <v>8934771.2970000003</v>
      </c>
      <c r="I214">
        <v>9565057.3289999999</v>
      </c>
      <c r="J214">
        <v>9828278</v>
      </c>
      <c r="K214">
        <v>9688477.9100000001</v>
      </c>
      <c r="L214">
        <v>9768131.8000000007</v>
      </c>
      <c r="M214">
        <v>10187513.5</v>
      </c>
      <c r="N214">
        <v>10930484.08</v>
      </c>
      <c r="O214">
        <v>11147648.689999999</v>
      </c>
      <c r="P214">
        <v>10878662.359999999</v>
      </c>
      <c r="Q214">
        <v>9984844.4379999898</v>
      </c>
      <c r="R214">
        <v>9293513.5099999998</v>
      </c>
      <c r="S214">
        <v>8941613.6769999899</v>
      </c>
      <c r="T214">
        <v>8513681.1099999994</v>
      </c>
      <c r="U214">
        <v>8053262.8540000003</v>
      </c>
      <c r="V214">
        <v>7593062.7130000005</v>
      </c>
      <c r="W214">
        <v>9239720.93899999</v>
      </c>
      <c r="X214">
        <v>10548615.34</v>
      </c>
      <c r="Y214">
        <v>11040278.43</v>
      </c>
      <c r="Z214">
        <v>11195186.439999999</v>
      </c>
      <c r="AA214">
        <v>11075719.17</v>
      </c>
      <c r="AB214">
        <v>10598795.67</v>
      </c>
      <c r="AC214">
        <v>9990460.33699999</v>
      </c>
      <c r="AD214">
        <v>8817580.1349999998</v>
      </c>
      <c r="AE214">
        <v>7649049.0379999997</v>
      </c>
      <c r="AF214">
        <v>6549148.6069999998</v>
      </c>
      <c r="AG214">
        <v>5893135.9299999997</v>
      </c>
      <c r="AH214">
        <v>5284198.2750000004</v>
      </c>
      <c r="AI214">
        <v>4704836.2259999998</v>
      </c>
      <c r="AJ214">
        <v>4163434.1519999998</v>
      </c>
      <c r="AK214">
        <v>3653699.8820000002</v>
      </c>
      <c r="AL214">
        <v>4171525.5269999998</v>
      </c>
      <c r="AM214">
        <v>4645400.0860000001</v>
      </c>
      <c r="AN214">
        <v>3905034.7990000001</v>
      </c>
      <c r="AO214">
        <v>3204258.87</v>
      </c>
      <c r="AP214">
        <v>2544033.787</v>
      </c>
      <c r="AQ214">
        <v>1924824.6059999999</v>
      </c>
      <c r="AR214">
        <v>1343271.662</v>
      </c>
      <c r="AS214">
        <v>1527727.398</v>
      </c>
      <c r="AT214">
        <v>1697212.3589999999</v>
      </c>
      <c r="AU214">
        <v>1849278.257</v>
      </c>
      <c r="AV214">
        <v>1989343.625</v>
      </c>
      <c r="AW214">
        <v>2117252.6850000001</v>
      </c>
    </row>
    <row r="215" spans="2:49" x14ac:dyDescent="0.25">
      <c r="B215" s="274" t="s">
        <v>286</v>
      </c>
      <c r="C215">
        <v>4498800.2848123703</v>
      </c>
      <c r="D215">
        <v>4571029.97856321</v>
      </c>
      <c r="E215">
        <v>4644419.3430000003</v>
      </c>
      <c r="F215">
        <v>4792029.4330000002</v>
      </c>
      <c r="G215">
        <v>4793473.2740000002</v>
      </c>
      <c r="H215">
        <v>5003609.3720000004</v>
      </c>
      <c r="I215">
        <v>5135430.8949999996</v>
      </c>
      <c r="J215">
        <v>5118649.04</v>
      </c>
      <c r="K215">
        <v>5004115.4139999999</v>
      </c>
      <c r="L215">
        <v>5020980.7539999997</v>
      </c>
      <c r="M215">
        <v>5131403.9330000002</v>
      </c>
      <c r="N215">
        <v>5391100.6840000004</v>
      </c>
      <c r="O215">
        <v>5411747.9230000004</v>
      </c>
      <c r="P215">
        <v>5176368.7860000003</v>
      </c>
      <c r="Q215">
        <v>4678516.6009999998</v>
      </c>
      <c r="R215">
        <v>4318011.3569999998</v>
      </c>
      <c r="S215">
        <v>4093601.3280000002</v>
      </c>
      <c r="T215">
        <v>3894851.6230000001</v>
      </c>
      <c r="U215">
        <v>3691770.534</v>
      </c>
      <c r="V215">
        <v>3479344.0830000001</v>
      </c>
      <c r="W215">
        <v>3881924.12</v>
      </c>
      <c r="X215">
        <v>4148594.4980000001</v>
      </c>
      <c r="Y215">
        <v>4161434.3859999999</v>
      </c>
      <c r="Z215">
        <v>4082876.9730000002</v>
      </c>
      <c r="AA215">
        <v>3936029.98</v>
      </c>
      <c r="AB215">
        <v>3703701.307</v>
      </c>
      <c r="AC215">
        <v>3446817.8330000001</v>
      </c>
      <c r="AD215">
        <v>3046378.2779999999</v>
      </c>
      <c r="AE215">
        <v>2653584.5460000001</v>
      </c>
      <c r="AF215">
        <v>2282059.835</v>
      </c>
      <c r="AG215">
        <v>2063539.885</v>
      </c>
      <c r="AH215">
        <v>1858400.081</v>
      </c>
      <c r="AI215">
        <v>1660463.8230000001</v>
      </c>
      <c r="AJ215">
        <v>1474554.862</v>
      </c>
      <c r="AK215">
        <v>1298566.3600000001</v>
      </c>
      <c r="AL215">
        <v>1489989.41</v>
      </c>
      <c r="AM215">
        <v>1667642.497</v>
      </c>
      <c r="AN215">
        <v>1406243.175</v>
      </c>
      <c r="AO215">
        <v>1157553.8799999999</v>
      </c>
      <c r="AP215">
        <v>921994.71589999995</v>
      </c>
      <c r="AQ215">
        <v>699710.30539999995</v>
      </c>
      <c r="AR215">
        <v>489694.29690000002</v>
      </c>
      <c r="AS215">
        <v>559555.81200000003</v>
      </c>
      <c r="AT215">
        <v>624439.04559999995</v>
      </c>
      <c r="AU215">
        <v>683616.0148</v>
      </c>
      <c r="AV215">
        <v>738695.19770000002</v>
      </c>
      <c r="AW215">
        <v>789642.30949999997</v>
      </c>
    </row>
    <row r="216" spans="2:49" x14ac:dyDescent="0.25">
      <c r="B216" s="274" t="s">
        <v>287</v>
      </c>
      <c r="C216">
        <v>0.96864644472622397</v>
      </c>
      <c r="D216">
        <v>0.984198376713873</v>
      </c>
      <c r="E216">
        <v>1</v>
      </c>
      <c r="F216">
        <v>0.97532505069999997</v>
      </c>
      <c r="G216">
        <v>0.92503733229999996</v>
      </c>
      <c r="H216">
        <v>0.87861857389999998</v>
      </c>
      <c r="I216">
        <v>0.84747266580000002</v>
      </c>
      <c r="J216">
        <v>0.80747597199999999</v>
      </c>
      <c r="K216">
        <v>0.76358153849999999</v>
      </c>
      <c r="L216">
        <v>0.72909376579999996</v>
      </c>
      <c r="M216">
        <v>0.70417018180000002</v>
      </c>
      <c r="N216">
        <v>0.68855779709999998</v>
      </c>
      <c r="O216">
        <v>0.67650597840000004</v>
      </c>
      <c r="P216">
        <v>0.66114707679999996</v>
      </c>
      <c r="Q216">
        <v>0.64012680050000004</v>
      </c>
      <c r="R216">
        <v>0.62912530690000001</v>
      </c>
      <c r="S216">
        <v>0.603027019</v>
      </c>
      <c r="T216">
        <v>0.56836340839999999</v>
      </c>
      <c r="U216">
        <v>0.53502041160000002</v>
      </c>
      <c r="V216">
        <v>0.49647037059999999</v>
      </c>
      <c r="W216">
        <v>0.47277911249999999</v>
      </c>
      <c r="X216">
        <v>0.44359870099999998</v>
      </c>
      <c r="Y216">
        <v>0.40997166740000002</v>
      </c>
      <c r="Z216">
        <v>0.37921389840000003</v>
      </c>
      <c r="AA216">
        <v>0.35061980059999998</v>
      </c>
      <c r="AB216">
        <v>0.32235532430000002</v>
      </c>
      <c r="AC216">
        <v>0.29576377580000002</v>
      </c>
      <c r="AD216">
        <v>0.25404872379999999</v>
      </c>
      <c r="AE216">
        <v>0.21569314919999999</v>
      </c>
      <c r="AF216">
        <v>0.1805407708</v>
      </c>
      <c r="AG216">
        <v>0.15876863720000001</v>
      </c>
      <c r="AH216">
        <v>0.13858336030000001</v>
      </c>
      <c r="AI216">
        <v>0.1191656812</v>
      </c>
      <c r="AJ216">
        <v>0.101217076</v>
      </c>
      <c r="AK216">
        <v>8.4634369500000001E-2</v>
      </c>
      <c r="AL216">
        <v>9.1966308400000002E-2</v>
      </c>
      <c r="AM216">
        <v>9.6077735299999995E-2</v>
      </c>
      <c r="AN216">
        <v>7.7719791299999896E-2</v>
      </c>
      <c r="AO216">
        <v>6.1309415800000003E-2</v>
      </c>
      <c r="AP216">
        <v>4.6480972299999999E-2</v>
      </c>
      <c r="AQ216">
        <v>3.3579881700000001E-2</v>
      </c>
      <c r="AR216">
        <v>2.2043386500000001E-2</v>
      </c>
      <c r="AS216">
        <v>2.54802012E-2</v>
      </c>
      <c r="AT216">
        <v>2.89213509E-2</v>
      </c>
      <c r="AU216" s="39">
        <v>3.2200475399999998E-2</v>
      </c>
      <c r="AV216">
        <v>3.5283067699999997E-2</v>
      </c>
      <c r="AW216">
        <v>3.81380526E-2</v>
      </c>
    </row>
    <row r="217" spans="2:49" x14ac:dyDescent="0.25">
      <c r="B217" s="275" t="s">
        <v>288</v>
      </c>
      <c r="C217">
        <v>8232235.5397947598</v>
      </c>
      <c r="D217">
        <v>8364406.7441781899</v>
      </c>
      <c r="E217">
        <v>8498700</v>
      </c>
      <c r="F217">
        <v>8432797.6960000005</v>
      </c>
      <c r="G217">
        <v>8370146.0209999997</v>
      </c>
      <c r="H217">
        <v>7795443.9790000003</v>
      </c>
      <c r="I217">
        <v>7698664.1789999995</v>
      </c>
      <c r="J217">
        <v>7676208.3360000001</v>
      </c>
      <c r="K217">
        <v>7563236.7439999999</v>
      </c>
      <c r="L217">
        <v>7334348.1359999999</v>
      </c>
      <c r="M217">
        <v>7090383.7860000003</v>
      </c>
      <c r="N217">
        <v>6773460.8109999998</v>
      </c>
      <c r="O217">
        <v>7129956.1849999996</v>
      </c>
      <c r="P217">
        <v>7748737.4369999999</v>
      </c>
      <c r="Q217">
        <v>8527441.7070000004</v>
      </c>
      <c r="R217">
        <v>9146075.8249999899</v>
      </c>
      <c r="S217">
        <v>9739939.8560000006</v>
      </c>
      <c r="T217">
        <v>8990452.5960000008</v>
      </c>
      <c r="U217">
        <v>8191726.9280000003</v>
      </c>
      <c r="V217">
        <v>7336199.4610000001</v>
      </c>
      <c r="W217">
        <v>7952725.6459999997</v>
      </c>
      <c r="X217">
        <v>8472170.2359999996</v>
      </c>
      <c r="Y217">
        <v>7918559.227</v>
      </c>
      <c r="Z217">
        <v>7295228.8890000004</v>
      </c>
      <c r="AA217">
        <v>6697078.2400000002</v>
      </c>
      <c r="AB217">
        <v>6172666.3279999997</v>
      </c>
      <c r="AC217">
        <v>5681325.3439999996</v>
      </c>
      <c r="AD217">
        <v>4841084.4919999996</v>
      </c>
      <c r="AE217">
        <v>4064505.6460000002</v>
      </c>
      <c r="AF217">
        <v>3358298.3470000001</v>
      </c>
      <c r="AG217">
        <v>2816689.9739999999</v>
      </c>
      <c r="AH217">
        <v>2331423.8420000002</v>
      </c>
      <c r="AI217">
        <v>1747503.6669999999</v>
      </c>
      <c r="AJ217">
        <v>1232922.5179999999</v>
      </c>
      <c r="AK217">
        <v>795878.42969999998</v>
      </c>
      <c r="AL217">
        <v>589623.60549999995</v>
      </c>
      <c r="AM217">
        <v>279839.97499999998</v>
      </c>
      <c r="AN217">
        <v>233431.9724</v>
      </c>
      <c r="AO217">
        <v>207362.10740000001</v>
      </c>
      <c r="AP217">
        <v>179096.23939999999</v>
      </c>
      <c r="AQ217">
        <v>146862.5919</v>
      </c>
      <c r="AR217">
        <v>110559.08590000001</v>
      </c>
      <c r="AS217">
        <v>135047.8731</v>
      </c>
      <c r="AT217">
        <v>160609.38459999999</v>
      </c>
      <c r="AU217">
        <v>187245.8793</v>
      </c>
      <c r="AV217">
        <v>214964.2009</v>
      </c>
      <c r="AW217">
        <v>243746.84169999999</v>
      </c>
    </row>
    <row r="218" spans="2:49" x14ac:dyDescent="0.25">
      <c r="B218" s="274" t="s">
        <v>289</v>
      </c>
      <c r="C218">
        <v>463787.91773491597</v>
      </c>
      <c r="D218">
        <v>471234.182770602</v>
      </c>
      <c r="E218">
        <v>478800</v>
      </c>
      <c r="F218">
        <v>476398.39390000002</v>
      </c>
      <c r="G218">
        <v>456803.78739999997</v>
      </c>
      <c r="H218">
        <v>430160.75819999998</v>
      </c>
      <c r="I218">
        <v>431646.47340000002</v>
      </c>
      <c r="J218">
        <v>443435.40749999997</v>
      </c>
      <c r="K218">
        <v>439093.50309999997</v>
      </c>
      <c r="L218">
        <v>442704.18800000002</v>
      </c>
      <c r="M218">
        <v>456234.80410000001</v>
      </c>
      <c r="N218">
        <v>476341.6103</v>
      </c>
      <c r="O218">
        <v>447051.4644</v>
      </c>
      <c r="P218">
        <v>410542.4768</v>
      </c>
      <c r="Q218">
        <v>358869.50209999998</v>
      </c>
      <c r="R218">
        <v>315149.10810000001</v>
      </c>
      <c r="S218">
        <v>280395.64030000003</v>
      </c>
      <c r="T218">
        <v>259811.8224</v>
      </c>
      <c r="U218">
        <v>240468.70370000001</v>
      </c>
      <c r="V218">
        <v>221426.01259999999</v>
      </c>
      <c r="W218">
        <v>209712.09890000001</v>
      </c>
      <c r="X218">
        <v>199533.0301</v>
      </c>
      <c r="Y218">
        <v>189161.67600000001</v>
      </c>
      <c r="Z218">
        <v>179602.82180000001</v>
      </c>
      <c r="AA218">
        <v>170063.34179999999</v>
      </c>
      <c r="AB218">
        <v>158924.7567</v>
      </c>
      <c r="AC218">
        <v>148048.62669999999</v>
      </c>
      <c r="AD218">
        <v>143736.1574</v>
      </c>
      <c r="AE218">
        <v>137093.51569999999</v>
      </c>
      <c r="AF218">
        <v>118495.6928</v>
      </c>
      <c r="AG218">
        <v>110052.1876</v>
      </c>
      <c r="AH218">
        <v>101772.0095</v>
      </c>
      <c r="AI218">
        <v>93111.990130000006</v>
      </c>
      <c r="AJ218">
        <v>84751.421560000003</v>
      </c>
      <c r="AK218">
        <v>76527.871100000004</v>
      </c>
      <c r="AL218">
        <v>71748.318339999998</v>
      </c>
      <c r="AM218">
        <v>62008.936869999998</v>
      </c>
      <c r="AN218">
        <v>62051.14604</v>
      </c>
      <c r="AO218">
        <v>59318.038500000002</v>
      </c>
      <c r="AP218">
        <v>53969.68346</v>
      </c>
      <c r="AQ218">
        <v>46202.545630000001</v>
      </c>
      <c r="AR218">
        <v>36097.952870000001</v>
      </c>
      <c r="AS218">
        <v>33413.754209999999</v>
      </c>
      <c r="AT218">
        <v>28348.945360000002</v>
      </c>
      <c r="AU218">
        <v>20987.321670000001</v>
      </c>
      <c r="AV218">
        <v>11507.90598</v>
      </c>
      <c r="AW218">
        <v>1813.018186</v>
      </c>
    </row>
    <row r="219" spans="2:49" x14ac:dyDescent="0.25">
      <c r="B219" t="s">
        <v>290</v>
      </c>
      <c r="C219">
        <v>247860837.32111701</v>
      </c>
      <c r="D219">
        <v>251840323.237167</v>
      </c>
      <c r="E219">
        <v>255969238.40000001</v>
      </c>
      <c r="F219">
        <v>257525661.69999999</v>
      </c>
      <c r="G219">
        <v>242365050.40000001</v>
      </c>
      <c r="H219">
        <v>225413348</v>
      </c>
      <c r="I219">
        <v>221499305.40000001</v>
      </c>
      <c r="J219">
        <v>214478408.30000001</v>
      </c>
      <c r="K219">
        <v>204677708.19999999</v>
      </c>
      <c r="L219">
        <v>198610335.90000001</v>
      </c>
      <c r="M219">
        <v>197304288.09999999</v>
      </c>
      <c r="N219">
        <v>198184245.09999999</v>
      </c>
      <c r="O219">
        <v>189259021.5</v>
      </c>
      <c r="P219">
        <v>181412839.80000001</v>
      </c>
      <c r="Q219">
        <v>170609530.69999999</v>
      </c>
      <c r="R219">
        <v>163072712.30000001</v>
      </c>
      <c r="S219">
        <v>156660379.59999999</v>
      </c>
      <c r="T219">
        <v>154658589.30000001</v>
      </c>
      <c r="U219">
        <v>152966918.5</v>
      </c>
      <c r="V219">
        <v>151159788.19999999</v>
      </c>
      <c r="W219">
        <v>144510398.80000001</v>
      </c>
      <c r="X219">
        <v>136676932.80000001</v>
      </c>
      <c r="Y219">
        <v>129528144</v>
      </c>
      <c r="Z219">
        <v>123443507.2</v>
      </c>
      <c r="AA219">
        <v>117856226.90000001</v>
      </c>
      <c r="AB219">
        <v>112537766.3</v>
      </c>
      <c r="AC219">
        <v>107483395.7</v>
      </c>
      <c r="AD219">
        <v>100818342.3</v>
      </c>
      <c r="AE219">
        <v>94441107.909999996</v>
      </c>
      <c r="AF219">
        <v>87875532.560000002</v>
      </c>
      <c r="AG219">
        <v>82622426.390000001</v>
      </c>
      <c r="AH219">
        <v>77336565.760000005</v>
      </c>
      <c r="AI219">
        <v>71590458.25</v>
      </c>
      <c r="AJ219">
        <v>65799718.5</v>
      </c>
      <c r="AK219">
        <v>59830350.579999998</v>
      </c>
      <c r="AL219">
        <v>56740525.630000003</v>
      </c>
      <c r="AM219">
        <v>53058314.689999998</v>
      </c>
      <c r="AN219">
        <v>48887647.670000002</v>
      </c>
      <c r="AO219">
        <v>44602411.719999999</v>
      </c>
      <c r="AP219">
        <v>40039872.920000002</v>
      </c>
      <c r="AQ219">
        <v>35249973.93</v>
      </c>
      <c r="AR219">
        <v>30137512.48</v>
      </c>
      <c r="AS219">
        <v>29669665.649999999</v>
      </c>
      <c r="AT219">
        <v>29190220.170000002</v>
      </c>
      <c r="AU219">
        <v>28690118.84</v>
      </c>
      <c r="AV219">
        <v>28165567.149999999</v>
      </c>
      <c r="AW219">
        <v>27615941.760000002</v>
      </c>
    </row>
    <row r="220" spans="2:49" x14ac:dyDescent="0.25">
      <c r="B220" t="s">
        <v>291</v>
      </c>
      <c r="C220">
        <v>41023493.601484403</v>
      </c>
      <c r="D220">
        <v>41682139.060681202</v>
      </c>
      <c r="E220">
        <v>42351359.289999999</v>
      </c>
      <c r="F220">
        <v>41479856.789999999</v>
      </c>
      <c r="G220">
        <v>36485440.68</v>
      </c>
      <c r="H220">
        <v>31924551</v>
      </c>
      <c r="I220">
        <v>30368568.77</v>
      </c>
      <c r="J220">
        <v>28816312.59</v>
      </c>
      <c r="K220">
        <v>27340497.66</v>
      </c>
      <c r="L220">
        <v>27254338.260000002</v>
      </c>
      <c r="M220">
        <v>26647765.219999999</v>
      </c>
      <c r="N220">
        <v>25881737.800000001</v>
      </c>
      <c r="O220">
        <v>20764287.469999999</v>
      </c>
      <c r="P220">
        <v>17376658.649999999</v>
      </c>
      <c r="Q220">
        <v>14774102.689999999</v>
      </c>
      <c r="R220">
        <v>12465646.49</v>
      </c>
      <c r="S220">
        <v>10261121.24</v>
      </c>
      <c r="T220">
        <v>9883995.7430000007</v>
      </c>
      <c r="U220">
        <v>9670895.6940000001</v>
      </c>
      <c r="V220">
        <v>9503922.5040000007</v>
      </c>
      <c r="W220">
        <v>8039132.3229999999</v>
      </c>
      <c r="X220">
        <v>6345896.1270000003</v>
      </c>
      <c r="Y220">
        <v>5636764.3930000002</v>
      </c>
      <c r="Z220">
        <v>5101461.8679999998</v>
      </c>
      <c r="AA220">
        <v>4639465.0669999998</v>
      </c>
      <c r="AB220">
        <v>4374487.3150000004</v>
      </c>
      <c r="AC220">
        <v>4164141.5649999999</v>
      </c>
      <c r="AD220">
        <v>4127124.4750000001</v>
      </c>
      <c r="AE220">
        <v>4132309.8840000001</v>
      </c>
      <c r="AF220">
        <v>4145396.0929999999</v>
      </c>
      <c r="AG220">
        <v>4198121.9050000003</v>
      </c>
      <c r="AH220">
        <v>4250338.9879999999</v>
      </c>
      <c r="AI220">
        <v>4309746.8789999997</v>
      </c>
      <c r="AJ220">
        <v>4375870.29</v>
      </c>
      <c r="AK220">
        <v>4444161.2139999997</v>
      </c>
      <c r="AL220">
        <v>4516354.3039999995</v>
      </c>
      <c r="AM220">
        <v>4591232.9230000004</v>
      </c>
      <c r="AN220">
        <v>4642571.7319999998</v>
      </c>
      <c r="AO220">
        <v>4688832.767</v>
      </c>
      <c r="AP220">
        <v>4727662.4330000002</v>
      </c>
      <c r="AQ220">
        <v>4763857.1859999998</v>
      </c>
      <c r="AR220">
        <v>4791616.7070000004</v>
      </c>
      <c r="AS220">
        <v>4832839.6220000004</v>
      </c>
      <c r="AT220">
        <v>4876434.5760000004</v>
      </c>
      <c r="AU220">
        <v>4919989.9929999998</v>
      </c>
      <c r="AV220">
        <v>4961926.1579999998</v>
      </c>
      <c r="AW220">
        <v>5003414.3859999999</v>
      </c>
    </row>
    <row r="221" spans="2:49" x14ac:dyDescent="0.25">
      <c r="B221" t="s">
        <v>292</v>
      </c>
      <c r="C221">
        <v>156021257.172526</v>
      </c>
      <c r="D221">
        <v>158526228.92293701</v>
      </c>
      <c r="E221">
        <v>161156819.40000001</v>
      </c>
      <c r="F221">
        <v>162982871.80000001</v>
      </c>
      <c r="G221">
        <v>154592999.30000001</v>
      </c>
      <c r="H221">
        <v>145906866.40000001</v>
      </c>
      <c r="I221">
        <v>142674108.80000001</v>
      </c>
      <c r="J221">
        <v>137417128.59999999</v>
      </c>
      <c r="K221">
        <v>131404710.40000001</v>
      </c>
      <c r="L221">
        <v>126799051.3</v>
      </c>
      <c r="M221">
        <v>126338160.3</v>
      </c>
      <c r="N221">
        <v>127653978.8</v>
      </c>
      <c r="O221">
        <v>123085993.90000001</v>
      </c>
      <c r="P221">
        <v>118237059.09999999</v>
      </c>
      <c r="Q221">
        <v>111360859.59999999</v>
      </c>
      <c r="R221">
        <v>106957970</v>
      </c>
      <c r="S221">
        <v>102670270.59999999</v>
      </c>
      <c r="T221">
        <v>103013713.8</v>
      </c>
      <c r="U221">
        <v>103686162.90000001</v>
      </c>
      <c r="V221">
        <v>104259135.59999999</v>
      </c>
      <c r="W221">
        <v>99510751.299999997</v>
      </c>
      <c r="X221">
        <v>94001409.280000001</v>
      </c>
      <c r="Y221">
        <v>89680508.950000003</v>
      </c>
      <c r="Z221">
        <v>86121698.590000004</v>
      </c>
      <c r="AA221">
        <v>82954486.989999995</v>
      </c>
      <c r="AB221">
        <v>79989946.049999997</v>
      </c>
      <c r="AC221">
        <v>77188562.510000005</v>
      </c>
      <c r="AD221">
        <v>73625784.599999994</v>
      </c>
      <c r="AE221">
        <v>70155686.560000002</v>
      </c>
      <c r="AF221">
        <v>66340897.520000003</v>
      </c>
      <c r="AG221">
        <v>62727608.850000001</v>
      </c>
      <c r="AH221">
        <v>58974976.479999997</v>
      </c>
      <c r="AI221">
        <v>54833149.640000001</v>
      </c>
      <c r="AJ221">
        <v>50524392.509999998</v>
      </c>
      <c r="AK221">
        <v>45926890.090000004</v>
      </c>
      <c r="AL221">
        <v>41520697.469999999</v>
      </c>
      <c r="AM221">
        <v>36667028.950000003</v>
      </c>
      <c r="AN221">
        <v>34107635.409999996</v>
      </c>
      <c r="AO221">
        <v>31385713.870000001</v>
      </c>
      <c r="AP221">
        <v>28370353.859999999</v>
      </c>
      <c r="AQ221">
        <v>25099763.23</v>
      </c>
      <c r="AR221">
        <v>21492018.870000001</v>
      </c>
      <c r="AS221">
        <v>20348909.449999999</v>
      </c>
      <c r="AT221">
        <v>19206599.93</v>
      </c>
      <c r="AU221">
        <v>18063420.489999998</v>
      </c>
      <c r="AV221">
        <v>16907380.98</v>
      </c>
      <c r="AW221">
        <v>15734503.279999999</v>
      </c>
    </row>
    <row r="222" spans="2:49" x14ac:dyDescent="0.25">
      <c r="B222" t="s">
        <v>293</v>
      </c>
      <c r="C222">
        <v>50816086.547106199</v>
      </c>
      <c r="D222">
        <v>51631955.253548898</v>
      </c>
      <c r="E222">
        <v>52461059.619999997</v>
      </c>
      <c r="F222">
        <v>53062933.100000001</v>
      </c>
      <c r="G222">
        <v>51286610.380000003</v>
      </c>
      <c r="H222">
        <v>47581930.600000001</v>
      </c>
      <c r="I222">
        <v>48456627.869999997</v>
      </c>
      <c r="J222">
        <v>48244967.109999999</v>
      </c>
      <c r="K222">
        <v>45932500.159999996</v>
      </c>
      <c r="L222">
        <v>44556946.350000001</v>
      </c>
      <c r="M222">
        <v>44318362.549999997</v>
      </c>
      <c r="N222">
        <v>44648528.460000001</v>
      </c>
      <c r="O222">
        <v>45408740.18</v>
      </c>
      <c r="P222">
        <v>45799122.090000004</v>
      </c>
      <c r="Q222">
        <v>44474568.450000003</v>
      </c>
      <c r="R222">
        <v>43649095.840000004</v>
      </c>
      <c r="S222">
        <v>43728987.710000001</v>
      </c>
      <c r="T222">
        <v>41760879.700000003</v>
      </c>
      <c r="U222">
        <v>39609859.920000002</v>
      </c>
      <c r="V222">
        <v>37396730.149999999</v>
      </c>
      <c r="W222">
        <v>36960515.210000001</v>
      </c>
      <c r="X222">
        <v>36329627.369999997</v>
      </c>
      <c r="Y222">
        <v>34210870.640000001</v>
      </c>
      <c r="Z222">
        <v>32220346.760000002</v>
      </c>
      <c r="AA222">
        <v>30262274.890000001</v>
      </c>
      <c r="AB222">
        <v>28173332.940000001</v>
      </c>
      <c r="AC222">
        <v>26130691.620000001</v>
      </c>
      <c r="AD222">
        <v>23065433.25</v>
      </c>
      <c r="AE222">
        <v>20153111.460000001</v>
      </c>
      <c r="AF222">
        <v>17389238.949999999</v>
      </c>
      <c r="AG222">
        <v>15696695.640000001</v>
      </c>
      <c r="AH222">
        <v>14111250.300000001</v>
      </c>
      <c r="AI222">
        <v>12447561.74</v>
      </c>
      <c r="AJ222">
        <v>10899455.699999999</v>
      </c>
      <c r="AK222">
        <v>9459299.2719999999</v>
      </c>
      <c r="AL222">
        <v>10703473.859999999</v>
      </c>
      <c r="AM222">
        <v>11800052.82</v>
      </c>
      <c r="AN222">
        <v>10137440.529999999</v>
      </c>
      <c r="AO222">
        <v>8527865.0789999999</v>
      </c>
      <c r="AP222">
        <v>6941856.6279999996</v>
      </c>
      <c r="AQ222">
        <v>5386353.5140000004</v>
      </c>
      <c r="AR222">
        <v>3853876.9</v>
      </c>
      <c r="AS222">
        <v>4487916.5829999996</v>
      </c>
      <c r="AT222">
        <v>5107185.6679999996</v>
      </c>
      <c r="AU222">
        <v>5706708.3609999996</v>
      </c>
      <c r="AV222">
        <v>6296260.0140000004</v>
      </c>
      <c r="AW222">
        <v>6878024.085</v>
      </c>
    </row>
    <row r="223" spans="2:49" x14ac:dyDescent="0.25">
      <c r="B223" t="s">
        <v>294</v>
      </c>
      <c r="C223">
        <v>392773953.478827</v>
      </c>
      <c r="D223">
        <v>399080066.34826499</v>
      </c>
      <c r="E223">
        <v>405572963.19999999</v>
      </c>
      <c r="F223">
        <v>404508056</v>
      </c>
      <c r="G223">
        <v>385215191.5</v>
      </c>
      <c r="H223">
        <v>367546621.30000001</v>
      </c>
      <c r="I223">
        <v>360926254.89999998</v>
      </c>
      <c r="J223">
        <v>350507380.89999998</v>
      </c>
      <c r="K223">
        <v>336587660.30000001</v>
      </c>
      <c r="L223">
        <v>327311881.89999998</v>
      </c>
      <c r="M223">
        <v>323344982.10000002</v>
      </c>
      <c r="N223">
        <v>322251194.60000002</v>
      </c>
      <c r="O223">
        <v>312579857.69999999</v>
      </c>
      <c r="P223">
        <v>303364273.5</v>
      </c>
      <c r="Q223">
        <v>290164581.10000002</v>
      </c>
      <c r="R223">
        <v>281271527.80000001</v>
      </c>
      <c r="S223">
        <v>272705711.89999998</v>
      </c>
      <c r="T223">
        <v>267204361.30000001</v>
      </c>
      <c r="U223">
        <v>261807127.5</v>
      </c>
      <c r="V223">
        <v>255390881.5</v>
      </c>
      <c r="W223">
        <v>245542763.69999999</v>
      </c>
      <c r="X223">
        <v>234199747.19999999</v>
      </c>
      <c r="Y223">
        <v>223140777.90000001</v>
      </c>
      <c r="Z223">
        <v>212700744.5</v>
      </c>
      <c r="AA223">
        <v>202534623.40000001</v>
      </c>
      <c r="AB223">
        <v>192279574.30000001</v>
      </c>
      <c r="AC223">
        <v>182221184.59999999</v>
      </c>
      <c r="AD223">
        <v>169154346.80000001</v>
      </c>
      <c r="AE223">
        <v>156541837</v>
      </c>
      <c r="AF223">
        <v>143965438.5</v>
      </c>
      <c r="AG223">
        <v>133444051.7</v>
      </c>
      <c r="AH223">
        <v>123098744.09999999</v>
      </c>
      <c r="AI223">
        <v>112401553.59999999</v>
      </c>
      <c r="AJ223">
        <v>101910888.7</v>
      </c>
      <c r="AK223">
        <v>91431125.980000004</v>
      </c>
      <c r="AL223">
        <v>85212339.579999998</v>
      </c>
      <c r="AM223">
        <v>78443315.060000002</v>
      </c>
      <c r="AN223">
        <v>71065862.989999995</v>
      </c>
      <c r="AO223">
        <v>63730479.700000003</v>
      </c>
      <c r="AP223">
        <v>56254488.479999997</v>
      </c>
      <c r="AQ223">
        <v>48671845.770000003</v>
      </c>
      <c r="AR223">
        <v>40826303.759999998</v>
      </c>
      <c r="AS223">
        <v>39703508.899999999</v>
      </c>
      <c r="AT223">
        <v>38611771.170000002</v>
      </c>
      <c r="AU223">
        <v>37536084.049999997</v>
      </c>
      <c r="AV223">
        <v>36470843.520000003</v>
      </c>
      <c r="AW223">
        <v>35412269.140000001</v>
      </c>
    </row>
    <row r="224" spans="2:49" x14ac:dyDescent="0.25">
      <c r="B224" t="s">
        <v>295</v>
      </c>
      <c r="C224">
        <v>42122345.501310699</v>
      </c>
      <c r="D224">
        <v>42798633.383193001</v>
      </c>
      <c r="E224">
        <v>43485779.289999999</v>
      </c>
      <c r="F224">
        <v>42586818.200000003</v>
      </c>
      <c r="G224">
        <v>37563690.18</v>
      </c>
      <c r="H224">
        <v>32974730.460000001</v>
      </c>
      <c r="I224">
        <v>31395991.539999999</v>
      </c>
      <c r="J224">
        <v>29821236.550000001</v>
      </c>
      <c r="K224">
        <v>28320234.050000001</v>
      </c>
      <c r="L224">
        <v>28206023.57</v>
      </c>
      <c r="M224">
        <v>27571969.129999999</v>
      </c>
      <c r="N224">
        <v>26782174.66</v>
      </c>
      <c r="O224">
        <v>21647975.629999999</v>
      </c>
      <c r="P224">
        <v>18246653.390000001</v>
      </c>
      <c r="Q224">
        <v>15628638.359999999</v>
      </c>
      <c r="R224">
        <v>13297032.470000001</v>
      </c>
      <c r="S224">
        <v>11067233.02</v>
      </c>
      <c r="T224">
        <v>10662459.869999999</v>
      </c>
      <c r="U224">
        <v>10422366.539999999</v>
      </c>
      <c r="V224">
        <v>10228160.48</v>
      </c>
      <c r="W224">
        <v>8734248.3699999899</v>
      </c>
      <c r="X224">
        <v>7010539.4890000001</v>
      </c>
      <c r="Y224">
        <v>6270723.5599999996</v>
      </c>
      <c r="Z224">
        <v>5706020.7520000003</v>
      </c>
      <c r="AA224">
        <v>5216598.4800000004</v>
      </c>
      <c r="AB224">
        <v>4926278.24</v>
      </c>
      <c r="AC224">
        <v>4691670.2649999997</v>
      </c>
      <c r="AD224">
        <v>4630886.1509999996</v>
      </c>
      <c r="AE224">
        <v>4613508.3679999998</v>
      </c>
      <c r="AF224">
        <v>4605513.5719999997</v>
      </c>
      <c r="AG224">
        <v>4638535.9720000001</v>
      </c>
      <c r="AH224">
        <v>4672427.4419999998</v>
      </c>
      <c r="AI224">
        <v>4714871.9850000003</v>
      </c>
      <c r="AJ224">
        <v>4765258.9539999999</v>
      </c>
      <c r="AK224">
        <v>4818969.6749999998</v>
      </c>
      <c r="AL224">
        <v>4877612.8679999998</v>
      </c>
      <c r="AM224">
        <v>4939506.909</v>
      </c>
      <c r="AN224">
        <v>4978509.733</v>
      </c>
      <c r="AO224">
        <v>5013077.4730000002</v>
      </c>
      <c r="AP224">
        <v>5040773.7220000001</v>
      </c>
      <c r="AQ224">
        <v>5066356.0609999998</v>
      </c>
      <c r="AR224">
        <v>5084001.8430000003</v>
      </c>
      <c r="AS224">
        <v>5115553.2230000002</v>
      </c>
      <c r="AT224">
        <v>5149773.4079999998</v>
      </c>
      <c r="AU224">
        <v>5184220.8279999997</v>
      </c>
      <c r="AV224">
        <v>5217307.3930000002</v>
      </c>
      <c r="AW224">
        <v>5250283.8289999999</v>
      </c>
    </row>
    <row r="225" spans="2:49" x14ac:dyDescent="0.25">
      <c r="B225" t="s">
        <v>296</v>
      </c>
      <c r="C225">
        <v>261896523.70399499</v>
      </c>
      <c r="D225">
        <v>266101357.10489401</v>
      </c>
      <c r="E225">
        <v>270459101.10000002</v>
      </c>
      <c r="F225">
        <v>270780059.19999999</v>
      </c>
      <c r="G225">
        <v>259975383.30000001</v>
      </c>
      <c r="H225">
        <v>252093139.59999999</v>
      </c>
      <c r="I225">
        <v>246894134.19999999</v>
      </c>
      <c r="J225">
        <v>239642198</v>
      </c>
      <c r="K225">
        <v>231464148.59999999</v>
      </c>
      <c r="L225">
        <v>225238404.19999999</v>
      </c>
      <c r="M225">
        <v>223334448.5</v>
      </c>
      <c r="N225">
        <v>223669628.80000001</v>
      </c>
      <c r="O225">
        <v>218345769.40000001</v>
      </c>
      <c r="P225">
        <v>212549621.09999999</v>
      </c>
      <c r="Q225">
        <v>204525459</v>
      </c>
      <c r="R225">
        <v>199808312.80000001</v>
      </c>
      <c r="S225">
        <v>193990083.59999999</v>
      </c>
      <c r="T225">
        <v>192525846.90000001</v>
      </c>
      <c r="U225">
        <v>190930359.40000001</v>
      </c>
      <c r="V225">
        <v>188408280.09999999</v>
      </c>
      <c r="W225">
        <v>181001405.30000001</v>
      </c>
      <c r="X225">
        <v>172820437.30000001</v>
      </c>
      <c r="Y225">
        <v>165848341.59999999</v>
      </c>
      <c r="Z225">
        <v>159154788</v>
      </c>
      <c r="AA225">
        <v>152583223.59999999</v>
      </c>
      <c r="AB225">
        <v>145917921.80000001</v>
      </c>
      <c r="AC225">
        <v>139258654.59999999</v>
      </c>
      <c r="AD225">
        <v>130909719.90000001</v>
      </c>
      <c r="AE225">
        <v>122699581.40000001</v>
      </c>
      <c r="AF225">
        <v>114251681.09999999</v>
      </c>
      <c r="AG225">
        <v>106196196.59999999</v>
      </c>
      <c r="AH225">
        <v>98153329.049999997</v>
      </c>
      <c r="AI225">
        <v>89788714.989999995</v>
      </c>
      <c r="AJ225">
        <v>81445389.609999999</v>
      </c>
      <c r="AK225">
        <v>72956526.409999996</v>
      </c>
      <c r="AL225">
        <v>64851086.600000001</v>
      </c>
      <c r="AM225">
        <v>56377821.009999998</v>
      </c>
      <c r="AN225">
        <v>51477246.880000003</v>
      </c>
      <c r="AO225">
        <v>46527879.280000001</v>
      </c>
      <c r="AP225">
        <v>41369868.710000001</v>
      </c>
      <c r="AQ225">
        <v>36027039.369999997</v>
      </c>
      <c r="AR225">
        <v>30361308.75</v>
      </c>
      <c r="AS225">
        <v>28363233.559999999</v>
      </c>
      <c r="AT225">
        <v>26422169.5</v>
      </c>
      <c r="AU225">
        <v>24536032.420000002</v>
      </c>
      <c r="AV225">
        <v>22684349.379999999</v>
      </c>
      <c r="AW225">
        <v>20860112.41</v>
      </c>
    </row>
    <row r="226" spans="2:49" x14ac:dyDescent="0.25">
      <c r="B226" t="s">
        <v>297</v>
      </c>
      <c r="C226">
        <v>88755084.273521304</v>
      </c>
      <c r="D226">
        <v>90180075.860178098</v>
      </c>
      <c r="E226">
        <v>91628082.769999996</v>
      </c>
      <c r="F226">
        <v>91141178.629999995</v>
      </c>
      <c r="G226">
        <v>87676118.030000001</v>
      </c>
      <c r="H226">
        <v>82478751.25</v>
      </c>
      <c r="I226">
        <v>82636129.079999998</v>
      </c>
      <c r="J226">
        <v>81043946.340000004</v>
      </c>
      <c r="K226">
        <v>76803277.650000006</v>
      </c>
      <c r="L226">
        <v>73867454.099999994</v>
      </c>
      <c r="M226">
        <v>72438564.420000002</v>
      </c>
      <c r="N226">
        <v>71799391.209999904</v>
      </c>
      <c r="O226">
        <v>72586112.629999995</v>
      </c>
      <c r="P226">
        <v>72567999.019999996</v>
      </c>
      <c r="Q226">
        <v>70010483.730000004</v>
      </c>
      <c r="R226">
        <v>68166182.540000007</v>
      </c>
      <c r="S226">
        <v>67648395.25</v>
      </c>
      <c r="T226">
        <v>64016054.539999999</v>
      </c>
      <c r="U226">
        <v>60454401.579999998</v>
      </c>
      <c r="V226">
        <v>56754440.950000003</v>
      </c>
      <c r="W226">
        <v>55807110.009999998</v>
      </c>
      <c r="X226">
        <v>54368770.460000001</v>
      </c>
      <c r="Y226">
        <v>51021712.770000003</v>
      </c>
      <c r="Z226">
        <v>47839935.789999999</v>
      </c>
      <c r="AA226">
        <v>44734801.32</v>
      </c>
      <c r="AB226">
        <v>41435374.32</v>
      </c>
      <c r="AC226">
        <v>38270859.68</v>
      </c>
      <c r="AD226">
        <v>33613740.770000003</v>
      </c>
      <c r="AE226">
        <v>29228747.300000001</v>
      </c>
      <c r="AF226">
        <v>25108243.829999998</v>
      </c>
      <c r="AG226">
        <v>22609319.129999999</v>
      </c>
      <c r="AH226">
        <v>20272987.620000001</v>
      </c>
      <c r="AI226">
        <v>17897966.609999999</v>
      </c>
      <c r="AJ226">
        <v>15700240.18</v>
      </c>
      <c r="AK226">
        <v>13655629.9</v>
      </c>
      <c r="AL226">
        <v>15483640.119999999</v>
      </c>
      <c r="AM226">
        <v>17125987.140000001</v>
      </c>
      <c r="AN226">
        <v>14610106.369999999</v>
      </c>
      <c r="AO226">
        <v>12189522.949999999</v>
      </c>
      <c r="AP226">
        <v>9843846.0500000007</v>
      </c>
      <c r="AQ226">
        <v>7578450.335</v>
      </c>
      <c r="AR226">
        <v>5380993.1639999999</v>
      </c>
      <c r="AS226">
        <v>6224722.1210000003</v>
      </c>
      <c r="AT226">
        <v>7039828.2580000004</v>
      </c>
      <c r="AU226">
        <v>7815830.7999999998</v>
      </c>
      <c r="AV226">
        <v>8569186.74599999</v>
      </c>
      <c r="AW226">
        <v>9301872.9010000005</v>
      </c>
    </row>
    <row r="227" spans="2:49" x14ac:dyDescent="0.25">
      <c r="B227" t="s">
        <v>298</v>
      </c>
      <c r="C227">
        <v>419119515.24800497</v>
      </c>
      <c r="D227">
        <v>425848614.63336003</v>
      </c>
      <c r="E227">
        <v>432800630.19999999</v>
      </c>
      <c r="F227">
        <v>432086209.80000001</v>
      </c>
      <c r="G227">
        <v>412112934.30000001</v>
      </c>
      <c r="H227">
        <v>391673767.5</v>
      </c>
      <c r="I227">
        <v>385916151.80000001</v>
      </c>
      <c r="J227">
        <v>376111377.5</v>
      </c>
      <c r="K227">
        <v>361538056.89999998</v>
      </c>
      <c r="L227">
        <v>351985757.89999998</v>
      </c>
      <c r="M227">
        <v>348050475.5</v>
      </c>
      <c r="N227">
        <v>347308898</v>
      </c>
      <c r="O227">
        <v>337721477.30000001</v>
      </c>
      <c r="P227">
        <v>329271956.10000002</v>
      </c>
      <c r="Q227">
        <v>316227970</v>
      </c>
      <c r="R227">
        <v>307606618</v>
      </c>
      <c r="S227">
        <v>299094337.5</v>
      </c>
      <c r="T227">
        <v>293759995.19999999</v>
      </c>
      <c r="U227">
        <v>288448914.30000001</v>
      </c>
      <c r="V227">
        <v>282360855.89999998</v>
      </c>
      <c r="W227">
        <v>272491769.69999999</v>
      </c>
      <c r="X227">
        <v>260984643.59999999</v>
      </c>
      <c r="Y227">
        <v>249784387.09999999</v>
      </c>
      <c r="Z227">
        <v>239311137</v>
      </c>
      <c r="AA227">
        <v>229189893.69999999</v>
      </c>
      <c r="AB227">
        <v>219013184.80000001</v>
      </c>
      <c r="AC227">
        <v>209099028.09999999</v>
      </c>
      <c r="AD227">
        <v>195795270.59999999</v>
      </c>
      <c r="AE227">
        <v>182902697.30000001</v>
      </c>
      <c r="AF227">
        <v>170027004.90000001</v>
      </c>
      <c r="AG227">
        <v>159297024.80000001</v>
      </c>
      <c r="AH227">
        <v>148748727.69999999</v>
      </c>
      <c r="AI227">
        <v>137835732.5</v>
      </c>
      <c r="AJ227">
        <v>127087871.40000001</v>
      </c>
      <c r="AK227">
        <v>116328497.7</v>
      </c>
      <c r="AL227">
        <v>110131558.7</v>
      </c>
      <c r="AM227">
        <v>103323126</v>
      </c>
      <c r="AN227">
        <v>95732600.799999997</v>
      </c>
      <c r="AO227">
        <v>88161913.099999994</v>
      </c>
      <c r="AP227">
        <v>80406839.530000001</v>
      </c>
      <c r="AQ227">
        <v>72527532.689999998</v>
      </c>
      <c r="AR227">
        <v>64304877.689999998</v>
      </c>
      <c r="AS227">
        <v>63350436.310000002</v>
      </c>
      <c r="AT227">
        <v>62450985.420000002</v>
      </c>
      <c r="AU227">
        <v>61561587.689999998</v>
      </c>
      <c r="AV227">
        <v>60678620.299999997</v>
      </c>
      <c r="AW227">
        <v>59819832.829999998</v>
      </c>
    </row>
    <row r="228" spans="2:49" x14ac:dyDescent="0.25">
      <c r="B228" t="s">
        <v>299</v>
      </c>
      <c r="C228">
        <v>255.88316116441601</v>
      </c>
      <c r="D228">
        <v>259.991448084664</v>
      </c>
      <c r="E228">
        <v>264.99073650000003</v>
      </c>
      <c r="F228">
        <v>273.00498429999999</v>
      </c>
      <c r="G228">
        <v>274.74548609999999</v>
      </c>
      <c r="H228">
        <v>265.25393780000002</v>
      </c>
      <c r="I228">
        <v>273.52864690000001</v>
      </c>
      <c r="J228">
        <v>275.14028510000003</v>
      </c>
      <c r="K228">
        <v>272.1704517</v>
      </c>
      <c r="L228">
        <v>269.0110565</v>
      </c>
      <c r="M228">
        <v>268.2110394</v>
      </c>
      <c r="N228">
        <v>267.0440969</v>
      </c>
      <c r="O228">
        <v>257.54633480000001</v>
      </c>
      <c r="P228">
        <v>252.63758110000001</v>
      </c>
      <c r="Q228">
        <v>247.12648100000001</v>
      </c>
      <c r="R228">
        <v>239.596836</v>
      </c>
      <c r="S228">
        <v>232.56143789999999</v>
      </c>
      <c r="T228">
        <v>229.91027080000001</v>
      </c>
      <c r="U228">
        <v>227.7511638</v>
      </c>
      <c r="V228">
        <v>224.28089969999999</v>
      </c>
      <c r="W228">
        <v>230.96790150000001</v>
      </c>
      <c r="X228">
        <v>235.87148830000001</v>
      </c>
      <c r="Y228">
        <v>231.4005568</v>
      </c>
      <c r="Z228">
        <v>226.92975139999999</v>
      </c>
      <c r="AA228">
        <v>222.43976180000001</v>
      </c>
      <c r="AB228">
        <v>218.16309609999999</v>
      </c>
      <c r="AC228">
        <v>214.06917820000001</v>
      </c>
      <c r="AD228">
        <v>211.8792837</v>
      </c>
      <c r="AE228">
        <v>209.61350089999999</v>
      </c>
      <c r="AF228">
        <v>205.51594919999999</v>
      </c>
      <c r="AG228">
        <v>193.6418286</v>
      </c>
      <c r="AH228">
        <v>182.0941373</v>
      </c>
      <c r="AI228">
        <v>179.55456040000001</v>
      </c>
      <c r="AJ228">
        <v>177.0429407</v>
      </c>
      <c r="AK228">
        <v>174.52081899999999</v>
      </c>
      <c r="AL228">
        <v>172.31473159999999</v>
      </c>
      <c r="AM228">
        <v>169.9392426</v>
      </c>
      <c r="AN228">
        <v>165.55418710000001</v>
      </c>
      <c r="AO228">
        <v>161.40313560000001</v>
      </c>
      <c r="AP228">
        <v>157.21148690000001</v>
      </c>
      <c r="AQ228">
        <v>153.1356098</v>
      </c>
      <c r="AR228">
        <v>149.07345480000001</v>
      </c>
      <c r="AS228">
        <v>144.96223449999999</v>
      </c>
      <c r="AT228">
        <v>141.0246009</v>
      </c>
      <c r="AU228">
        <v>137.21077489999999</v>
      </c>
      <c r="AV228">
        <v>133.52446979999999</v>
      </c>
      <c r="AW228">
        <v>129.97749049999999</v>
      </c>
    </row>
    <row r="229" spans="2:49" x14ac:dyDescent="0.25">
      <c r="B229" t="s">
        <v>300</v>
      </c>
      <c r="C229">
        <v>5.5705789795526002</v>
      </c>
      <c r="D229">
        <v>5.6600164269241402</v>
      </c>
      <c r="E229">
        <v>5.7508898210000003</v>
      </c>
      <c r="F229">
        <v>5.7944176909999996</v>
      </c>
      <c r="G229">
        <v>4.8282380570000001</v>
      </c>
      <c r="H229">
        <v>4.2261073830000004</v>
      </c>
      <c r="I229">
        <v>4.0941823670000002</v>
      </c>
      <c r="J229">
        <v>3.9114818040000001</v>
      </c>
      <c r="K229">
        <v>3.7754585340000002</v>
      </c>
      <c r="L229">
        <v>4.0194348240000002</v>
      </c>
      <c r="M229">
        <v>4.1198388450000003</v>
      </c>
      <c r="N229">
        <v>4.1903269859999996</v>
      </c>
      <c r="O229">
        <v>3.2922486470000001</v>
      </c>
      <c r="P229">
        <v>2.775817188</v>
      </c>
      <c r="Q229">
        <v>2.4425633360000001</v>
      </c>
      <c r="R229">
        <v>2.229243114</v>
      </c>
      <c r="S229">
        <v>2.052617036</v>
      </c>
      <c r="T229">
        <v>2.0139272940000001</v>
      </c>
      <c r="U229">
        <v>1.9885553650000001</v>
      </c>
      <c r="V229">
        <v>1.685813303</v>
      </c>
      <c r="W229">
        <v>1.291013553</v>
      </c>
      <c r="X229">
        <v>0.92962630560000004</v>
      </c>
      <c r="Y229">
        <v>0.69574596529999999</v>
      </c>
      <c r="Z229">
        <v>0.53793738059999996</v>
      </c>
      <c r="AA229">
        <v>0.42738048049999999</v>
      </c>
      <c r="AB229">
        <v>0.347907672</v>
      </c>
      <c r="AC229">
        <v>0.28998512830000001</v>
      </c>
      <c r="AD229">
        <v>0.25841595169999998</v>
      </c>
      <c r="AE229">
        <v>0.23557915460000001</v>
      </c>
      <c r="AF229">
        <v>0.21715978</v>
      </c>
      <c r="AG229">
        <v>0.2021100528</v>
      </c>
      <c r="AH229">
        <v>0.1893240863</v>
      </c>
      <c r="AI229">
        <v>0.178728516</v>
      </c>
      <c r="AJ229">
        <v>0.1697840994</v>
      </c>
      <c r="AK229">
        <v>0.16208974200000001</v>
      </c>
      <c r="AL229">
        <v>0.1555353424</v>
      </c>
      <c r="AM229">
        <v>0.14972520449999999</v>
      </c>
      <c r="AN229">
        <v>0.14374145739999999</v>
      </c>
      <c r="AO229">
        <v>0.13825810129999999</v>
      </c>
      <c r="AP229">
        <v>0.1329869206</v>
      </c>
      <c r="AQ229">
        <v>0.12814534890000001</v>
      </c>
      <c r="AR229">
        <v>0.12339649799999999</v>
      </c>
      <c r="AS229">
        <v>0.1194312777</v>
      </c>
      <c r="AT229">
        <v>0.11588500409999999</v>
      </c>
      <c r="AU229">
        <v>0.1126010797</v>
      </c>
      <c r="AV229">
        <v>0.10951628770000001</v>
      </c>
      <c r="AW229">
        <v>0.1066565629</v>
      </c>
    </row>
    <row r="230" spans="2:49" x14ac:dyDescent="0.25">
      <c r="B230" t="s">
        <v>301</v>
      </c>
      <c r="C230">
        <v>5.5705789795526002</v>
      </c>
      <c r="D230">
        <v>5.6600164269241402</v>
      </c>
      <c r="E230">
        <v>5.7508898210000003</v>
      </c>
      <c r="F230">
        <v>5.7944176909999996</v>
      </c>
      <c r="G230">
        <v>4.8282380570000001</v>
      </c>
      <c r="H230">
        <v>4.2261073830000004</v>
      </c>
      <c r="I230">
        <v>4.0941823670000002</v>
      </c>
      <c r="J230">
        <v>3.9114818040000001</v>
      </c>
      <c r="K230">
        <v>3.7754585340000002</v>
      </c>
      <c r="L230">
        <v>4.0194348240000002</v>
      </c>
      <c r="M230">
        <v>4.1198388450000003</v>
      </c>
      <c r="N230">
        <v>4.1903269859999996</v>
      </c>
      <c r="O230">
        <v>3.2922486470000001</v>
      </c>
      <c r="P230">
        <v>2.775817188</v>
      </c>
      <c r="Q230">
        <v>2.4425633360000001</v>
      </c>
      <c r="R230">
        <v>2.229243114</v>
      </c>
      <c r="S230">
        <v>2.052617036</v>
      </c>
      <c r="T230">
        <v>2.0139272940000001</v>
      </c>
      <c r="U230">
        <v>1.9885553650000001</v>
      </c>
      <c r="V230">
        <v>1.685813303</v>
      </c>
      <c r="W230">
        <v>1.291013553</v>
      </c>
      <c r="X230">
        <v>0.92962630560000004</v>
      </c>
      <c r="Y230">
        <v>0.69574596529999999</v>
      </c>
      <c r="Z230">
        <v>0.53793738059999996</v>
      </c>
      <c r="AA230">
        <v>0.42738048049999999</v>
      </c>
      <c r="AB230">
        <v>0.347907672</v>
      </c>
      <c r="AC230">
        <v>0.28998512830000001</v>
      </c>
      <c r="AD230">
        <v>0.25841595169999998</v>
      </c>
      <c r="AE230">
        <v>0.23557915460000001</v>
      </c>
      <c r="AF230">
        <v>0.21715978</v>
      </c>
      <c r="AG230">
        <v>0.2021100528</v>
      </c>
      <c r="AH230">
        <v>0.1893240863</v>
      </c>
      <c r="AI230">
        <v>0.178728516</v>
      </c>
      <c r="AJ230">
        <v>0.1697840994</v>
      </c>
      <c r="AK230">
        <v>0.16208974200000001</v>
      </c>
      <c r="AL230">
        <v>0.1555353424</v>
      </c>
      <c r="AM230">
        <v>0.14972520449999999</v>
      </c>
      <c r="AN230">
        <v>0.14374145739999999</v>
      </c>
      <c r="AO230">
        <v>0.13825810129999999</v>
      </c>
      <c r="AP230">
        <v>0.1329869206</v>
      </c>
      <c r="AQ230">
        <v>0.12814534890000001</v>
      </c>
      <c r="AR230">
        <v>0.12339649799999999</v>
      </c>
      <c r="AS230">
        <v>0.1194312777</v>
      </c>
      <c r="AT230">
        <v>0.11588500409999999</v>
      </c>
      <c r="AU230">
        <v>0.1126010797</v>
      </c>
      <c r="AV230">
        <v>0.10951628770000001</v>
      </c>
      <c r="AW230">
        <v>0.1066565629</v>
      </c>
    </row>
    <row r="231" spans="2:49" x14ac:dyDescent="0.25">
      <c r="B231" t="s">
        <v>302</v>
      </c>
      <c r="C231">
        <v>82.165927612137295</v>
      </c>
      <c r="D231">
        <v>83.485128157272499</v>
      </c>
      <c r="E231">
        <v>84.844840500000004</v>
      </c>
      <c r="F231">
        <v>85.025071460000007</v>
      </c>
      <c r="G231">
        <v>81.604719880000005</v>
      </c>
      <c r="H231">
        <v>79.164276740000005</v>
      </c>
      <c r="I231">
        <v>77.559993789999893</v>
      </c>
      <c r="J231">
        <v>75.323324799999995</v>
      </c>
      <c r="K231">
        <v>72.791073969999999</v>
      </c>
      <c r="L231">
        <v>70.893498780000002</v>
      </c>
      <c r="M231">
        <v>70.396163369999996</v>
      </c>
      <c r="N231">
        <v>70.625168520000003</v>
      </c>
      <c r="O231">
        <v>69.028752069999996</v>
      </c>
      <c r="P231">
        <v>67.261221079999999</v>
      </c>
      <c r="Q231">
        <v>64.76106747</v>
      </c>
      <c r="R231">
        <v>63.34463289</v>
      </c>
      <c r="S231">
        <v>61.589810569999997</v>
      </c>
      <c r="T231">
        <v>61.006711539999998</v>
      </c>
      <c r="U231">
        <v>60.36560076</v>
      </c>
      <c r="V231">
        <v>59.436633899999997</v>
      </c>
      <c r="W231">
        <v>57.216869680000002</v>
      </c>
      <c r="X231">
        <v>54.774013680000003</v>
      </c>
      <c r="Y231">
        <v>52.629387719999997</v>
      </c>
      <c r="Z231">
        <v>50.571329149999997</v>
      </c>
      <c r="AA231">
        <v>48.553497069999999</v>
      </c>
      <c r="AB231">
        <v>46.4503506</v>
      </c>
      <c r="AC231">
        <v>44.347399359999997</v>
      </c>
      <c r="AD231">
        <v>41.693386750000002</v>
      </c>
      <c r="AE231">
        <v>39.084622039999999</v>
      </c>
      <c r="AF231">
        <v>36.407879710000003</v>
      </c>
      <c r="AG231">
        <v>33.849455349999999</v>
      </c>
      <c r="AH231">
        <v>31.294267120000001</v>
      </c>
      <c r="AI231">
        <v>28.635018609999999</v>
      </c>
      <c r="AJ231">
        <v>25.981922300000001</v>
      </c>
      <c r="AK231">
        <v>23.280736789999999</v>
      </c>
      <c r="AL231">
        <v>20.686181680000001</v>
      </c>
      <c r="AM231">
        <v>17.975444629999998</v>
      </c>
      <c r="AN231">
        <v>16.40935137</v>
      </c>
      <c r="AO231">
        <v>14.828538350000001</v>
      </c>
      <c r="AP231">
        <v>13.18157927</v>
      </c>
      <c r="AQ231">
        <v>11.47649008</v>
      </c>
      <c r="AR231">
        <v>9.6695994719999998</v>
      </c>
      <c r="AS231">
        <v>9.0431880679999903</v>
      </c>
      <c r="AT231">
        <v>8.4335832479999997</v>
      </c>
      <c r="AU231">
        <v>7.840166859</v>
      </c>
      <c r="AV231">
        <v>7.2564616959999997</v>
      </c>
      <c r="AW231">
        <v>6.6802507660000003</v>
      </c>
    </row>
    <row r="232" spans="2:49" x14ac:dyDescent="0.25">
      <c r="B232" t="s">
        <v>303</v>
      </c>
      <c r="C232">
        <v>0.67805251130835598</v>
      </c>
      <c r="D232">
        <v>0.68893886369971102</v>
      </c>
      <c r="E232">
        <v>0.66746537549999996</v>
      </c>
      <c r="F232">
        <v>1.002793284</v>
      </c>
      <c r="G232">
        <v>1.2846759560000001</v>
      </c>
      <c r="H232">
        <v>1.5605372200000001</v>
      </c>
      <c r="I232">
        <v>1.838484945</v>
      </c>
      <c r="J232">
        <v>2.0981017569999998</v>
      </c>
      <c r="K232">
        <v>2.3329678660000002</v>
      </c>
      <c r="L232">
        <v>2.5724686440000002</v>
      </c>
      <c r="M232">
        <v>2.8552211239999998</v>
      </c>
      <c r="N232">
        <v>3.1686456810000001</v>
      </c>
      <c r="O232">
        <v>3.1567371280000001</v>
      </c>
      <c r="P232">
        <v>3.1377029790000002</v>
      </c>
      <c r="Q232">
        <v>3.084396919</v>
      </c>
      <c r="R232">
        <v>3.083007694</v>
      </c>
      <c r="S232">
        <v>3.0662927359999999</v>
      </c>
      <c r="T232">
        <v>3.1936609929999999</v>
      </c>
      <c r="U232">
        <v>3.3091416339999999</v>
      </c>
      <c r="V232">
        <v>3.399585471</v>
      </c>
      <c r="W232">
        <v>3.6417330300000001</v>
      </c>
      <c r="X232">
        <v>3.8654155569999999</v>
      </c>
      <c r="Y232">
        <v>3.8810288819999998</v>
      </c>
      <c r="Z232">
        <v>3.9053571040000001</v>
      </c>
      <c r="AA232">
        <v>3.9359523740000002</v>
      </c>
      <c r="AB232">
        <v>3.958987091</v>
      </c>
      <c r="AC232">
        <v>3.9855733889999998</v>
      </c>
      <c r="AD232">
        <v>4.6118110459999997</v>
      </c>
      <c r="AE232">
        <v>5.2543091899999999</v>
      </c>
      <c r="AF232">
        <v>5.9134874679999996</v>
      </c>
      <c r="AG232">
        <v>6.5881201899999997</v>
      </c>
      <c r="AH232">
        <v>7.2927691460000004</v>
      </c>
      <c r="AI232">
        <v>8.1030131670000003</v>
      </c>
      <c r="AJ232">
        <v>8.9677828759999905</v>
      </c>
      <c r="AK232">
        <v>9.8896590129999904</v>
      </c>
      <c r="AL232">
        <v>10.870622259999999</v>
      </c>
      <c r="AM232">
        <v>11.950654569999999</v>
      </c>
      <c r="AN232">
        <v>12.169720209999999</v>
      </c>
      <c r="AO232">
        <v>12.454625780000001</v>
      </c>
      <c r="AP232">
        <v>12.78735397</v>
      </c>
      <c r="AQ232">
        <v>13.20577909</v>
      </c>
      <c r="AR232">
        <v>13.71048062</v>
      </c>
      <c r="AS232">
        <v>13.347528909999999</v>
      </c>
      <c r="AT232">
        <v>13.01506187</v>
      </c>
      <c r="AU232">
        <v>12.71849162</v>
      </c>
      <c r="AV232">
        <v>12.45549593</v>
      </c>
      <c r="AW232">
        <v>12.232504219999999</v>
      </c>
    </row>
    <row r="233" spans="2:49" x14ac:dyDescent="0.25">
      <c r="B233" t="s">
        <v>304</v>
      </c>
      <c r="C233">
        <v>82.165927612137295</v>
      </c>
      <c r="D233">
        <v>83.485128157272499</v>
      </c>
      <c r="E233">
        <v>84.844840500000004</v>
      </c>
      <c r="F233">
        <v>85.025071460000007</v>
      </c>
      <c r="G233">
        <v>81.604719880000005</v>
      </c>
      <c r="H233">
        <v>79.164276740000005</v>
      </c>
      <c r="I233">
        <v>77.559993789999893</v>
      </c>
      <c r="J233">
        <v>75.323324799999995</v>
      </c>
      <c r="K233">
        <v>72.791073969999999</v>
      </c>
      <c r="L233">
        <v>70.893498780000002</v>
      </c>
      <c r="M233">
        <v>70.396163369999996</v>
      </c>
      <c r="N233">
        <v>70.625168520000003</v>
      </c>
      <c r="O233">
        <v>69.028752069999996</v>
      </c>
      <c r="P233">
        <v>67.261221079999999</v>
      </c>
      <c r="Q233">
        <v>64.76106747</v>
      </c>
      <c r="R233">
        <v>63.34463289</v>
      </c>
      <c r="S233">
        <v>61.589810569999997</v>
      </c>
      <c r="T233">
        <v>61.006711539999998</v>
      </c>
      <c r="U233">
        <v>60.36560076</v>
      </c>
      <c r="V233">
        <v>59.436633899999997</v>
      </c>
      <c r="W233">
        <v>57.216869680000002</v>
      </c>
      <c r="X233">
        <v>54.774013680000003</v>
      </c>
      <c r="Y233">
        <v>52.629387719999997</v>
      </c>
      <c r="Z233">
        <v>50.571329149999997</v>
      </c>
      <c r="AA233">
        <v>48.553497069999999</v>
      </c>
      <c r="AB233">
        <v>46.4503506</v>
      </c>
      <c r="AC233">
        <v>44.347399359999997</v>
      </c>
      <c r="AD233">
        <v>41.693386750000002</v>
      </c>
      <c r="AE233">
        <v>39.084622039999999</v>
      </c>
      <c r="AF233">
        <v>36.407879710000003</v>
      </c>
      <c r="AG233">
        <v>33.849455349999999</v>
      </c>
      <c r="AH233">
        <v>31.294267120000001</v>
      </c>
      <c r="AI233">
        <v>28.635018609999999</v>
      </c>
      <c r="AJ233">
        <v>25.981922300000001</v>
      </c>
      <c r="AK233">
        <v>23.280736789999999</v>
      </c>
      <c r="AL233">
        <v>20.686181680000001</v>
      </c>
      <c r="AM233">
        <v>17.975444629999998</v>
      </c>
      <c r="AN233">
        <v>16.40935137</v>
      </c>
      <c r="AO233">
        <v>14.828538350000001</v>
      </c>
      <c r="AP233">
        <v>13.18157927</v>
      </c>
      <c r="AQ233">
        <v>11.47649008</v>
      </c>
      <c r="AR233">
        <v>9.6695994719999998</v>
      </c>
      <c r="AS233">
        <v>9.0431880679999903</v>
      </c>
      <c r="AT233">
        <v>8.4335832479999997</v>
      </c>
      <c r="AU233">
        <v>7.840166859</v>
      </c>
      <c r="AV233">
        <v>7.2564616959999997</v>
      </c>
      <c r="AW233">
        <v>6.6802507660000003</v>
      </c>
    </row>
    <row r="234" spans="2:49" x14ac:dyDescent="0.25">
      <c r="B234" t="s">
        <v>305</v>
      </c>
      <c r="C234">
        <v>0.67805251130835598</v>
      </c>
      <c r="D234">
        <v>0.68893886369971102</v>
      </c>
      <c r="E234">
        <v>0.66746537549999996</v>
      </c>
      <c r="F234">
        <v>1.002793284</v>
      </c>
      <c r="G234">
        <v>1.2846759560000001</v>
      </c>
      <c r="H234">
        <v>1.5605372200000001</v>
      </c>
      <c r="I234">
        <v>1.838484945</v>
      </c>
      <c r="J234">
        <v>2.0981017569999998</v>
      </c>
      <c r="K234">
        <v>2.3329678660000002</v>
      </c>
      <c r="L234">
        <v>2.5724686440000002</v>
      </c>
      <c r="M234">
        <v>2.8552211239999998</v>
      </c>
      <c r="N234">
        <v>3.1686456810000001</v>
      </c>
      <c r="O234">
        <v>3.1567371280000001</v>
      </c>
      <c r="P234">
        <v>3.1377029790000002</v>
      </c>
      <c r="Q234">
        <v>3.084396919</v>
      </c>
      <c r="R234">
        <v>3.083007694</v>
      </c>
      <c r="S234">
        <v>3.0662927359999999</v>
      </c>
      <c r="T234">
        <v>3.1936609929999999</v>
      </c>
      <c r="U234">
        <v>3.3091416339999999</v>
      </c>
      <c r="V234">
        <v>3.399585471</v>
      </c>
      <c r="W234">
        <v>3.6417330300000001</v>
      </c>
      <c r="X234">
        <v>3.8654155569999999</v>
      </c>
      <c r="Y234">
        <v>3.8810288819999998</v>
      </c>
      <c r="Z234">
        <v>3.9053571040000001</v>
      </c>
      <c r="AA234">
        <v>3.9359523740000002</v>
      </c>
      <c r="AB234">
        <v>3.958987091</v>
      </c>
      <c r="AC234">
        <v>3.9855733889999998</v>
      </c>
      <c r="AD234">
        <v>4.6118110459999997</v>
      </c>
      <c r="AE234">
        <v>5.2543091899999999</v>
      </c>
      <c r="AF234">
        <v>5.9134874679999996</v>
      </c>
      <c r="AG234">
        <v>6.5881201899999997</v>
      </c>
      <c r="AH234">
        <v>7.2927691460000004</v>
      </c>
      <c r="AI234">
        <v>8.1030131670000003</v>
      </c>
      <c r="AJ234">
        <v>8.9677828759999905</v>
      </c>
      <c r="AK234">
        <v>9.8896590129999904</v>
      </c>
      <c r="AL234">
        <v>10.870622259999999</v>
      </c>
      <c r="AM234">
        <v>11.950654569999999</v>
      </c>
      <c r="AN234">
        <v>12.169720209999999</v>
      </c>
      <c r="AO234">
        <v>12.454625780000001</v>
      </c>
      <c r="AP234">
        <v>12.78735397</v>
      </c>
      <c r="AQ234">
        <v>13.20577909</v>
      </c>
      <c r="AR234">
        <v>13.71048062</v>
      </c>
      <c r="AS234">
        <v>13.347528909999999</v>
      </c>
      <c r="AT234">
        <v>13.01506187</v>
      </c>
      <c r="AU234">
        <v>12.71849162</v>
      </c>
      <c r="AV234">
        <v>12.45549593</v>
      </c>
      <c r="AW234">
        <v>12.232504219999999</v>
      </c>
    </row>
    <row r="235" spans="2:49" x14ac:dyDescent="0.25">
      <c r="B235" t="s">
        <v>306</v>
      </c>
      <c r="C235">
        <v>114.221490567207</v>
      </c>
      <c r="D235">
        <v>116.055353544252</v>
      </c>
      <c r="E235">
        <v>118.4724703</v>
      </c>
      <c r="F235">
        <v>124.33089870000001</v>
      </c>
      <c r="G235">
        <v>130.0243213</v>
      </c>
      <c r="H235">
        <v>125.2446698</v>
      </c>
      <c r="I235">
        <v>132.74766099999999</v>
      </c>
      <c r="J235">
        <v>135.46260760000001</v>
      </c>
      <c r="K235">
        <v>135.60595739999999</v>
      </c>
      <c r="L235">
        <v>134.03128570000001</v>
      </c>
      <c r="M235">
        <v>132.61586260000001</v>
      </c>
      <c r="N235">
        <v>129.76890750000001</v>
      </c>
      <c r="O235">
        <v>122.6374646</v>
      </c>
      <c r="P235">
        <v>119.86733649999999</v>
      </c>
      <c r="Q235">
        <v>118.4848916</v>
      </c>
      <c r="R235">
        <v>113.8474648</v>
      </c>
      <c r="S235">
        <v>109.2008305</v>
      </c>
      <c r="T235">
        <v>107.1350743</v>
      </c>
      <c r="U235">
        <v>105.45770280000001</v>
      </c>
      <c r="V235">
        <v>102.8808789</v>
      </c>
      <c r="W235">
        <v>111.59752109999999</v>
      </c>
      <c r="X235">
        <v>118.7541322</v>
      </c>
      <c r="Y235">
        <v>117.0483292</v>
      </c>
      <c r="Z235">
        <v>115.1337961</v>
      </c>
      <c r="AA235">
        <v>113.1692439</v>
      </c>
      <c r="AB235">
        <v>111.70641190000001</v>
      </c>
      <c r="AC235">
        <v>110.3823939</v>
      </c>
      <c r="AD235">
        <v>109.7473025</v>
      </c>
      <c r="AE235">
        <v>108.98040659999999</v>
      </c>
      <c r="AF235">
        <v>106.331898</v>
      </c>
      <c r="AG235">
        <v>97.868739169999998</v>
      </c>
      <c r="AH235">
        <v>89.749189389999998</v>
      </c>
      <c r="AI235">
        <v>89.241200230000004</v>
      </c>
      <c r="AJ235">
        <v>88.673864589999994</v>
      </c>
      <c r="AK235">
        <v>88.086153260000003</v>
      </c>
      <c r="AL235">
        <v>87.675262230000001</v>
      </c>
      <c r="AM235">
        <v>87.121995479999995</v>
      </c>
      <c r="AN235">
        <v>83.320389160000005</v>
      </c>
      <c r="AO235">
        <v>79.696026090000004</v>
      </c>
      <c r="AP235">
        <v>76.090582979999894</v>
      </c>
      <c r="AQ235">
        <v>72.566536360000001</v>
      </c>
      <c r="AR235">
        <v>69.087899120000003</v>
      </c>
      <c r="AS235">
        <v>65.497023179999999</v>
      </c>
      <c r="AT235">
        <v>62.007741029999998</v>
      </c>
      <c r="AU235">
        <v>58.610256819999996</v>
      </c>
      <c r="AV235">
        <v>55.288543369999999</v>
      </c>
      <c r="AW235">
        <v>52.05140059</v>
      </c>
    </row>
    <row r="236" spans="2:49" x14ac:dyDescent="0.25">
      <c r="B236" t="s">
        <v>307</v>
      </c>
      <c r="C236">
        <v>1.2736350545564401</v>
      </c>
      <c r="D236">
        <v>1.2940836773262701</v>
      </c>
      <c r="E236">
        <v>1.3210359140000001</v>
      </c>
      <c r="F236">
        <v>1.311565941</v>
      </c>
      <c r="G236">
        <v>1.297651941</v>
      </c>
      <c r="H236">
        <v>1.182563112</v>
      </c>
      <c r="I236">
        <v>1.1858573830000001</v>
      </c>
      <c r="J236">
        <v>1.1197384319999999</v>
      </c>
      <c r="K236">
        <v>1.03739951</v>
      </c>
      <c r="L236">
        <v>0.94916535840000005</v>
      </c>
      <c r="M236">
        <v>0.86958952249999999</v>
      </c>
      <c r="N236">
        <v>0.78813533049999995</v>
      </c>
      <c r="O236">
        <v>0.68334519739999999</v>
      </c>
      <c r="P236">
        <v>0.60364005899999995</v>
      </c>
      <c r="Q236">
        <v>0.52850563390000005</v>
      </c>
      <c r="R236">
        <v>0.4372770111</v>
      </c>
      <c r="S236">
        <v>0.34627987339999999</v>
      </c>
      <c r="T236">
        <v>0.45074561619999998</v>
      </c>
      <c r="U236">
        <v>0.55608676749999997</v>
      </c>
      <c r="V236">
        <v>0.65534672810000005</v>
      </c>
      <c r="W236">
        <v>0.39209358519999998</v>
      </c>
      <c r="X236">
        <v>0.1872919495</v>
      </c>
      <c r="Y236">
        <v>0.17390114039999999</v>
      </c>
      <c r="Z236">
        <v>0.14204850050000001</v>
      </c>
      <c r="AA236">
        <v>9.2733953399999999E-2</v>
      </c>
      <c r="AB236">
        <v>8.29586769E-2</v>
      </c>
      <c r="AC236">
        <v>7.3322094700000007E-2</v>
      </c>
      <c r="AD236">
        <v>7.3434736E-2</v>
      </c>
      <c r="AE236">
        <v>7.3473876100000002E-2</v>
      </c>
      <c r="AF236">
        <v>7.2250980199999995E-2</v>
      </c>
      <c r="AG236">
        <v>6.7005703799999997E-2</v>
      </c>
      <c r="AH236">
        <v>6.1926859100000002E-2</v>
      </c>
      <c r="AI236">
        <v>5.0189125399999999E-2</v>
      </c>
      <c r="AJ236">
        <v>3.84714034E-2</v>
      </c>
      <c r="AK236">
        <v>2.68087373E-2</v>
      </c>
      <c r="AL236">
        <v>2.0361634300000001E-2</v>
      </c>
      <c r="AM236">
        <v>1.2830867500000001E-2</v>
      </c>
      <c r="AN236">
        <v>1.16867866E-2</v>
      </c>
      <c r="AO236">
        <v>1.0613791399999999E-2</v>
      </c>
      <c r="AP236">
        <v>9.5889446700000002E-3</v>
      </c>
      <c r="AQ236" s="39">
        <v>8.62005276E-3</v>
      </c>
      <c r="AR236" s="39">
        <v>7.7021243399999998E-3</v>
      </c>
      <c r="AS236" s="39">
        <v>7.6443426400000002E-3</v>
      </c>
      <c r="AT236" s="39">
        <v>7.5880318199999996E-3</v>
      </c>
      <c r="AU236" s="39">
        <v>7.5322810999999996E-3</v>
      </c>
      <c r="AV236" s="39">
        <v>7.4751408200000001E-3</v>
      </c>
      <c r="AW236" s="39">
        <v>7.4177752600000004E-3</v>
      </c>
    </row>
    <row r="237" spans="2:49" x14ac:dyDescent="0.25">
      <c r="B237" t="s">
        <v>308</v>
      </c>
      <c r="C237">
        <v>3.4574974609126801</v>
      </c>
      <c r="D237">
        <v>3.51300870100687</v>
      </c>
      <c r="E237">
        <v>3.5861750990000001</v>
      </c>
      <c r="F237">
        <v>3.7433602000000001</v>
      </c>
      <c r="G237">
        <v>3.8940368730000001</v>
      </c>
      <c r="H237">
        <v>3.7312418379999999</v>
      </c>
      <c r="I237">
        <v>3.9342935720000001</v>
      </c>
      <c r="J237">
        <v>4.091246892</v>
      </c>
      <c r="K237">
        <v>4.1799933999999999</v>
      </c>
      <c r="L237">
        <v>4.2223648880000004</v>
      </c>
      <c r="M237">
        <v>4.274903342</v>
      </c>
      <c r="N237">
        <v>4.2850458189999996</v>
      </c>
      <c r="O237">
        <v>4.524186533</v>
      </c>
      <c r="P237">
        <v>4.9210160099999998</v>
      </c>
      <c r="Q237">
        <v>5.3965378199999998</v>
      </c>
      <c r="R237">
        <v>5.7390882369999998</v>
      </c>
      <c r="S237">
        <v>6.0820907369999997</v>
      </c>
      <c r="T237">
        <v>5.7800069499999998</v>
      </c>
      <c r="U237">
        <v>5.49820916</v>
      </c>
      <c r="V237">
        <v>5.1698632130000002</v>
      </c>
      <c r="W237">
        <v>5.8926728989999999</v>
      </c>
      <c r="X237">
        <v>6.5320925450000002</v>
      </c>
      <c r="Y237">
        <v>6.2792380950000002</v>
      </c>
      <c r="Z237">
        <v>6.0196726470000002</v>
      </c>
      <c r="AA237">
        <v>5.762349317</v>
      </c>
      <c r="AB237">
        <v>5.5396817399999998</v>
      </c>
      <c r="AC237">
        <v>5.327082334</v>
      </c>
      <c r="AD237">
        <v>5.058578281</v>
      </c>
      <c r="AE237">
        <v>4.7852658720000001</v>
      </c>
      <c r="AF237">
        <v>4.4784128340000002</v>
      </c>
      <c r="AG237">
        <v>3.9291022710000001</v>
      </c>
      <c r="AH237">
        <v>3.423130757</v>
      </c>
      <c r="AI237">
        <v>2.7817714929999999</v>
      </c>
      <c r="AJ237">
        <v>2.1490841789999999</v>
      </c>
      <c r="AK237">
        <v>1.5267819979999999</v>
      </c>
      <c r="AL237">
        <v>0.9467903688</v>
      </c>
      <c r="AM237">
        <v>0.37475327470000003</v>
      </c>
      <c r="AN237">
        <v>0.3946509252</v>
      </c>
      <c r="AO237">
        <v>0.41416428309999997</v>
      </c>
      <c r="AP237">
        <v>0.43254842360000001</v>
      </c>
      <c r="AQ237">
        <v>0.45011866039999998</v>
      </c>
      <c r="AR237">
        <v>0.46665333990000002</v>
      </c>
      <c r="AS237">
        <v>0.47975754399999998</v>
      </c>
      <c r="AT237">
        <v>0.49256764819999999</v>
      </c>
      <c r="AU237">
        <v>0.50503517440000001</v>
      </c>
      <c r="AV237">
        <v>0.51703191479999999</v>
      </c>
      <c r="AW237">
        <v>0.52863514659999999</v>
      </c>
    </row>
    <row r="238" spans="2:49" x14ac:dyDescent="0.25">
      <c r="B238" t="s">
        <v>309</v>
      </c>
      <c r="C238">
        <v>5.0750954082325404</v>
      </c>
      <c r="D238">
        <v>5.1565777065978304</v>
      </c>
      <c r="E238">
        <v>5.263975168</v>
      </c>
      <c r="F238">
        <v>5.0793568970000003</v>
      </c>
      <c r="G238">
        <v>4.8842311780000003</v>
      </c>
      <c r="H238">
        <v>4.325952139</v>
      </c>
      <c r="I238">
        <v>4.2160838160000003</v>
      </c>
      <c r="J238">
        <v>4.1323998289999997</v>
      </c>
      <c r="K238">
        <v>3.9795829610000002</v>
      </c>
      <c r="L238">
        <v>3.7891582449999999</v>
      </c>
      <c r="M238">
        <v>3.6161671590000002</v>
      </c>
      <c r="N238">
        <v>3.4168409909999999</v>
      </c>
      <c r="O238">
        <v>2.854917141</v>
      </c>
      <c r="P238">
        <v>2.4000585239999999</v>
      </c>
      <c r="Q238">
        <v>1.9590989029999999</v>
      </c>
      <c r="R238">
        <v>1.455575847</v>
      </c>
      <c r="S238">
        <v>0.95436361020000005</v>
      </c>
      <c r="T238">
        <v>0.90709861540000003</v>
      </c>
      <c r="U238">
        <v>0.86294362309999995</v>
      </c>
      <c r="V238">
        <v>0.81140992749999996</v>
      </c>
      <c r="W238">
        <v>0.33527489300000002</v>
      </c>
      <c r="X238">
        <v>6.2761401100000003E-2</v>
      </c>
      <c r="Y238">
        <v>4.8297968099999998E-2</v>
      </c>
      <c r="Z238">
        <v>3.4064895400000003E-2</v>
      </c>
      <c r="AA238">
        <v>2.0167727999999999E-2</v>
      </c>
      <c r="AB238">
        <v>1.9987733399999999E-2</v>
      </c>
      <c r="AC238">
        <v>1.9831085200000001E-2</v>
      </c>
      <c r="AD238">
        <v>1.6463934600000001E-2</v>
      </c>
      <c r="AE238">
        <v>1.31145771E-2</v>
      </c>
      <c r="AF238">
        <v>9.79453544E-3</v>
      </c>
      <c r="AG238">
        <v>9.0833970300000007E-3</v>
      </c>
      <c r="AH238">
        <v>8.3967756300000005E-3</v>
      </c>
      <c r="AI238">
        <v>8.3232588499999906E-3</v>
      </c>
      <c r="AJ238">
        <v>8.2451843500000004E-3</v>
      </c>
      <c r="AK238">
        <v>8.1661922200000001E-3</v>
      </c>
      <c r="AL238">
        <v>8.1022069200000005E-3</v>
      </c>
      <c r="AM238">
        <v>8.0259192299999907E-3</v>
      </c>
      <c r="AN238">
        <v>7.9577369599999996E-3</v>
      </c>
      <c r="AO238">
        <v>7.8989125299999997E-3</v>
      </c>
      <c r="AP238">
        <v>7.8343157400000002E-3</v>
      </c>
      <c r="AQ238">
        <v>7.7700169999999997E-3</v>
      </c>
      <c r="AR238">
        <v>7.7021243399999998E-3</v>
      </c>
      <c r="AS238">
        <v>7.6443426400000002E-3</v>
      </c>
      <c r="AT238">
        <v>7.5880318199999996E-3</v>
      </c>
      <c r="AU238">
        <v>7.5322810999999996E-3</v>
      </c>
      <c r="AV238">
        <v>7.4751408200000001E-3</v>
      </c>
      <c r="AW238">
        <v>7.4177752600000004E-3</v>
      </c>
    </row>
    <row r="239" spans="2:49" x14ac:dyDescent="0.25">
      <c r="B239" t="s">
        <v>310</v>
      </c>
      <c r="C239">
        <v>0.35516190417563898</v>
      </c>
      <c r="D239">
        <v>0.36086414342755202</v>
      </c>
      <c r="E239">
        <v>0.36837996020000002</v>
      </c>
      <c r="F239">
        <v>0.7843011755</v>
      </c>
      <c r="G239">
        <v>1.1849506590000001</v>
      </c>
      <c r="H239">
        <v>1.443703406</v>
      </c>
      <c r="I239">
        <v>1.7979746299999999</v>
      </c>
      <c r="J239">
        <v>2.1314144260000001</v>
      </c>
      <c r="K239">
        <v>2.3860232460000002</v>
      </c>
      <c r="L239">
        <v>2.5517421040000001</v>
      </c>
      <c r="M239">
        <v>2.645188063</v>
      </c>
      <c r="N239">
        <v>2.616382422</v>
      </c>
      <c r="O239">
        <v>2.7923553210000001</v>
      </c>
      <c r="P239">
        <v>3.0670382190000001</v>
      </c>
      <c r="Q239">
        <v>3.3935444440000002</v>
      </c>
      <c r="R239">
        <v>3.6388344190000002</v>
      </c>
      <c r="S239">
        <v>3.8860842459999998</v>
      </c>
      <c r="T239">
        <v>4.0511886209999997</v>
      </c>
      <c r="U239">
        <v>4.2301318339999998</v>
      </c>
      <c r="V239">
        <v>4.3708876659999998</v>
      </c>
      <c r="W239">
        <v>4.7886324089999999</v>
      </c>
      <c r="X239">
        <v>5.1334498420000001</v>
      </c>
      <c r="Y239">
        <v>5.4385312859999999</v>
      </c>
      <c r="Z239">
        <v>5.7255661269999996</v>
      </c>
      <c r="AA239">
        <v>6.0007902629999998</v>
      </c>
      <c r="AB239">
        <v>6.2826986939999996</v>
      </c>
      <c r="AC239">
        <v>6.5668058169999997</v>
      </c>
      <c r="AD239">
        <v>7.3754517809999998</v>
      </c>
      <c r="AE239">
        <v>8.1768625539999995</v>
      </c>
      <c r="AF239">
        <v>8.9568103560000001</v>
      </c>
      <c r="AG239">
        <v>9.0361642599999996</v>
      </c>
      <c r="AH239">
        <v>9.029347392</v>
      </c>
      <c r="AI239">
        <v>9.6360048119999995</v>
      </c>
      <c r="AJ239">
        <v>10.226997920000001</v>
      </c>
      <c r="AK239">
        <v>10.805953819999999</v>
      </c>
      <c r="AL239">
        <v>11.36345496</v>
      </c>
      <c r="AM239">
        <v>11.894379349999999</v>
      </c>
      <c r="AN239">
        <v>12.53454043</v>
      </c>
      <c r="AO239">
        <v>13.179915680000001</v>
      </c>
      <c r="AP239">
        <v>13.806412699999999</v>
      </c>
      <c r="AQ239">
        <v>14.423620530000001</v>
      </c>
      <c r="AR239">
        <v>15.02397517</v>
      </c>
      <c r="AS239">
        <v>15.62685231</v>
      </c>
      <c r="AT239">
        <v>16.224371590000001</v>
      </c>
      <c r="AU239">
        <v>16.814862659999999</v>
      </c>
      <c r="AV239">
        <v>17.393896160000001</v>
      </c>
      <c r="AW239">
        <v>17.96384531</v>
      </c>
    </row>
    <row r="240" spans="2:49" x14ac:dyDescent="0.25">
      <c r="B240" t="s">
        <v>311</v>
      </c>
      <c r="C240">
        <v>7.99114284395189E-2</v>
      </c>
      <c r="D240">
        <v>8.1194432271199296E-2</v>
      </c>
      <c r="E240">
        <v>8.2885491000000006E-2</v>
      </c>
      <c r="F240">
        <v>0.1130875628</v>
      </c>
      <c r="G240">
        <v>0.15372836200000001</v>
      </c>
      <c r="H240">
        <v>0.1924436125</v>
      </c>
      <c r="I240">
        <v>0.26503883020000002</v>
      </c>
      <c r="J240">
        <v>0.36490264039999998</v>
      </c>
      <c r="K240">
        <v>0.49254991419999999</v>
      </c>
      <c r="L240">
        <v>0.65614033719999998</v>
      </c>
      <c r="M240">
        <v>0.87472241679999996</v>
      </c>
      <c r="N240">
        <v>1.1530531509999999</v>
      </c>
      <c r="O240">
        <v>1.2306053100000001</v>
      </c>
      <c r="P240">
        <v>1.3516594719999999</v>
      </c>
      <c r="Q240">
        <v>1.4955524389999999</v>
      </c>
      <c r="R240">
        <v>1.603652989</v>
      </c>
      <c r="S240">
        <v>1.7126172559999999</v>
      </c>
      <c r="T240">
        <v>1.760841514</v>
      </c>
      <c r="U240">
        <v>1.815168111</v>
      </c>
      <c r="V240">
        <v>1.853305894</v>
      </c>
      <c r="W240">
        <v>2.1924279640000002</v>
      </c>
      <c r="X240">
        <v>2.4996835279999998</v>
      </c>
      <c r="Y240">
        <v>2.9311875399999998</v>
      </c>
      <c r="Z240">
        <v>3.347206393</v>
      </c>
      <c r="AA240">
        <v>3.7503082399999998</v>
      </c>
      <c r="AB240">
        <v>4.1471739310000002</v>
      </c>
      <c r="AC240">
        <v>4.5422950670000004</v>
      </c>
      <c r="AD240">
        <v>5.0030876549999999</v>
      </c>
      <c r="AE240">
        <v>5.4593137330000001</v>
      </c>
      <c r="AF240">
        <v>5.9017162939999999</v>
      </c>
      <c r="AG240">
        <v>5.8872146460000003</v>
      </c>
      <c r="AH240">
        <v>5.8258716230000003</v>
      </c>
      <c r="AI240">
        <v>6.0738053340000002</v>
      </c>
      <c r="AJ240">
        <v>6.3138752230000001</v>
      </c>
      <c r="AK240">
        <v>6.5484819099999996</v>
      </c>
      <c r="AL240">
        <v>6.7788310320000003</v>
      </c>
      <c r="AM240">
        <v>6.9947908380000001</v>
      </c>
      <c r="AN240">
        <v>7.279232403</v>
      </c>
      <c r="AO240">
        <v>7.5678071869999997</v>
      </c>
      <c r="AP240">
        <v>7.8465544999999999</v>
      </c>
      <c r="AQ240">
        <v>8.1210400190000005</v>
      </c>
      <c r="AR240">
        <v>8.3870387409999996</v>
      </c>
      <c r="AS240">
        <v>8.5829733580000003</v>
      </c>
      <c r="AT240">
        <v>8.7775170130000006</v>
      </c>
      <c r="AU240">
        <v>8.9697167249999996</v>
      </c>
      <c r="AV240">
        <v>9.1572233000000001</v>
      </c>
      <c r="AW240">
        <v>9.3413418690000007</v>
      </c>
    </row>
    <row r="241" spans="2:49" x14ac:dyDescent="0.25">
      <c r="B241" t="s">
        <v>312</v>
      </c>
      <c r="C241">
        <v>4.4799793836545803</v>
      </c>
      <c r="D241">
        <v>4.5519069017495504</v>
      </c>
      <c r="E241">
        <v>4.6467107179999996</v>
      </c>
      <c r="F241">
        <v>4.6141730140000004</v>
      </c>
      <c r="G241">
        <v>4.565503412</v>
      </c>
      <c r="H241">
        <v>4.1604319900000002</v>
      </c>
      <c r="I241">
        <v>4.171480098</v>
      </c>
      <c r="J241">
        <v>4.0976543520000002</v>
      </c>
      <c r="K241">
        <v>3.9538134459999998</v>
      </c>
      <c r="L241">
        <v>3.7714968940000002</v>
      </c>
      <c r="M241">
        <v>3.6058033319999998</v>
      </c>
      <c r="N241">
        <v>3.413394099</v>
      </c>
      <c r="O241">
        <v>3.6478374759999999</v>
      </c>
      <c r="P241">
        <v>4.0120033140000002</v>
      </c>
      <c r="Q241">
        <v>4.4449885939999998</v>
      </c>
      <c r="R241">
        <v>4.7725682860000003</v>
      </c>
      <c r="S241">
        <v>5.1035522240000004</v>
      </c>
      <c r="T241">
        <v>5.2986750220000003</v>
      </c>
      <c r="U241">
        <v>5.512237431</v>
      </c>
      <c r="V241">
        <v>5.6764702900000001</v>
      </c>
      <c r="W241">
        <v>5.8610037500000001</v>
      </c>
      <c r="X241">
        <v>5.9536470259999996</v>
      </c>
      <c r="Y241">
        <v>5.925954333</v>
      </c>
      <c r="Z241">
        <v>5.8863918660000003</v>
      </c>
      <c r="AA241">
        <v>5.8428222170000002</v>
      </c>
      <c r="AB241">
        <v>5.8193659330000003</v>
      </c>
      <c r="AC241">
        <v>5.802252395</v>
      </c>
      <c r="AD241">
        <v>5.8580496330000003</v>
      </c>
      <c r="AE241">
        <v>5.9104084180000003</v>
      </c>
      <c r="AF241">
        <v>5.9491700950000004</v>
      </c>
      <c r="AG241">
        <v>5.5551868669999998</v>
      </c>
      <c r="AH241">
        <v>5.1704372059999999</v>
      </c>
      <c r="AI241">
        <v>5.095562868</v>
      </c>
      <c r="AJ241">
        <v>5.0183113879999999</v>
      </c>
      <c r="AK241">
        <v>4.9409376030000001</v>
      </c>
      <c r="AL241">
        <v>4.8795858580000004</v>
      </c>
      <c r="AM241">
        <v>4.811123995</v>
      </c>
      <c r="AN241">
        <v>4.7994345799999998</v>
      </c>
      <c r="AO241">
        <v>4.7929582279999998</v>
      </c>
      <c r="AP241">
        <v>4.7825607989999996</v>
      </c>
      <c r="AQ241">
        <v>4.7719058890000001</v>
      </c>
      <c r="AR241">
        <v>4.7585913560000002</v>
      </c>
      <c r="AS241">
        <v>4.7167580239999998</v>
      </c>
      <c r="AT241">
        <v>4.6759002660000002</v>
      </c>
      <c r="AU241">
        <v>4.6354545409999997</v>
      </c>
      <c r="AV241">
        <v>4.5942217569999997</v>
      </c>
      <c r="AW241">
        <v>4.5529204439999997</v>
      </c>
    </row>
    <row r="242" spans="2:49" x14ac:dyDescent="0.25">
      <c r="B242" t="s">
        <v>313</v>
      </c>
      <c r="C242">
        <v>1.4169855567767899</v>
      </c>
      <c r="D242">
        <v>1.4397357182278101</v>
      </c>
      <c r="E242">
        <v>1.46972149</v>
      </c>
      <c r="F242">
        <v>1.735595671</v>
      </c>
      <c r="G242">
        <v>2.0422772490000001</v>
      </c>
      <c r="H242">
        <v>2.2132916599999999</v>
      </c>
      <c r="I242">
        <v>2.639150855</v>
      </c>
      <c r="J242">
        <v>2.9503859929999998</v>
      </c>
      <c r="K242">
        <v>3.2344308970000002</v>
      </c>
      <c r="L242">
        <v>3.4999304549999999</v>
      </c>
      <c r="M242">
        <v>3.790437201</v>
      </c>
      <c r="N242">
        <v>4.059190203</v>
      </c>
      <c r="O242">
        <v>3.7099475960000001</v>
      </c>
      <c r="P242">
        <v>3.4956973470000001</v>
      </c>
      <c r="Q242">
        <v>3.3185126989999998</v>
      </c>
      <c r="R242">
        <v>3.0485188459999999</v>
      </c>
      <c r="S242">
        <v>2.780342053</v>
      </c>
      <c r="T242">
        <v>2.911056833</v>
      </c>
      <c r="U242">
        <v>3.0525725480000001</v>
      </c>
      <c r="V242">
        <v>3.1673146550000002</v>
      </c>
      <c r="W242">
        <v>3.5115914689999999</v>
      </c>
      <c r="X242">
        <v>3.696268425</v>
      </c>
      <c r="Y242">
        <v>3.514272235</v>
      </c>
      <c r="Z242">
        <v>3.3318015519999999</v>
      </c>
      <c r="AA242">
        <v>3.153891416</v>
      </c>
      <c r="AB242">
        <v>3.002560516</v>
      </c>
      <c r="AC242">
        <v>2.8591883010000001</v>
      </c>
      <c r="AD242">
        <v>2.8164259170000001</v>
      </c>
      <c r="AE242">
        <v>2.758523184</v>
      </c>
      <c r="AF242">
        <v>2.8610184269999999</v>
      </c>
      <c r="AG242">
        <v>2.6686741980000002</v>
      </c>
      <c r="AH242">
        <v>2.47550516</v>
      </c>
      <c r="AI242">
        <v>2.4970899989999999</v>
      </c>
      <c r="AJ242">
        <v>2.5075687609999999</v>
      </c>
      <c r="AK242">
        <v>2.5082575450000002</v>
      </c>
      <c r="AL242">
        <v>2.525556554</v>
      </c>
      <c r="AM242">
        <v>2.5320693649999999</v>
      </c>
      <c r="AN242">
        <v>2.5135965480000002</v>
      </c>
      <c r="AO242">
        <v>2.4976564830000001</v>
      </c>
      <c r="AP242">
        <v>2.479478372</v>
      </c>
      <c r="AQ242">
        <v>2.460989117</v>
      </c>
      <c r="AR242">
        <v>2.4409646280000001</v>
      </c>
      <c r="AS242">
        <v>2.4213870790000001</v>
      </c>
      <c r="AT242">
        <v>2.4018869930000002</v>
      </c>
      <c r="AU242">
        <v>2.3821844219999999</v>
      </c>
      <c r="AV242">
        <v>2.3616719210000001</v>
      </c>
      <c r="AW242">
        <v>2.340727448</v>
      </c>
    </row>
    <row r="243" spans="2:49" x14ac:dyDescent="0.25">
      <c r="B243" t="s">
        <v>314</v>
      </c>
      <c r="C243">
        <v>114.221490567207</v>
      </c>
      <c r="D243">
        <v>116.055353544252</v>
      </c>
      <c r="E243">
        <v>118.4724703</v>
      </c>
      <c r="F243">
        <v>124.33089870000001</v>
      </c>
      <c r="G243">
        <v>130.0243213</v>
      </c>
      <c r="H243">
        <v>125.2446698</v>
      </c>
      <c r="I243">
        <v>132.74766099999999</v>
      </c>
      <c r="J243">
        <v>135.46260760000001</v>
      </c>
      <c r="K243">
        <v>135.60595739999999</v>
      </c>
      <c r="L243">
        <v>134.03128570000001</v>
      </c>
      <c r="M243">
        <v>132.61586260000001</v>
      </c>
      <c r="N243">
        <v>129.76890750000001</v>
      </c>
      <c r="O243">
        <v>122.6374646</v>
      </c>
      <c r="P243">
        <v>119.86733649999999</v>
      </c>
      <c r="Q243">
        <v>118.4848916</v>
      </c>
      <c r="R243">
        <v>113.8474648</v>
      </c>
      <c r="S243">
        <v>109.2008305</v>
      </c>
      <c r="T243">
        <v>107.1350743</v>
      </c>
      <c r="U243">
        <v>105.45770280000001</v>
      </c>
      <c r="V243">
        <v>102.8808789</v>
      </c>
      <c r="W243">
        <v>111.59752109999999</v>
      </c>
      <c r="X243">
        <v>118.7541322</v>
      </c>
      <c r="Y243">
        <v>117.0483292</v>
      </c>
      <c r="Z243">
        <v>115.1337961</v>
      </c>
      <c r="AA243">
        <v>113.1692439</v>
      </c>
      <c r="AB243">
        <v>111.70641190000001</v>
      </c>
      <c r="AC243">
        <v>110.3823939</v>
      </c>
      <c r="AD243">
        <v>109.7473025</v>
      </c>
      <c r="AE243">
        <v>108.98040659999999</v>
      </c>
      <c r="AF243">
        <v>106.331898</v>
      </c>
      <c r="AG243">
        <v>97.868739169999998</v>
      </c>
      <c r="AH243">
        <v>89.749189389999998</v>
      </c>
      <c r="AI243">
        <v>89.241200230000004</v>
      </c>
      <c r="AJ243">
        <v>88.673864589999994</v>
      </c>
      <c r="AK243">
        <v>88.086153260000003</v>
      </c>
      <c r="AL243">
        <v>87.675262230000001</v>
      </c>
      <c r="AM243">
        <v>87.121995479999995</v>
      </c>
      <c r="AN243">
        <v>83.320389160000005</v>
      </c>
      <c r="AO243">
        <v>79.696026090000004</v>
      </c>
      <c r="AP243">
        <v>76.090582979999894</v>
      </c>
      <c r="AQ243">
        <v>72.566536360000001</v>
      </c>
      <c r="AR243">
        <v>69.087899120000003</v>
      </c>
      <c r="AS243">
        <v>65.497023179999999</v>
      </c>
      <c r="AT243">
        <v>62.007741029999998</v>
      </c>
      <c r="AU243">
        <v>58.610256819999996</v>
      </c>
      <c r="AV243">
        <v>55.288543369999999</v>
      </c>
      <c r="AW243">
        <v>52.05140059</v>
      </c>
    </row>
    <row r="244" spans="2:49" x14ac:dyDescent="0.25">
      <c r="B244" t="s">
        <v>315</v>
      </c>
      <c r="C244">
        <v>1.2736350545564401</v>
      </c>
      <c r="D244">
        <v>1.2940836773262701</v>
      </c>
      <c r="E244">
        <v>1.3210359140000001</v>
      </c>
      <c r="F244">
        <v>1.311565941</v>
      </c>
      <c r="G244">
        <v>1.297651941</v>
      </c>
      <c r="H244">
        <v>1.182563112</v>
      </c>
      <c r="I244">
        <v>1.1858573830000001</v>
      </c>
      <c r="J244">
        <v>1.1197384319999999</v>
      </c>
      <c r="K244">
        <v>1.03739951</v>
      </c>
      <c r="L244">
        <v>0.94916535840000005</v>
      </c>
      <c r="M244">
        <v>0.86958952249999999</v>
      </c>
      <c r="N244">
        <v>0.78813533049999995</v>
      </c>
      <c r="O244">
        <v>0.68334519739999999</v>
      </c>
      <c r="P244">
        <v>0.60364005899999995</v>
      </c>
      <c r="Q244">
        <v>0.52850563390000005</v>
      </c>
      <c r="R244">
        <v>0.4372770111</v>
      </c>
      <c r="S244">
        <v>0.34627987339999999</v>
      </c>
      <c r="T244">
        <v>0.45074561619999998</v>
      </c>
      <c r="U244">
        <v>0.55608676749999997</v>
      </c>
      <c r="V244">
        <v>0.65534672810000005</v>
      </c>
      <c r="W244">
        <v>0.39209358519999998</v>
      </c>
      <c r="X244">
        <v>0.1872919495</v>
      </c>
      <c r="Y244">
        <v>0.17390114039999999</v>
      </c>
      <c r="Z244">
        <v>0.14204850050000001</v>
      </c>
      <c r="AA244">
        <v>9.2733953399999999E-2</v>
      </c>
      <c r="AB244">
        <v>8.29586769E-2</v>
      </c>
      <c r="AC244">
        <v>7.3322094700000007E-2</v>
      </c>
      <c r="AD244">
        <v>7.3434736E-2</v>
      </c>
      <c r="AE244">
        <v>7.3473876100000002E-2</v>
      </c>
      <c r="AF244">
        <v>7.2250980199999995E-2</v>
      </c>
      <c r="AG244">
        <v>6.7005703799999997E-2</v>
      </c>
      <c r="AH244">
        <v>6.1926859100000002E-2</v>
      </c>
      <c r="AI244">
        <v>5.0189125399999999E-2</v>
      </c>
      <c r="AJ244">
        <v>3.84714034E-2</v>
      </c>
      <c r="AK244">
        <v>2.68087373E-2</v>
      </c>
      <c r="AL244">
        <v>2.0361634300000001E-2</v>
      </c>
      <c r="AM244">
        <v>1.2830867500000001E-2</v>
      </c>
      <c r="AN244">
        <v>1.16867866E-2</v>
      </c>
      <c r="AO244">
        <v>1.0613791399999999E-2</v>
      </c>
      <c r="AP244">
        <v>9.5889446700000002E-3</v>
      </c>
      <c r="AQ244" s="39">
        <v>8.62005276E-3</v>
      </c>
      <c r="AR244" s="39">
        <v>7.7021243399999998E-3</v>
      </c>
      <c r="AS244" s="39">
        <v>7.6443426400000002E-3</v>
      </c>
      <c r="AT244" s="39">
        <v>7.5880318199999996E-3</v>
      </c>
      <c r="AU244" s="39">
        <v>7.5322810999999996E-3</v>
      </c>
      <c r="AV244" s="39">
        <v>7.4751408200000001E-3</v>
      </c>
      <c r="AW244" s="39">
        <v>7.4177752600000004E-3</v>
      </c>
    </row>
    <row r="245" spans="2:49" x14ac:dyDescent="0.25">
      <c r="B245" t="s">
        <v>316</v>
      </c>
      <c r="C245">
        <v>3.4574974609126801</v>
      </c>
      <c r="D245">
        <v>3.51300870100687</v>
      </c>
      <c r="E245">
        <v>3.5861750990000001</v>
      </c>
      <c r="F245">
        <v>3.7433602000000001</v>
      </c>
      <c r="G245">
        <v>3.8940368730000001</v>
      </c>
      <c r="H245">
        <v>3.7312418379999999</v>
      </c>
      <c r="I245">
        <v>3.9342935720000001</v>
      </c>
      <c r="J245">
        <v>4.091246892</v>
      </c>
      <c r="K245">
        <v>4.1799933999999999</v>
      </c>
      <c r="L245">
        <v>4.2223648880000004</v>
      </c>
      <c r="M245">
        <v>4.274903342</v>
      </c>
      <c r="N245">
        <v>4.2850458189999996</v>
      </c>
      <c r="O245">
        <v>4.524186533</v>
      </c>
      <c r="P245">
        <v>4.9210160099999998</v>
      </c>
      <c r="Q245">
        <v>5.3965378199999998</v>
      </c>
      <c r="R245">
        <v>5.7390882369999998</v>
      </c>
      <c r="S245">
        <v>6.0820907369999997</v>
      </c>
      <c r="T245">
        <v>5.7800069499999998</v>
      </c>
      <c r="U245">
        <v>5.49820916</v>
      </c>
      <c r="V245">
        <v>5.1698632130000002</v>
      </c>
      <c r="W245">
        <v>5.8926728989999999</v>
      </c>
      <c r="X245">
        <v>6.5320925450000002</v>
      </c>
      <c r="Y245">
        <v>6.2792380950000002</v>
      </c>
      <c r="Z245">
        <v>6.0196726470000002</v>
      </c>
      <c r="AA245">
        <v>5.762349317</v>
      </c>
      <c r="AB245">
        <v>5.5396817399999998</v>
      </c>
      <c r="AC245">
        <v>5.327082334</v>
      </c>
      <c r="AD245">
        <v>5.058578281</v>
      </c>
      <c r="AE245">
        <v>4.7852658720000001</v>
      </c>
      <c r="AF245">
        <v>4.4784128340000002</v>
      </c>
      <c r="AG245">
        <v>3.9291022710000001</v>
      </c>
      <c r="AH245">
        <v>3.423130757</v>
      </c>
      <c r="AI245">
        <v>2.7817714929999999</v>
      </c>
      <c r="AJ245">
        <v>2.1490841789999999</v>
      </c>
      <c r="AK245">
        <v>1.5267819979999999</v>
      </c>
      <c r="AL245">
        <v>0.9467903688</v>
      </c>
      <c r="AM245">
        <v>0.37475327470000003</v>
      </c>
      <c r="AN245">
        <v>0.3946509252</v>
      </c>
      <c r="AO245">
        <v>0.41416428309999997</v>
      </c>
      <c r="AP245">
        <v>0.43254842360000001</v>
      </c>
      <c r="AQ245">
        <v>0.45011866039999998</v>
      </c>
      <c r="AR245">
        <v>0.46665333990000002</v>
      </c>
      <c r="AS245">
        <v>0.47975754399999998</v>
      </c>
      <c r="AT245">
        <v>0.49256764819999999</v>
      </c>
      <c r="AU245">
        <v>0.50503517440000001</v>
      </c>
      <c r="AV245">
        <v>0.51703191479999999</v>
      </c>
      <c r="AW245">
        <v>0.52863514659999999</v>
      </c>
    </row>
    <row r="246" spans="2:49" x14ac:dyDescent="0.25">
      <c r="B246" t="s">
        <v>317</v>
      </c>
      <c r="C246">
        <v>5.0750954082325404</v>
      </c>
      <c r="D246">
        <v>5.1565777065978304</v>
      </c>
      <c r="E246">
        <v>5.263975168</v>
      </c>
      <c r="F246">
        <v>5.0793568970000003</v>
      </c>
      <c r="G246">
        <v>4.8842311780000003</v>
      </c>
      <c r="H246">
        <v>4.325952139</v>
      </c>
      <c r="I246">
        <v>4.2160838160000003</v>
      </c>
      <c r="J246">
        <v>4.1323998289999997</v>
      </c>
      <c r="K246">
        <v>3.9795829610000002</v>
      </c>
      <c r="L246">
        <v>3.7891582449999999</v>
      </c>
      <c r="M246">
        <v>3.6161671590000002</v>
      </c>
      <c r="N246">
        <v>3.4168409909999999</v>
      </c>
      <c r="O246">
        <v>2.854917141</v>
      </c>
      <c r="P246">
        <v>2.4000585239999999</v>
      </c>
      <c r="Q246">
        <v>1.9590989029999999</v>
      </c>
      <c r="R246">
        <v>1.455575847</v>
      </c>
      <c r="S246">
        <v>0.95436361020000005</v>
      </c>
      <c r="T246">
        <v>0.90709861540000003</v>
      </c>
      <c r="U246">
        <v>0.86294362309999995</v>
      </c>
      <c r="V246">
        <v>0.81140992749999996</v>
      </c>
      <c r="W246">
        <v>0.33527489300000002</v>
      </c>
      <c r="X246">
        <v>6.2761401100000003E-2</v>
      </c>
      <c r="Y246">
        <v>4.8297968099999998E-2</v>
      </c>
      <c r="Z246">
        <v>3.4064895400000003E-2</v>
      </c>
      <c r="AA246">
        <v>2.0167727999999999E-2</v>
      </c>
      <c r="AB246">
        <v>1.9987733399999999E-2</v>
      </c>
      <c r="AC246">
        <v>1.9831085200000001E-2</v>
      </c>
      <c r="AD246">
        <v>1.6463934600000001E-2</v>
      </c>
      <c r="AE246">
        <v>1.31145771E-2</v>
      </c>
      <c r="AF246">
        <v>9.79453544E-3</v>
      </c>
      <c r="AG246">
        <v>9.0833970300000007E-3</v>
      </c>
      <c r="AH246">
        <v>8.3967756300000005E-3</v>
      </c>
      <c r="AI246">
        <v>8.3232588499999906E-3</v>
      </c>
      <c r="AJ246">
        <v>8.2451843500000004E-3</v>
      </c>
      <c r="AK246">
        <v>8.1661922200000001E-3</v>
      </c>
      <c r="AL246">
        <v>8.1022069200000005E-3</v>
      </c>
      <c r="AM246">
        <v>8.0259192299999907E-3</v>
      </c>
      <c r="AN246">
        <v>7.9577369599999996E-3</v>
      </c>
      <c r="AO246">
        <v>7.8989125299999997E-3</v>
      </c>
      <c r="AP246">
        <v>7.8343157400000002E-3</v>
      </c>
      <c r="AQ246">
        <v>7.7700169999999997E-3</v>
      </c>
      <c r="AR246">
        <v>7.7021243399999998E-3</v>
      </c>
      <c r="AS246">
        <v>7.6443426400000002E-3</v>
      </c>
      <c r="AT246">
        <v>7.5880318199999996E-3</v>
      </c>
      <c r="AU246">
        <v>7.5322810999999996E-3</v>
      </c>
      <c r="AV246">
        <v>7.4751408200000001E-3</v>
      </c>
      <c r="AW246">
        <v>7.4177752600000004E-3</v>
      </c>
    </row>
    <row r="247" spans="2:49" x14ac:dyDescent="0.25">
      <c r="B247" t="s">
        <v>318</v>
      </c>
      <c r="C247">
        <v>0.35516190417563898</v>
      </c>
      <c r="D247">
        <v>0.36086414342755202</v>
      </c>
      <c r="E247">
        <v>0.36837996020000002</v>
      </c>
      <c r="F247">
        <v>0.7843011755</v>
      </c>
      <c r="G247">
        <v>1.1849506590000001</v>
      </c>
      <c r="H247">
        <v>1.443703406</v>
      </c>
      <c r="I247">
        <v>1.7979746299999999</v>
      </c>
      <c r="J247">
        <v>2.1314144260000001</v>
      </c>
      <c r="K247">
        <v>2.3860232460000002</v>
      </c>
      <c r="L247">
        <v>2.5517421040000001</v>
      </c>
      <c r="M247">
        <v>2.645188063</v>
      </c>
      <c r="N247">
        <v>2.616382422</v>
      </c>
      <c r="O247">
        <v>2.7923553210000001</v>
      </c>
      <c r="P247">
        <v>3.0670382190000001</v>
      </c>
      <c r="Q247">
        <v>3.3935444440000002</v>
      </c>
      <c r="R247">
        <v>3.6388344190000002</v>
      </c>
      <c r="S247">
        <v>3.8860842459999998</v>
      </c>
      <c r="T247">
        <v>4.0511886209999997</v>
      </c>
      <c r="U247">
        <v>4.2301318339999998</v>
      </c>
      <c r="V247">
        <v>4.3708876659999998</v>
      </c>
      <c r="W247">
        <v>4.7886324089999999</v>
      </c>
      <c r="X247">
        <v>5.1334498420000001</v>
      </c>
      <c r="Y247">
        <v>5.4385312859999999</v>
      </c>
      <c r="Z247">
        <v>5.7255661269999996</v>
      </c>
      <c r="AA247">
        <v>6.0007902629999998</v>
      </c>
      <c r="AB247">
        <v>6.2826986939999996</v>
      </c>
      <c r="AC247">
        <v>6.5668058169999997</v>
      </c>
      <c r="AD247">
        <v>7.3754517809999998</v>
      </c>
      <c r="AE247">
        <v>8.1768625539999995</v>
      </c>
      <c r="AF247">
        <v>8.9568103560000001</v>
      </c>
      <c r="AG247">
        <v>9.0361642599999996</v>
      </c>
      <c r="AH247">
        <v>9.029347392</v>
      </c>
      <c r="AI247">
        <v>9.6360048119999995</v>
      </c>
      <c r="AJ247">
        <v>10.226997920000001</v>
      </c>
      <c r="AK247">
        <v>10.805953819999999</v>
      </c>
      <c r="AL247">
        <v>11.36345496</v>
      </c>
      <c r="AM247">
        <v>11.894379349999999</v>
      </c>
      <c r="AN247">
        <v>12.53454043</v>
      </c>
      <c r="AO247">
        <v>13.179915680000001</v>
      </c>
      <c r="AP247">
        <v>13.806412699999999</v>
      </c>
      <c r="AQ247">
        <v>14.423620530000001</v>
      </c>
      <c r="AR247">
        <v>15.02397517</v>
      </c>
      <c r="AS247">
        <v>15.62685231</v>
      </c>
      <c r="AT247">
        <v>16.224371590000001</v>
      </c>
      <c r="AU247">
        <v>16.814862659999999</v>
      </c>
      <c r="AV247">
        <v>17.393896160000001</v>
      </c>
      <c r="AW247">
        <v>17.96384531</v>
      </c>
    </row>
    <row r="248" spans="2:49" x14ac:dyDescent="0.25">
      <c r="B248" t="s">
        <v>319</v>
      </c>
      <c r="C248">
        <v>7.99114284395189E-2</v>
      </c>
      <c r="D248">
        <v>8.1194432271199296E-2</v>
      </c>
      <c r="E248">
        <v>8.2885491000000006E-2</v>
      </c>
      <c r="F248">
        <v>0.1130875628</v>
      </c>
      <c r="G248">
        <v>0.15372836200000001</v>
      </c>
      <c r="H248">
        <v>0.1924436125</v>
      </c>
      <c r="I248">
        <v>0.26503883020000002</v>
      </c>
      <c r="J248">
        <v>0.36490264039999998</v>
      </c>
      <c r="K248">
        <v>0.49254991419999999</v>
      </c>
      <c r="L248">
        <v>0.65614033719999998</v>
      </c>
      <c r="M248">
        <v>0.87472241679999996</v>
      </c>
      <c r="N248">
        <v>1.1530531509999999</v>
      </c>
      <c r="O248">
        <v>1.2306053100000001</v>
      </c>
      <c r="P248">
        <v>1.3516594719999999</v>
      </c>
      <c r="Q248">
        <v>1.4955524389999999</v>
      </c>
      <c r="R248">
        <v>1.603652989</v>
      </c>
      <c r="S248">
        <v>1.7126172559999999</v>
      </c>
      <c r="T248">
        <v>1.760841514</v>
      </c>
      <c r="U248">
        <v>1.815168111</v>
      </c>
      <c r="V248">
        <v>1.853305894</v>
      </c>
      <c r="W248">
        <v>2.1924279640000002</v>
      </c>
      <c r="X248">
        <v>2.4996835279999998</v>
      </c>
      <c r="Y248">
        <v>2.9311875399999998</v>
      </c>
      <c r="Z248">
        <v>3.347206393</v>
      </c>
      <c r="AA248">
        <v>3.7503082399999998</v>
      </c>
      <c r="AB248">
        <v>4.1471739310000002</v>
      </c>
      <c r="AC248">
        <v>4.5422950670000004</v>
      </c>
      <c r="AD248">
        <v>5.0030876549999999</v>
      </c>
      <c r="AE248">
        <v>5.4593137330000001</v>
      </c>
      <c r="AF248">
        <v>5.9017162939999999</v>
      </c>
      <c r="AG248">
        <v>5.8872146460000003</v>
      </c>
      <c r="AH248">
        <v>5.8258716230000003</v>
      </c>
      <c r="AI248">
        <v>6.0738053340000002</v>
      </c>
      <c r="AJ248">
        <v>6.3138752230000001</v>
      </c>
      <c r="AK248">
        <v>6.5484819099999996</v>
      </c>
      <c r="AL248">
        <v>6.7788310320000003</v>
      </c>
      <c r="AM248">
        <v>6.9947908380000001</v>
      </c>
      <c r="AN248">
        <v>7.279232403</v>
      </c>
      <c r="AO248">
        <v>7.5678071869999997</v>
      </c>
      <c r="AP248">
        <v>7.8465544999999999</v>
      </c>
      <c r="AQ248">
        <v>8.1210400190000005</v>
      </c>
      <c r="AR248">
        <v>8.3870387409999996</v>
      </c>
      <c r="AS248">
        <v>8.5829733580000003</v>
      </c>
      <c r="AT248">
        <v>8.7775170130000006</v>
      </c>
      <c r="AU248">
        <v>8.9697167249999996</v>
      </c>
      <c r="AV248">
        <v>9.1572233000000001</v>
      </c>
      <c r="AW248">
        <v>9.3413418690000007</v>
      </c>
    </row>
    <row r="249" spans="2:49" x14ac:dyDescent="0.25">
      <c r="B249" t="s">
        <v>320</v>
      </c>
      <c r="C249">
        <v>4.4799793836545803</v>
      </c>
      <c r="D249">
        <v>4.5519069017495504</v>
      </c>
      <c r="E249">
        <v>4.6467107179999996</v>
      </c>
      <c r="F249">
        <v>4.6141730140000004</v>
      </c>
      <c r="G249">
        <v>4.565503412</v>
      </c>
      <c r="H249">
        <v>4.1604319900000002</v>
      </c>
      <c r="I249">
        <v>4.171480098</v>
      </c>
      <c r="J249">
        <v>4.0976543520000002</v>
      </c>
      <c r="K249">
        <v>3.9538134459999998</v>
      </c>
      <c r="L249">
        <v>3.7714968940000002</v>
      </c>
      <c r="M249">
        <v>3.6058033319999998</v>
      </c>
      <c r="N249">
        <v>3.413394099</v>
      </c>
      <c r="O249">
        <v>3.6478374759999999</v>
      </c>
      <c r="P249">
        <v>4.0120033140000002</v>
      </c>
      <c r="Q249">
        <v>4.4449885939999998</v>
      </c>
      <c r="R249">
        <v>4.7725682860000003</v>
      </c>
      <c r="S249">
        <v>5.1035522240000004</v>
      </c>
      <c r="T249">
        <v>5.2986750220000003</v>
      </c>
      <c r="U249">
        <v>5.512237431</v>
      </c>
      <c r="V249">
        <v>5.6764702900000001</v>
      </c>
      <c r="W249">
        <v>5.8610037500000001</v>
      </c>
      <c r="X249">
        <v>5.9536470259999996</v>
      </c>
      <c r="Y249">
        <v>5.925954333</v>
      </c>
      <c r="Z249">
        <v>5.8863918660000003</v>
      </c>
      <c r="AA249">
        <v>5.8428222170000002</v>
      </c>
      <c r="AB249">
        <v>5.8193659330000003</v>
      </c>
      <c r="AC249">
        <v>5.802252395</v>
      </c>
      <c r="AD249">
        <v>5.8580496330000003</v>
      </c>
      <c r="AE249">
        <v>5.9104084180000003</v>
      </c>
      <c r="AF249">
        <v>5.9491700950000004</v>
      </c>
      <c r="AG249">
        <v>5.5551868669999998</v>
      </c>
      <c r="AH249">
        <v>5.1704372059999999</v>
      </c>
      <c r="AI249">
        <v>5.095562868</v>
      </c>
      <c r="AJ249">
        <v>5.0183113879999999</v>
      </c>
      <c r="AK249">
        <v>4.9409376030000001</v>
      </c>
      <c r="AL249">
        <v>4.8795858580000004</v>
      </c>
      <c r="AM249">
        <v>4.811123995</v>
      </c>
      <c r="AN249">
        <v>4.7994345799999998</v>
      </c>
      <c r="AO249">
        <v>4.7929582279999998</v>
      </c>
      <c r="AP249">
        <v>4.7825607989999996</v>
      </c>
      <c r="AQ249">
        <v>4.7719058890000001</v>
      </c>
      <c r="AR249">
        <v>4.7585913560000002</v>
      </c>
      <c r="AS249">
        <v>4.7167580239999998</v>
      </c>
      <c r="AT249">
        <v>4.6759002660000002</v>
      </c>
      <c r="AU249">
        <v>4.6354545409999997</v>
      </c>
      <c r="AV249">
        <v>4.5942217569999997</v>
      </c>
      <c r="AW249">
        <v>4.5529204439999997</v>
      </c>
    </row>
    <row r="250" spans="2:49" x14ac:dyDescent="0.25">
      <c r="B250" t="s">
        <v>321</v>
      </c>
      <c r="C250">
        <v>1.4169855567767899</v>
      </c>
      <c r="D250">
        <v>1.4397357182278101</v>
      </c>
      <c r="E250">
        <v>1.46972149</v>
      </c>
      <c r="F250">
        <v>1.735595671</v>
      </c>
      <c r="G250">
        <v>2.0422772490000001</v>
      </c>
      <c r="H250">
        <v>2.2132916599999999</v>
      </c>
      <c r="I250">
        <v>2.639150855</v>
      </c>
      <c r="J250">
        <v>2.9503859929999998</v>
      </c>
      <c r="K250">
        <v>3.2344308970000002</v>
      </c>
      <c r="L250">
        <v>3.4999304549999999</v>
      </c>
      <c r="M250">
        <v>3.790437201</v>
      </c>
      <c r="N250">
        <v>4.059190203</v>
      </c>
      <c r="O250">
        <v>3.7099475960000001</v>
      </c>
      <c r="P250">
        <v>3.4956973470000001</v>
      </c>
      <c r="Q250">
        <v>3.3185126989999998</v>
      </c>
      <c r="R250">
        <v>3.0485188459999999</v>
      </c>
      <c r="S250">
        <v>2.780342053</v>
      </c>
      <c r="T250">
        <v>2.911056833</v>
      </c>
      <c r="U250">
        <v>3.0525725480000001</v>
      </c>
      <c r="V250">
        <v>3.1673146550000002</v>
      </c>
      <c r="W250">
        <v>3.5115914689999999</v>
      </c>
      <c r="X250">
        <v>3.696268425</v>
      </c>
      <c r="Y250">
        <v>3.514272235</v>
      </c>
      <c r="Z250">
        <v>3.3318015519999999</v>
      </c>
      <c r="AA250">
        <v>3.153891416</v>
      </c>
      <c r="AB250">
        <v>3.002560516</v>
      </c>
      <c r="AC250">
        <v>2.8591883010000001</v>
      </c>
      <c r="AD250">
        <v>2.8164259170000001</v>
      </c>
      <c r="AE250">
        <v>2.758523184</v>
      </c>
      <c r="AF250">
        <v>2.8610184269999999</v>
      </c>
      <c r="AG250">
        <v>2.6686741980000002</v>
      </c>
      <c r="AH250">
        <v>2.47550516</v>
      </c>
      <c r="AI250">
        <v>2.4970899989999999</v>
      </c>
      <c r="AJ250">
        <v>2.5075687609999999</v>
      </c>
      <c r="AK250">
        <v>2.5082575450000002</v>
      </c>
      <c r="AL250">
        <v>2.525556554</v>
      </c>
      <c r="AM250">
        <v>2.5320693649999999</v>
      </c>
      <c r="AN250">
        <v>2.5135965480000002</v>
      </c>
      <c r="AO250">
        <v>2.4976564830000001</v>
      </c>
      <c r="AP250">
        <v>2.479478372</v>
      </c>
      <c r="AQ250">
        <v>2.460989117</v>
      </c>
      <c r="AR250">
        <v>2.4409646280000001</v>
      </c>
      <c r="AS250">
        <v>2.4213870790000001</v>
      </c>
      <c r="AT250">
        <v>2.4018869930000002</v>
      </c>
      <c r="AU250">
        <v>2.3821844219999999</v>
      </c>
      <c r="AV250">
        <v>2.3616719210000001</v>
      </c>
      <c r="AW250">
        <v>2.340727448</v>
      </c>
    </row>
    <row r="251" spans="2:49" x14ac:dyDescent="0.25">
      <c r="B251" t="s">
        <v>322</v>
      </c>
      <c r="C251">
        <v>34.067295461021303</v>
      </c>
      <c r="D251">
        <v>34.614256909026899</v>
      </c>
      <c r="E251">
        <v>35.359287029999997</v>
      </c>
      <c r="F251">
        <v>35.181928880000001</v>
      </c>
      <c r="G251">
        <v>33.734870999999998</v>
      </c>
      <c r="H251">
        <v>31.76728846</v>
      </c>
      <c r="I251">
        <v>31.877008239999999</v>
      </c>
      <c r="J251">
        <v>31.24515079</v>
      </c>
      <c r="K251">
        <v>29.521692590000001</v>
      </c>
      <c r="L251">
        <v>28.402743739999998</v>
      </c>
      <c r="M251">
        <v>27.933756840000001</v>
      </c>
      <c r="N251">
        <v>27.834732120000002</v>
      </c>
      <c r="O251">
        <v>27.965258980000002</v>
      </c>
      <c r="P251">
        <v>27.639972950000001</v>
      </c>
      <c r="Q251">
        <v>26.166316909999999</v>
      </c>
      <c r="R251">
        <v>25.069344139999998</v>
      </c>
      <c r="S251">
        <v>24.549517210000001</v>
      </c>
      <c r="T251">
        <v>23.317250399999999</v>
      </c>
      <c r="U251">
        <v>22.136537300000001</v>
      </c>
      <c r="V251">
        <v>20.922506309999999</v>
      </c>
      <c r="W251">
        <v>20.252391970000001</v>
      </c>
      <c r="X251">
        <v>19.421250740000001</v>
      </c>
      <c r="Y251">
        <v>18.24238999</v>
      </c>
      <c r="Z251">
        <v>17.16272661</v>
      </c>
      <c r="AA251">
        <v>16.10445503</v>
      </c>
      <c r="AB251">
        <v>14.9319653</v>
      </c>
      <c r="AC251">
        <v>13.802178809999999</v>
      </c>
      <c r="AD251">
        <v>12.207643859999999</v>
      </c>
      <c r="AE251">
        <v>10.695871090000001</v>
      </c>
      <c r="AF251">
        <v>9.2448913380000004</v>
      </c>
      <c r="AG251">
        <v>8.4168277430000007</v>
      </c>
      <c r="AH251">
        <v>7.6332023060000003</v>
      </c>
      <c r="AI251">
        <v>6.8738562390000002</v>
      </c>
      <c r="AJ251">
        <v>6.1598731200000003</v>
      </c>
      <c r="AK251">
        <v>5.4775239469999999</v>
      </c>
      <c r="AL251">
        <v>6.3160902940000003</v>
      </c>
      <c r="AM251">
        <v>7.1122618089999996</v>
      </c>
      <c r="AN251">
        <v>6.0849923940000004</v>
      </c>
      <c r="AO251">
        <v>5.0842634279999999</v>
      </c>
      <c r="AP251">
        <v>4.1112169170000001</v>
      </c>
      <c r="AQ251">
        <v>3.1691600389999999</v>
      </c>
      <c r="AR251">
        <v>2.2531368980000002</v>
      </c>
      <c r="AS251">
        <v>2.5896304610000001</v>
      </c>
      <c r="AT251">
        <v>2.9098200909999998</v>
      </c>
      <c r="AU251">
        <v>3.2094875049999998</v>
      </c>
      <c r="AV251">
        <v>3.495771907</v>
      </c>
      <c r="AW251">
        <v>3.7726665540000002</v>
      </c>
    </row>
    <row r="252" spans="2:49" x14ac:dyDescent="0.25">
      <c r="B252" t="s">
        <v>323</v>
      </c>
      <c r="C252">
        <v>1.54983431156195</v>
      </c>
      <c r="D252">
        <v>1.57471740274219</v>
      </c>
      <c r="E252">
        <v>1.608611295</v>
      </c>
      <c r="F252">
        <v>2.629014518</v>
      </c>
      <c r="G252">
        <v>3.5019673889999998</v>
      </c>
      <c r="H252">
        <v>4.2061982760000003</v>
      </c>
      <c r="I252">
        <v>5.102617553</v>
      </c>
      <c r="J252">
        <v>5.809892327</v>
      </c>
      <c r="K252">
        <v>6.1820149469999999</v>
      </c>
      <c r="L252">
        <v>6.5155482500000002</v>
      </c>
      <c r="M252">
        <v>6.8306419350000001</v>
      </c>
      <c r="N252">
        <v>7.0411191799999999</v>
      </c>
      <c r="O252">
        <v>7.2040504160000003</v>
      </c>
      <c r="P252">
        <v>7.2500345709999996</v>
      </c>
      <c r="Q252">
        <v>6.9876733169999996</v>
      </c>
      <c r="R252">
        <v>6.8149874099999996</v>
      </c>
      <c r="S252">
        <v>6.792712377</v>
      </c>
      <c r="T252">
        <v>6.906570576</v>
      </c>
      <c r="U252">
        <v>7.0384943040000003</v>
      </c>
      <c r="V252">
        <v>7.4566850599999999</v>
      </c>
      <c r="W252">
        <v>7.0458848080000003</v>
      </c>
      <c r="X252">
        <v>6.8996367249999997</v>
      </c>
      <c r="Y252">
        <v>6.8435115350000002</v>
      </c>
      <c r="Z252">
        <v>6.8085694139999999</v>
      </c>
      <c r="AA252">
        <v>6.7696948270000004</v>
      </c>
      <c r="AB252">
        <v>6.673669683</v>
      </c>
      <c r="AC252">
        <v>6.578109338</v>
      </c>
      <c r="AD252">
        <v>6.9573017210000003</v>
      </c>
      <c r="AE252">
        <v>7.3179361500000004</v>
      </c>
      <c r="AF252">
        <v>7.6634243350000002</v>
      </c>
      <c r="AG252">
        <v>7.6742805470000004</v>
      </c>
      <c r="AH252">
        <v>7.6882889390000004</v>
      </c>
      <c r="AI252">
        <v>7.7288705579999997</v>
      </c>
      <c r="AJ252">
        <v>7.7775577550000001</v>
      </c>
      <c r="AK252">
        <v>7.8266768449999997</v>
      </c>
      <c r="AL252">
        <v>6.905963882</v>
      </c>
      <c r="AM252">
        <v>6.038702797</v>
      </c>
      <c r="AN252">
        <v>6.4998490880000004</v>
      </c>
      <c r="AO252">
        <v>6.9439633890000003</v>
      </c>
      <c r="AP252">
        <v>7.3723389309999998</v>
      </c>
      <c r="AQ252">
        <v>7.7909492599999997</v>
      </c>
      <c r="AR252">
        <v>8.2001118000000002</v>
      </c>
      <c r="AS252">
        <v>7.7215695430000002</v>
      </c>
      <c r="AT252">
        <v>7.2683079490000004</v>
      </c>
      <c r="AU252">
        <v>6.8308974969999996</v>
      </c>
      <c r="AV252">
        <v>6.4143714489999999</v>
      </c>
      <c r="AW252">
        <v>6.0151230360000003</v>
      </c>
    </row>
    <row r="253" spans="2:49" x14ac:dyDescent="0.25">
      <c r="B253" t="s">
        <v>324</v>
      </c>
      <c r="C253">
        <v>0.19372928894524399</v>
      </c>
      <c r="D253">
        <v>0.196839675342774</v>
      </c>
      <c r="E253">
        <v>0.2010764119</v>
      </c>
      <c r="F253">
        <v>0.1939909869</v>
      </c>
      <c r="G253">
        <v>0.18036208140000001</v>
      </c>
      <c r="H253">
        <v>0.16468369769999999</v>
      </c>
      <c r="I253">
        <v>0.16023312279999999</v>
      </c>
      <c r="J253">
        <v>0.1520744809</v>
      </c>
      <c r="K253">
        <v>0.13911849209999999</v>
      </c>
      <c r="L253">
        <v>0.12958160539999999</v>
      </c>
      <c r="M253">
        <v>0.1233729683</v>
      </c>
      <c r="N253">
        <v>0.1190013798</v>
      </c>
      <c r="O253">
        <v>0.18075843529999999</v>
      </c>
      <c r="P253">
        <v>0.2398444914</v>
      </c>
      <c r="Q253">
        <v>0.2856559971</v>
      </c>
      <c r="R253">
        <v>0.33047600440000002</v>
      </c>
      <c r="S253">
        <v>0.37988941679999999</v>
      </c>
      <c r="T253">
        <v>0.58598982619999995</v>
      </c>
      <c r="U253">
        <v>0.79495402140000004</v>
      </c>
      <c r="V253">
        <v>1.0285220369999999</v>
      </c>
      <c r="W253">
        <v>1.088065654</v>
      </c>
      <c r="X253">
        <v>1.155367689</v>
      </c>
      <c r="Y253">
        <v>1.480817719</v>
      </c>
      <c r="Z253">
        <v>1.793088351</v>
      </c>
      <c r="AA253">
        <v>2.0870978930000001</v>
      </c>
      <c r="AB253">
        <v>2.2914919980000001</v>
      </c>
      <c r="AC253">
        <v>2.4742120550000002</v>
      </c>
      <c r="AD253">
        <v>2.8829854309999998</v>
      </c>
      <c r="AE253">
        <v>3.267548509</v>
      </c>
      <c r="AF253">
        <v>3.631056128</v>
      </c>
      <c r="AG253">
        <v>3.892790594</v>
      </c>
      <c r="AH253">
        <v>4.1406477639999997</v>
      </c>
      <c r="AI253">
        <v>4.459105009</v>
      </c>
      <c r="AJ253">
        <v>4.7693550370000004</v>
      </c>
      <c r="AK253">
        <v>5.0666410019999999</v>
      </c>
      <c r="AL253">
        <v>5.16612341</v>
      </c>
      <c r="AM253">
        <v>5.2685447380000001</v>
      </c>
      <c r="AN253">
        <v>5.498718899</v>
      </c>
      <c r="AO253">
        <v>5.7184240170000002</v>
      </c>
      <c r="AP253">
        <v>5.9293094130000004</v>
      </c>
      <c r="AQ253">
        <v>6.1391561619999999</v>
      </c>
      <c r="AR253">
        <v>6.3471014019999998</v>
      </c>
      <c r="AS253">
        <v>6.4667914839999998</v>
      </c>
      <c r="AT253">
        <v>6.5887446509999998</v>
      </c>
      <c r="AU253">
        <v>6.7006695230000002</v>
      </c>
      <c r="AV253">
        <v>6.8152039689999997</v>
      </c>
      <c r="AW253">
        <v>6.9299889410000004</v>
      </c>
    </row>
    <row r="254" spans="2:49" x14ac:dyDescent="0.25">
      <c r="B254" t="s">
        <v>325</v>
      </c>
      <c r="C254">
        <v>0.71679836909740502</v>
      </c>
      <c r="D254">
        <v>0.72830679876826598</v>
      </c>
      <c r="E254">
        <v>0.74398272389999998</v>
      </c>
      <c r="F254">
        <v>0.73239433990000002</v>
      </c>
      <c r="G254">
        <v>0.69481689189999996</v>
      </c>
      <c r="H254">
        <v>0.64734745149999995</v>
      </c>
      <c r="I254">
        <v>0.64268894889999995</v>
      </c>
      <c r="J254">
        <v>0.63589667370000003</v>
      </c>
      <c r="K254">
        <v>0.6075459272</v>
      </c>
      <c r="L254">
        <v>0.59214682789999995</v>
      </c>
      <c r="M254">
        <v>0.59111273080000004</v>
      </c>
      <c r="N254">
        <v>0.59907667880000004</v>
      </c>
      <c r="O254">
        <v>0.85400681749999996</v>
      </c>
      <c r="P254">
        <v>1.0745326719999999</v>
      </c>
      <c r="Q254">
        <v>1.217362949</v>
      </c>
      <c r="R254">
        <v>1.3404486710000001</v>
      </c>
      <c r="S254">
        <v>1.465607573</v>
      </c>
      <c r="T254">
        <v>1.4994942950000001</v>
      </c>
      <c r="U254">
        <v>1.5366182399999999</v>
      </c>
      <c r="V254">
        <v>1.5968495009999999</v>
      </c>
      <c r="W254">
        <v>1.33098432</v>
      </c>
      <c r="X254">
        <v>1.132235366</v>
      </c>
      <c r="Y254">
        <v>1.144769385</v>
      </c>
      <c r="Z254">
        <v>1.1593030769999999</v>
      </c>
      <c r="AA254">
        <v>1.1714353930000001</v>
      </c>
      <c r="AB254">
        <v>1.159858864</v>
      </c>
      <c r="AC254">
        <v>1.1466575320000001</v>
      </c>
      <c r="AD254">
        <v>1.1627002820000001</v>
      </c>
      <c r="AE254">
        <v>1.1769405070000001</v>
      </c>
      <c r="AF254">
        <v>1.199999</v>
      </c>
      <c r="AG254">
        <v>1.180497189</v>
      </c>
      <c r="AH254">
        <v>1.162317853</v>
      </c>
      <c r="AI254">
        <v>1.158799946</v>
      </c>
      <c r="AJ254">
        <v>1.1569294080000001</v>
      </c>
      <c r="AK254">
        <v>1.155285506</v>
      </c>
      <c r="AL254">
        <v>1.0543154729999999</v>
      </c>
      <c r="AM254">
        <v>0.95824748209999999</v>
      </c>
      <c r="AN254">
        <v>0.9923256506</v>
      </c>
      <c r="AO254">
        <v>1.024102187</v>
      </c>
      <c r="AP254">
        <v>1.0538453969999999</v>
      </c>
      <c r="AQ254">
        <v>1.0826491659999999</v>
      </c>
      <c r="AR254">
        <v>1.1104234980000001</v>
      </c>
      <c r="AS254">
        <v>1.0530231569999999</v>
      </c>
      <c r="AT254">
        <v>0.9987372833</v>
      </c>
      <c r="AU254">
        <v>0.94591603690000003</v>
      </c>
      <c r="AV254">
        <v>0.89569712300000004</v>
      </c>
      <c r="AW254">
        <v>0.84754388790000001</v>
      </c>
    </row>
    <row r="255" spans="2:49" x14ac:dyDescent="0.25">
      <c r="B255" t="s">
        <v>326</v>
      </c>
      <c r="C255">
        <v>0.19372928894524399</v>
      </c>
      <c r="D255">
        <v>0.196839675342774</v>
      </c>
      <c r="E255">
        <v>0.2010764119</v>
      </c>
      <c r="F255">
        <v>0.20577319290000001</v>
      </c>
      <c r="G255">
        <v>0.20293629469999999</v>
      </c>
      <c r="H255">
        <v>0.19654968049999999</v>
      </c>
      <c r="I255">
        <v>0.2028529244</v>
      </c>
      <c r="J255">
        <v>0.2042173156</v>
      </c>
      <c r="K255">
        <v>0.1981656272</v>
      </c>
      <c r="L255">
        <v>0.19579160430000001</v>
      </c>
      <c r="M255">
        <v>0.19773245859999999</v>
      </c>
      <c r="N255">
        <v>0.20230992719999999</v>
      </c>
      <c r="O255">
        <v>0.23749790109999999</v>
      </c>
      <c r="P255">
        <v>0.26896660639999997</v>
      </c>
      <c r="Q255">
        <v>0.2874068005</v>
      </c>
      <c r="R255">
        <v>0.30712736019999998</v>
      </c>
      <c r="S255">
        <v>0.33223021740000003</v>
      </c>
      <c r="T255">
        <v>0.39156071780000001</v>
      </c>
      <c r="U255">
        <v>0.45227369020000002</v>
      </c>
      <c r="V255">
        <v>0.54026796720000003</v>
      </c>
      <c r="W255">
        <v>0.5062335348</v>
      </c>
      <c r="X255">
        <v>0.50171536930000005</v>
      </c>
      <c r="Y255">
        <v>0.53352756639999999</v>
      </c>
      <c r="Z255">
        <v>0.56519469150000001</v>
      </c>
      <c r="AA255">
        <v>0.59489092259999998</v>
      </c>
      <c r="AB255">
        <v>0.61910164180000005</v>
      </c>
      <c r="AC255">
        <v>0.64082717229999997</v>
      </c>
      <c r="AD255">
        <v>0.73736178060000002</v>
      </c>
      <c r="AE255">
        <v>0.82859169310000003</v>
      </c>
      <c r="AF255">
        <v>0.91516709259999995</v>
      </c>
      <c r="AG255">
        <v>0.95831447739999998</v>
      </c>
      <c r="AH255">
        <v>0.99946951640000004</v>
      </c>
      <c r="AI255">
        <v>1.015545162</v>
      </c>
      <c r="AJ255">
        <v>1.0322524580000001</v>
      </c>
      <c r="AK255">
        <v>1.0484999660000001</v>
      </c>
      <c r="AL255">
        <v>0.94027730310000002</v>
      </c>
      <c r="AM255">
        <v>0.83859796480000004</v>
      </c>
      <c r="AN255">
        <v>0.90529743070000002</v>
      </c>
      <c r="AO255">
        <v>0.96944620729999997</v>
      </c>
      <c r="AP255">
        <v>1.03126797</v>
      </c>
      <c r="AQ255">
        <v>1.091815684</v>
      </c>
      <c r="AR255">
        <v>1.1511043910000001</v>
      </c>
      <c r="AS255">
        <v>1.09432145</v>
      </c>
      <c r="AT255">
        <v>1.040843516</v>
      </c>
      <c r="AU255">
        <v>0.9890041544</v>
      </c>
      <c r="AV255">
        <v>0.93993603000000003</v>
      </c>
      <c r="AW255">
        <v>0.89309429809999996</v>
      </c>
    </row>
    <row r="256" spans="2:49" x14ac:dyDescent="0.25">
      <c r="B256" t="s">
        <v>327</v>
      </c>
      <c r="C256">
        <v>0.38745857789048899</v>
      </c>
      <c r="D256">
        <v>0.39367935068554899</v>
      </c>
      <c r="E256">
        <v>0.4021528237</v>
      </c>
      <c r="F256">
        <v>0.52726078610000005</v>
      </c>
      <c r="G256">
        <v>0.66619763030000001</v>
      </c>
      <c r="H256">
        <v>0.82665135099999998</v>
      </c>
      <c r="I256">
        <v>1.093044873</v>
      </c>
      <c r="J256">
        <v>1.409794988</v>
      </c>
      <c r="K256">
        <v>1.7526629490000001</v>
      </c>
      <c r="L256">
        <v>2.218558195</v>
      </c>
      <c r="M256">
        <v>2.8705254870000001</v>
      </c>
      <c r="N256">
        <v>3.7627669030000002</v>
      </c>
      <c r="O256">
        <v>3.5463652360000002</v>
      </c>
      <c r="P256">
        <v>3.2710391190000001</v>
      </c>
      <c r="Q256">
        <v>2.8724051309999998</v>
      </c>
      <c r="R256">
        <v>2.5345882909999999</v>
      </c>
      <c r="S256">
        <v>2.2666002999999999</v>
      </c>
      <c r="T256">
        <v>2.7004176489999998</v>
      </c>
      <c r="U256">
        <v>3.1439362470000001</v>
      </c>
      <c r="V256">
        <v>3.628558891</v>
      </c>
      <c r="W256">
        <v>4.02350692</v>
      </c>
      <c r="X256">
        <v>4.3728999259999997</v>
      </c>
      <c r="Y256">
        <v>4.5896662340000001</v>
      </c>
      <c r="Z256">
        <v>4.8056976039999997</v>
      </c>
      <c r="AA256">
        <v>5.0030507990000004</v>
      </c>
      <c r="AB256">
        <v>5.1289240749999996</v>
      </c>
      <c r="AC256">
        <v>5.2310644599999998</v>
      </c>
      <c r="AD256">
        <v>5.41888244</v>
      </c>
      <c r="AE256">
        <v>5.5947336740000004</v>
      </c>
      <c r="AF256">
        <v>5.7618128410000002</v>
      </c>
      <c r="AG256">
        <v>5.8582619879999998</v>
      </c>
      <c r="AH256">
        <v>5.950045394</v>
      </c>
      <c r="AI256">
        <v>6.017676035</v>
      </c>
      <c r="AJ256">
        <v>6.0910650400000002</v>
      </c>
      <c r="AK256">
        <v>6.1621651310000001</v>
      </c>
      <c r="AL256">
        <v>6.0216771180000004</v>
      </c>
      <c r="AM256">
        <v>5.8970943289999997</v>
      </c>
      <c r="AN256">
        <v>5.9887019989999999</v>
      </c>
      <c r="AO256">
        <v>6.0744735050000003</v>
      </c>
      <c r="AP256">
        <v>6.1560271139999996</v>
      </c>
      <c r="AQ256">
        <v>6.240864341</v>
      </c>
      <c r="AR256">
        <v>6.3275736519999999</v>
      </c>
      <c r="AS256">
        <v>6.1867099630000002</v>
      </c>
      <c r="AT256">
        <v>6.0584566759999996</v>
      </c>
      <c r="AU256">
        <v>5.9309657729999996</v>
      </c>
      <c r="AV256">
        <v>5.8144767389999998</v>
      </c>
      <c r="AW256">
        <v>5.7059558529999999</v>
      </c>
    </row>
    <row r="257" spans="2:49" x14ac:dyDescent="0.25">
      <c r="B257" t="s">
        <v>328</v>
      </c>
      <c r="C257">
        <v>34.067295461021303</v>
      </c>
      <c r="D257">
        <v>34.614256909026899</v>
      </c>
      <c r="E257">
        <v>35.359287029999997</v>
      </c>
      <c r="F257">
        <v>35.181928880000001</v>
      </c>
      <c r="G257">
        <v>33.734870999999998</v>
      </c>
      <c r="H257">
        <v>31.76728846</v>
      </c>
      <c r="I257">
        <v>31.877008239999999</v>
      </c>
      <c r="J257">
        <v>31.24515079</v>
      </c>
      <c r="K257">
        <v>29.521692590000001</v>
      </c>
      <c r="L257">
        <v>28.402743739999998</v>
      </c>
      <c r="M257">
        <v>27.933756840000001</v>
      </c>
      <c r="N257">
        <v>27.834732120000002</v>
      </c>
      <c r="O257">
        <v>27.965258980000002</v>
      </c>
      <c r="P257">
        <v>27.639972950000001</v>
      </c>
      <c r="Q257">
        <v>26.166316909999999</v>
      </c>
      <c r="R257">
        <v>25.069344139999998</v>
      </c>
      <c r="S257">
        <v>24.549517210000001</v>
      </c>
      <c r="T257">
        <v>23.317250399999999</v>
      </c>
      <c r="U257">
        <v>22.136537300000001</v>
      </c>
      <c r="V257">
        <v>20.922506309999999</v>
      </c>
      <c r="W257">
        <v>20.252391970000001</v>
      </c>
      <c r="X257">
        <v>19.421250740000001</v>
      </c>
      <c r="Y257">
        <v>18.24238999</v>
      </c>
      <c r="Z257">
        <v>17.16272661</v>
      </c>
      <c r="AA257">
        <v>16.10445503</v>
      </c>
      <c r="AB257">
        <v>14.9319653</v>
      </c>
      <c r="AC257">
        <v>13.802178809999999</v>
      </c>
      <c r="AD257">
        <v>12.207643859999999</v>
      </c>
      <c r="AE257">
        <v>10.695871090000001</v>
      </c>
      <c r="AF257">
        <v>9.2448913380000004</v>
      </c>
      <c r="AG257">
        <v>8.4168277430000007</v>
      </c>
      <c r="AH257">
        <v>7.6332023060000003</v>
      </c>
      <c r="AI257">
        <v>6.8738562390000002</v>
      </c>
      <c r="AJ257">
        <v>6.1598731200000003</v>
      </c>
      <c r="AK257">
        <v>5.4775239469999999</v>
      </c>
      <c r="AL257">
        <v>6.3160902940000003</v>
      </c>
      <c r="AM257">
        <v>7.1122618089999996</v>
      </c>
      <c r="AN257">
        <v>6.0849923940000004</v>
      </c>
      <c r="AO257">
        <v>5.0842634279999999</v>
      </c>
      <c r="AP257">
        <v>4.1112169170000001</v>
      </c>
      <c r="AQ257">
        <v>3.1691600389999999</v>
      </c>
      <c r="AR257">
        <v>2.2531368980000002</v>
      </c>
      <c r="AS257">
        <v>2.5896304610000001</v>
      </c>
      <c r="AT257">
        <v>2.9098200909999998</v>
      </c>
      <c r="AU257">
        <v>3.2094875049999998</v>
      </c>
      <c r="AV257">
        <v>3.495771907</v>
      </c>
      <c r="AW257">
        <v>3.7726665540000002</v>
      </c>
    </row>
    <row r="258" spans="2:49" x14ac:dyDescent="0.25">
      <c r="B258" t="s">
        <v>329</v>
      </c>
      <c r="C258">
        <v>1.54983431156195</v>
      </c>
      <c r="D258">
        <v>1.57471740274219</v>
      </c>
      <c r="E258">
        <v>1.608611295</v>
      </c>
      <c r="F258">
        <v>2.629014518</v>
      </c>
      <c r="G258">
        <v>3.5019673889999998</v>
      </c>
      <c r="H258">
        <v>4.2061982760000003</v>
      </c>
      <c r="I258">
        <v>5.102617553</v>
      </c>
      <c r="J258">
        <v>5.809892327</v>
      </c>
      <c r="K258">
        <v>6.1820149469999999</v>
      </c>
      <c r="L258">
        <v>6.5155482500000002</v>
      </c>
      <c r="M258">
        <v>6.8306419350000001</v>
      </c>
      <c r="N258">
        <v>7.0411191799999999</v>
      </c>
      <c r="O258">
        <v>7.2040504160000003</v>
      </c>
      <c r="P258">
        <v>7.2500345709999996</v>
      </c>
      <c r="Q258">
        <v>6.9876733169999996</v>
      </c>
      <c r="R258">
        <v>6.8149874099999996</v>
      </c>
      <c r="S258">
        <v>6.792712377</v>
      </c>
      <c r="T258">
        <v>6.906570576</v>
      </c>
      <c r="U258">
        <v>7.0384943040000003</v>
      </c>
      <c r="V258">
        <v>7.4566850599999999</v>
      </c>
      <c r="W258">
        <v>7.0458848080000003</v>
      </c>
      <c r="X258">
        <v>6.8996367249999997</v>
      </c>
      <c r="Y258">
        <v>6.8435115350000002</v>
      </c>
      <c r="Z258">
        <v>6.8085694139999999</v>
      </c>
      <c r="AA258">
        <v>6.7696948270000004</v>
      </c>
      <c r="AB258">
        <v>6.673669683</v>
      </c>
      <c r="AC258">
        <v>6.578109338</v>
      </c>
      <c r="AD258">
        <v>6.9573017210000003</v>
      </c>
      <c r="AE258">
        <v>7.3179361500000004</v>
      </c>
      <c r="AF258">
        <v>7.6634243350000002</v>
      </c>
      <c r="AG258">
        <v>7.6742805470000004</v>
      </c>
      <c r="AH258">
        <v>7.6882889390000004</v>
      </c>
      <c r="AI258">
        <v>7.7288705579999997</v>
      </c>
      <c r="AJ258">
        <v>7.7775577550000001</v>
      </c>
      <c r="AK258">
        <v>7.8266768449999997</v>
      </c>
      <c r="AL258">
        <v>6.905963882</v>
      </c>
      <c r="AM258">
        <v>6.038702797</v>
      </c>
      <c r="AN258">
        <v>6.4998490880000004</v>
      </c>
      <c r="AO258">
        <v>6.9439633890000003</v>
      </c>
      <c r="AP258">
        <v>7.3723389309999998</v>
      </c>
      <c r="AQ258">
        <v>7.7909492599999997</v>
      </c>
      <c r="AR258">
        <v>8.2001118000000002</v>
      </c>
      <c r="AS258">
        <v>7.7215695430000002</v>
      </c>
      <c r="AT258">
        <v>7.2683079490000004</v>
      </c>
      <c r="AU258">
        <v>6.8308974969999996</v>
      </c>
      <c r="AV258">
        <v>6.4143714489999999</v>
      </c>
      <c r="AW258">
        <v>6.0151230360000003</v>
      </c>
    </row>
    <row r="259" spans="2:49" x14ac:dyDescent="0.25">
      <c r="B259" t="s">
        <v>330</v>
      </c>
      <c r="C259">
        <v>0.19372928894524399</v>
      </c>
      <c r="D259">
        <v>0.196839675342774</v>
      </c>
      <c r="E259">
        <v>0.2010764119</v>
      </c>
      <c r="F259">
        <v>0.1939909869</v>
      </c>
      <c r="G259">
        <v>0.18036208140000001</v>
      </c>
      <c r="H259">
        <v>0.16468369769999999</v>
      </c>
      <c r="I259">
        <v>0.16023312279999999</v>
      </c>
      <c r="J259">
        <v>0.1520744809</v>
      </c>
      <c r="K259">
        <v>0.13911849209999999</v>
      </c>
      <c r="L259">
        <v>0.12958160539999999</v>
      </c>
      <c r="M259">
        <v>0.1233729683</v>
      </c>
      <c r="N259">
        <v>0.1190013798</v>
      </c>
      <c r="O259">
        <v>0.18075843529999999</v>
      </c>
      <c r="P259">
        <v>0.2398444914</v>
      </c>
      <c r="Q259">
        <v>0.2856559971</v>
      </c>
      <c r="R259">
        <v>0.33047600440000002</v>
      </c>
      <c r="S259">
        <v>0.37988941679999999</v>
      </c>
      <c r="T259">
        <v>0.58598982619999995</v>
      </c>
      <c r="U259">
        <v>0.79495402140000004</v>
      </c>
      <c r="V259">
        <v>1.0285220369999999</v>
      </c>
      <c r="W259">
        <v>1.088065654</v>
      </c>
      <c r="X259">
        <v>1.155367689</v>
      </c>
      <c r="Y259">
        <v>1.480817719</v>
      </c>
      <c r="Z259">
        <v>1.793088351</v>
      </c>
      <c r="AA259">
        <v>2.0870978930000001</v>
      </c>
      <c r="AB259">
        <v>2.2914919980000001</v>
      </c>
      <c r="AC259">
        <v>2.4742120550000002</v>
      </c>
      <c r="AD259">
        <v>2.8829854309999998</v>
      </c>
      <c r="AE259">
        <v>3.267548509</v>
      </c>
      <c r="AF259">
        <v>3.631056128</v>
      </c>
      <c r="AG259">
        <v>3.892790594</v>
      </c>
      <c r="AH259">
        <v>4.1406477639999997</v>
      </c>
      <c r="AI259">
        <v>4.459105009</v>
      </c>
      <c r="AJ259">
        <v>4.7693550370000004</v>
      </c>
      <c r="AK259">
        <v>5.0666410019999999</v>
      </c>
      <c r="AL259">
        <v>5.16612341</v>
      </c>
      <c r="AM259">
        <v>5.2685447380000001</v>
      </c>
      <c r="AN259">
        <v>5.498718899</v>
      </c>
      <c r="AO259">
        <v>5.7184240170000002</v>
      </c>
      <c r="AP259">
        <v>5.9293094130000004</v>
      </c>
      <c r="AQ259">
        <v>6.1391561619999999</v>
      </c>
      <c r="AR259">
        <v>6.3471014019999998</v>
      </c>
      <c r="AS259">
        <v>6.4667914839999998</v>
      </c>
      <c r="AT259">
        <v>6.5887446509999998</v>
      </c>
      <c r="AU259">
        <v>6.7006695230000002</v>
      </c>
      <c r="AV259">
        <v>6.8152039689999997</v>
      </c>
      <c r="AW259">
        <v>6.9299889410000004</v>
      </c>
    </row>
    <row r="260" spans="2:49" x14ac:dyDescent="0.25">
      <c r="B260" t="s">
        <v>331</v>
      </c>
      <c r="C260">
        <v>0.71679836909740502</v>
      </c>
      <c r="D260">
        <v>0.72830679876826598</v>
      </c>
      <c r="E260">
        <v>0.74398272389999998</v>
      </c>
      <c r="F260">
        <v>0.73239433990000002</v>
      </c>
      <c r="G260">
        <v>0.69481689189999996</v>
      </c>
      <c r="H260">
        <v>0.64734745149999995</v>
      </c>
      <c r="I260">
        <v>0.64268894889999995</v>
      </c>
      <c r="J260">
        <v>0.63589667370000003</v>
      </c>
      <c r="K260">
        <v>0.6075459272</v>
      </c>
      <c r="L260">
        <v>0.59214682789999995</v>
      </c>
      <c r="M260">
        <v>0.59111273080000004</v>
      </c>
      <c r="N260">
        <v>0.59907667880000004</v>
      </c>
      <c r="O260">
        <v>0.85400681749999996</v>
      </c>
      <c r="P260">
        <v>1.0745326719999999</v>
      </c>
      <c r="Q260">
        <v>1.217362949</v>
      </c>
      <c r="R260">
        <v>1.3404486710000001</v>
      </c>
      <c r="S260">
        <v>1.465607573</v>
      </c>
      <c r="T260">
        <v>1.4994942950000001</v>
      </c>
      <c r="U260">
        <v>1.5366182399999999</v>
      </c>
      <c r="V260">
        <v>1.5968495009999999</v>
      </c>
      <c r="W260">
        <v>1.33098432</v>
      </c>
      <c r="X260">
        <v>1.132235366</v>
      </c>
      <c r="Y260">
        <v>1.144769385</v>
      </c>
      <c r="Z260">
        <v>1.1593030769999999</v>
      </c>
      <c r="AA260">
        <v>1.1714353930000001</v>
      </c>
      <c r="AB260">
        <v>1.159858864</v>
      </c>
      <c r="AC260">
        <v>1.1466575320000001</v>
      </c>
      <c r="AD260">
        <v>1.1627002820000001</v>
      </c>
      <c r="AE260">
        <v>1.1769405070000001</v>
      </c>
      <c r="AF260">
        <v>1.199999</v>
      </c>
      <c r="AG260">
        <v>1.180497189</v>
      </c>
      <c r="AH260">
        <v>1.162317853</v>
      </c>
      <c r="AI260">
        <v>1.158799946</v>
      </c>
      <c r="AJ260">
        <v>1.1569294080000001</v>
      </c>
      <c r="AK260">
        <v>1.155285506</v>
      </c>
      <c r="AL260">
        <v>1.0543154729999999</v>
      </c>
      <c r="AM260">
        <v>0.95824748209999999</v>
      </c>
      <c r="AN260">
        <v>0.9923256506</v>
      </c>
      <c r="AO260">
        <v>1.024102187</v>
      </c>
      <c r="AP260">
        <v>1.0538453969999999</v>
      </c>
      <c r="AQ260">
        <v>1.0826491659999999</v>
      </c>
      <c r="AR260">
        <v>1.1104234980000001</v>
      </c>
      <c r="AS260">
        <v>1.0530231569999999</v>
      </c>
      <c r="AT260">
        <v>0.9987372833</v>
      </c>
      <c r="AU260">
        <v>0.94591603690000003</v>
      </c>
      <c r="AV260">
        <v>0.89569712300000004</v>
      </c>
      <c r="AW260">
        <v>0.84754388790000001</v>
      </c>
    </row>
    <row r="261" spans="2:49" x14ac:dyDescent="0.25">
      <c r="B261" t="s">
        <v>332</v>
      </c>
      <c r="C261">
        <v>0.19372928894524399</v>
      </c>
      <c r="D261">
        <v>0.196839675342774</v>
      </c>
      <c r="E261">
        <v>0.2010764119</v>
      </c>
      <c r="F261">
        <v>0.20577319290000001</v>
      </c>
      <c r="G261">
        <v>0.20293629469999999</v>
      </c>
      <c r="H261">
        <v>0.19654968049999999</v>
      </c>
      <c r="I261">
        <v>0.2028529244</v>
      </c>
      <c r="J261">
        <v>0.2042173156</v>
      </c>
      <c r="K261">
        <v>0.1981656272</v>
      </c>
      <c r="L261">
        <v>0.19579160430000001</v>
      </c>
      <c r="M261">
        <v>0.19773245859999999</v>
      </c>
      <c r="N261">
        <v>0.20230992719999999</v>
      </c>
      <c r="O261">
        <v>0.23749790109999999</v>
      </c>
      <c r="P261">
        <v>0.26896660639999997</v>
      </c>
      <c r="Q261">
        <v>0.2874068005</v>
      </c>
      <c r="R261">
        <v>0.30712736019999998</v>
      </c>
      <c r="S261">
        <v>0.33223021740000003</v>
      </c>
      <c r="T261">
        <v>0.39156071780000001</v>
      </c>
      <c r="U261">
        <v>0.45227369020000002</v>
      </c>
      <c r="V261">
        <v>0.54026796720000003</v>
      </c>
      <c r="W261">
        <v>0.5062335348</v>
      </c>
      <c r="X261">
        <v>0.50171536930000005</v>
      </c>
      <c r="Y261">
        <v>0.53352756639999999</v>
      </c>
      <c r="Z261">
        <v>0.56519469150000001</v>
      </c>
      <c r="AA261">
        <v>0.59489092259999998</v>
      </c>
      <c r="AB261">
        <v>0.61910164180000005</v>
      </c>
      <c r="AC261">
        <v>0.64082717229999997</v>
      </c>
      <c r="AD261">
        <v>0.73736178060000002</v>
      </c>
      <c r="AE261">
        <v>0.82859169310000003</v>
      </c>
      <c r="AF261">
        <v>0.91516709259999995</v>
      </c>
      <c r="AG261">
        <v>0.95831447739999998</v>
      </c>
      <c r="AH261">
        <v>0.99946951640000004</v>
      </c>
      <c r="AI261">
        <v>1.015545162</v>
      </c>
      <c r="AJ261">
        <v>1.0322524580000001</v>
      </c>
      <c r="AK261">
        <v>1.0484999660000001</v>
      </c>
      <c r="AL261">
        <v>0.94027730310000002</v>
      </c>
      <c r="AM261">
        <v>0.83859796480000004</v>
      </c>
      <c r="AN261">
        <v>0.90529743070000002</v>
      </c>
      <c r="AO261">
        <v>0.96944620729999997</v>
      </c>
      <c r="AP261">
        <v>1.03126797</v>
      </c>
      <c r="AQ261">
        <v>1.091815684</v>
      </c>
      <c r="AR261">
        <v>1.1511043910000001</v>
      </c>
      <c r="AS261">
        <v>1.09432145</v>
      </c>
      <c r="AT261">
        <v>1.040843516</v>
      </c>
      <c r="AU261">
        <v>0.9890041544</v>
      </c>
      <c r="AV261">
        <v>0.93993603000000003</v>
      </c>
      <c r="AW261">
        <v>0.89309429809999996</v>
      </c>
    </row>
    <row r="262" spans="2:49" x14ac:dyDescent="0.25">
      <c r="B262" t="s">
        <v>333</v>
      </c>
      <c r="C262">
        <v>0.38745857789048899</v>
      </c>
      <c r="D262">
        <v>0.39367935068554899</v>
      </c>
      <c r="E262">
        <v>0.4021528237</v>
      </c>
      <c r="F262">
        <v>0.52726078610000005</v>
      </c>
      <c r="G262">
        <v>0.66619763030000001</v>
      </c>
      <c r="H262">
        <v>0.82665135099999998</v>
      </c>
      <c r="I262">
        <v>1.093044873</v>
      </c>
      <c r="J262">
        <v>1.409794988</v>
      </c>
      <c r="K262">
        <v>1.7526629490000001</v>
      </c>
      <c r="L262">
        <v>2.218558195</v>
      </c>
      <c r="M262">
        <v>2.8705254870000001</v>
      </c>
      <c r="N262">
        <v>3.7627669030000002</v>
      </c>
      <c r="O262">
        <v>3.5463652360000002</v>
      </c>
      <c r="P262">
        <v>3.2710391190000001</v>
      </c>
      <c r="Q262">
        <v>2.8724051309999998</v>
      </c>
      <c r="R262">
        <v>2.5345882909999999</v>
      </c>
      <c r="S262">
        <v>2.2666002999999999</v>
      </c>
      <c r="T262">
        <v>2.7004176489999998</v>
      </c>
      <c r="U262">
        <v>3.1439362470000001</v>
      </c>
      <c r="V262">
        <v>3.628558891</v>
      </c>
      <c r="W262">
        <v>4.02350692</v>
      </c>
      <c r="X262">
        <v>4.3728999259999997</v>
      </c>
      <c r="Y262">
        <v>4.5896662340000001</v>
      </c>
      <c r="Z262">
        <v>4.8056976039999997</v>
      </c>
      <c r="AA262">
        <v>5.0030507990000004</v>
      </c>
      <c r="AB262">
        <v>5.1289240749999996</v>
      </c>
      <c r="AC262">
        <v>5.2310644599999998</v>
      </c>
      <c r="AD262">
        <v>5.41888244</v>
      </c>
      <c r="AE262">
        <v>5.5947336740000004</v>
      </c>
      <c r="AF262">
        <v>5.7618128410000002</v>
      </c>
      <c r="AG262">
        <v>5.8582619879999998</v>
      </c>
      <c r="AH262">
        <v>5.950045394</v>
      </c>
      <c r="AI262">
        <v>6.017676035</v>
      </c>
      <c r="AJ262">
        <v>6.0910650400000002</v>
      </c>
      <c r="AK262">
        <v>6.1621651310000001</v>
      </c>
      <c r="AL262">
        <v>6.0216771180000004</v>
      </c>
      <c r="AM262">
        <v>5.8970943289999997</v>
      </c>
      <c r="AN262">
        <v>5.9887019989999999</v>
      </c>
      <c r="AO262">
        <v>6.0744735050000003</v>
      </c>
      <c r="AP262">
        <v>6.1560271139999996</v>
      </c>
      <c r="AQ262">
        <v>6.240864341</v>
      </c>
      <c r="AR262">
        <v>6.3275736519999999</v>
      </c>
      <c r="AS262">
        <v>6.1867099630000002</v>
      </c>
      <c r="AT262">
        <v>6.0584566759999996</v>
      </c>
      <c r="AU262">
        <v>5.9309657729999996</v>
      </c>
      <c r="AV262">
        <v>5.8144767389999998</v>
      </c>
      <c r="AW262">
        <v>5.7059558529999999</v>
      </c>
    </row>
    <row r="263" spans="2:49" x14ac:dyDescent="0.25">
      <c r="B263" t="s">
        <v>334</v>
      </c>
      <c r="C263">
        <v>1.1905732046364299</v>
      </c>
      <c r="D263">
        <v>1.2096882425386799</v>
      </c>
      <c r="E263">
        <v>1.232137418</v>
      </c>
      <c r="F263">
        <v>1.2386811719999999</v>
      </c>
      <c r="G263">
        <v>1.144365493</v>
      </c>
      <c r="H263">
        <v>0.92804590529999997</v>
      </c>
      <c r="I263">
        <v>1.0113498990000001</v>
      </c>
      <c r="J263">
        <v>1.035375135</v>
      </c>
      <c r="K263">
        <v>0.97896044270000004</v>
      </c>
      <c r="L263">
        <v>0.97586798630000005</v>
      </c>
      <c r="M263">
        <v>0.98181610100000005</v>
      </c>
      <c r="N263">
        <v>0.99089399410000001</v>
      </c>
      <c r="O263">
        <v>0.93741393399999995</v>
      </c>
      <c r="P263">
        <v>0.95409721560000005</v>
      </c>
      <c r="Q263">
        <v>0.93562246500000001</v>
      </c>
      <c r="R263">
        <v>0.88759679790000001</v>
      </c>
      <c r="S263">
        <v>0.86826389479999999</v>
      </c>
      <c r="T263">
        <v>0.87566497470000004</v>
      </c>
      <c r="U263">
        <v>0.88382375660000001</v>
      </c>
      <c r="V263">
        <v>0.89972244629999998</v>
      </c>
      <c r="W263">
        <v>0.89590468680000002</v>
      </c>
      <c r="X263">
        <v>0.88709556850000004</v>
      </c>
      <c r="Y263">
        <v>0.88056413119999999</v>
      </c>
      <c r="Z263">
        <v>0.88035224329999995</v>
      </c>
      <c r="AA263">
        <v>0.88141919849999995</v>
      </c>
      <c r="AB263">
        <v>0.88305186930000001</v>
      </c>
      <c r="AC263">
        <v>0.88547265610000003</v>
      </c>
      <c r="AD263">
        <v>0.88898863230000003</v>
      </c>
      <c r="AE263">
        <v>0.89298921090000005</v>
      </c>
      <c r="AF263">
        <v>0.89714834939999999</v>
      </c>
      <c r="AG263">
        <v>0.90140851229999996</v>
      </c>
      <c r="AH263">
        <v>0.90655150169999998</v>
      </c>
      <c r="AI263">
        <v>0.91312164750000002</v>
      </c>
      <c r="AJ263">
        <v>0.91939889630000005</v>
      </c>
      <c r="AK263">
        <v>0.92576554200000005</v>
      </c>
      <c r="AL263">
        <v>0.93254460989999999</v>
      </c>
      <c r="AM263" s="39">
        <v>0.93853845739999997</v>
      </c>
      <c r="AN263" s="39">
        <v>0.94426499320000001</v>
      </c>
      <c r="AO263" s="39">
        <v>0.95027404800000004</v>
      </c>
      <c r="AP263" s="39">
        <v>0.95533277630000002</v>
      </c>
      <c r="AQ263" s="39">
        <v>0.96041839070000001</v>
      </c>
      <c r="AR263" s="39">
        <v>0.96443910970000002</v>
      </c>
      <c r="AS263" s="39">
        <v>0.96868380450000002</v>
      </c>
      <c r="AT263" s="39">
        <v>0.97320894989999995</v>
      </c>
      <c r="AU263" s="39">
        <v>0.9775208084</v>
      </c>
      <c r="AV263">
        <v>0.98164465069999995</v>
      </c>
      <c r="AW263">
        <v>0.98577637799999995</v>
      </c>
    </row>
    <row r="264" spans="2:49" x14ac:dyDescent="0.25">
      <c r="B264" t="s">
        <v>335</v>
      </c>
      <c r="C264">
        <v>1.7112081308179601</v>
      </c>
      <c r="D264">
        <v>1.7386821308642</v>
      </c>
      <c r="E264">
        <v>1.766997353</v>
      </c>
      <c r="F264">
        <v>1.7891069070000001</v>
      </c>
      <c r="G264">
        <v>1.8073641600000001</v>
      </c>
      <c r="H264">
        <v>1.700301632</v>
      </c>
      <c r="I264">
        <v>1.7762796599999999</v>
      </c>
      <c r="J264">
        <v>1.8080908689999999</v>
      </c>
      <c r="K264">
        <v>1.789250545</v>
      </c>
      <c r="L264">
        <v>1.800788155</v>
      </c>
      <c r="M264">
        <v>1.8204702989999999</v>
      </c>
      <c r="N264">
        <v>1.8977947470000001</v>
      </c>
      <c r="O264">
        <v>1.8981603039999999</v>
      </c>
      <c r="P264">
        <v>1.9047282089999999</v>
      </c>
      <c r="Q264">
        <v>1.881656352</v>
      </c>
      <c r="R264">
        <v>1.904076192</v>
      </c>
      <c r="S264">
        <v>1.887334461</v>
      </c>
      <c r="T264">
        <v>1.8901464720000001</v>
      </c>
      <c r="U264">
        <v>1.9147193920000001</v>
      </c>
      <c r="V264">
        <v>1.9500425020000001</v>
      </c>
      <c r="W264">
        <v>1.9768075759999999</v>
      </c>
      <c r="X264">
        <v>1.990341871</v>
      </c>
      <c r="Y264">
        <v>2.0052545730000002</v>
      </c>
      <c r="Z264">
        <v>2.0223147410000002</v>
      </c>
      <c r="AA264">
        <v>2.0500164590000001</v>
      </c>
      <c r="AB264">
        <v>2.0818520839999999</v>
      </c>
      <c r="AC264">
        <v>2.118684757</v>
      </c>
      <c r="AD264">
        <v>2.1325567040000002</v>
      </c>
      <c r="AE264">
        <v>2.149519637</v>
      </c>
      <c r="AF264">
        <v>2.1678968799999998</v>
      </c>
      <c r="AG264">
        <v>2.1877868760000001</v>
      </c>
      <c r="AH264">
        <v>2.2101296189999999</v>
      </c>
      <c r="AI264">
        <v>2.2354409839999998</v>
      </c>
      <c r="AJ264">
        <v>2.263119782</v>
      </c>
      <c r="AK264">
        <v>2.2917941270000002</v>
      </c>
      <c r="AL264">
        <v>2.3225145270000001</v>
      </c>
      <c r="AM264">
        <v>2.353577461</v>
      </c>
      <c r="AN264">
        <v>2.3849377330000001</v>
      </c>
      <c r="AO264">
        <v>2.4179503539999998</v>
      </c>
      <c r="AP264">
        <v>2.4522271500000001</v>
      </c>
      <c r="AQ264">
        <v>2.487522104</v>
      </c>
      <c r="AR264">
        <v>2.5233745000000001</v>
      </c>
      <c r="AS264">
        <v>2.5579394419999999</v>
      </c>
      <c r="AT264">
        <v>2.5928758319999998</v>
      </c>
      <c r="AU264">
        <v>2.6288383560000002</v>
      </c>
      <c r="AV264">
        <v>2.6652617420000002</v>
      </c>
      <c r="AW264">
        <v>2.7021361229999998</v>
      </c>
    </row>
    <row r="265" spans="2:49" x14ac:dyDescent="0.25">
      <c r="B265" t="s">
        <v>336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2:49" x14ac:dyDescent="0.25">
      <c r="B266" t="s">
        <v>337</v>
      </c>
      <c r="C266">
        <v>1.5692072404564801</v>
      </c>
      <c r="D266">
        <v>1.5944013702764701</v>
      </c>
      <c r="E266">
        <v>1.625705964</v>
      </c>
      <c r="F266">
        <v>1.651136154</v>
      </c>
      <c r="G266">
        <v>1.674591927</v>
      </c>
      <c r="H266">
        <v>1.556383949</v>
      </c>
      <c r="I266">
        <v>1.6422240699999999</v>
      </c>
      <c r="J266">
        <v>1.693289416</v>
      </c>
      <c r="K266">
        <v>1.682076957</v>
      </c>
      <c r="L266">
        <v>1.6893448980000001</v>
      </c>
      <c r="M266">
        <v>1.7039764740000001</v>
      </c>
      <c r="N266">
        <v>1.747199911</v>
      </c>
      <c r="O266">
        <v>1.7991829580000001</v>
      </c>
      <c r="P266">
        <v>1.8839569679999999</v>
      </c>
      <c r="Q266">
        <v>1.929188769</v>
      </c>
      <c r="R266">
        <v>1.997550156</v>
      </c>
      <c r="S266">
        <v>2.0350647830000002</v>
      </c>
      <c r="T266">
        <v>2.0398297959999998</v>
      </c>
      <c r="U266">
        <v>2.0568752749999999</v>
      </c>
      <c r="V266">
        <v>2.0902850489999998</v>
      </c>
      <c r="W266">
        <v>2.0204508309999998</v>
      </c>
      <c r="X266">
        <v>1.966910868</v>
      </c>
      <c r="Y266">
        <v>1.9322540699999999</v>
      </c>
      <c r="Z266">
        <v>1.9164690230000001</v>
      </c>
      <c r="AA266">
        <v>1.918342888</v>
      </c>
      <c r="AB266">
        <v>1.929014137</v>
      </c>
      <c r="AC266">
        <v>1.947638851</v>
      </c>
      <c r="AD266">
        <v>1.9563780369999999</v>
      </c>
      <c r="AE266">
        <v>1.9700609010000001</v>
      </c>
      <c r="AF266">
        <v>1.985415014</v>
      </c>
      <c r="AG266">
        <v>2.0023302690000002</v>
      </c>
      <c r="AH266">
        <v>2.0216693600000002</v>
      </c>
      <c r="AI266">
        <v>2.043702686</v>
      </c>
      <c r="AJ266">
        <v>2.0678262520000001</v>
      </c>
      <c r="AK266">
        <v>2.0927908909999999</v>
      </c>
      <c r="AL266">
        <v>2.1201659820000001</v>
      </c>
      <c r="AM266">
        <v>2.1481181440000001</v>
      </c>
      <c r="AN266">
        <v>2.1763132409999999</v>
      </c>
      <c r="AO266">
        <v>2.205567732</v>
      </c>
      <c r="AP266">
        <v>2.2356625399999999</v>
      </c>
      <c r="AQ266">
        <v>2.2665607510000001</v>
      </c>
      <c r="AR266">
        <v>2.2978356139999998</v>
      </c>
      <c r="AS266">
        <v>2.3283567390000002</v>
      </c>
      <c r="AT266">
        <v>2.3597017870000001</v>
      </c>
      <c r="AU266" s="39">
        <v>2.3918004349999999</v>
      </c>
      <c r="AV266">
        <v>2.4245694719999999</v>
      </c>
      <c r="AW266">
        <v>2.457849269</v>
      </c>
    </row>
    <row r="267" spans="2:49" x14ac:dyDescent="0.25">
      <c r="B267" t="s">
        <v>338</v>
      </c>
      <c r="C267">
        <v>0.99151022292981705</v>
      </c>
      <c r="D267">
        <v>0.99151022292981705</v>
      </c>
      <c r="E267">
        <v>0.99190344519999996</v>
      </c>
      <c r="F267">
        <v>0.98792106120000001</v>
      </c>
      <c r="G267">
        <v>0.98397048200000004</v>
      </c>
      <c r="H267">
        <v>0.98000810599999999</v>
      </c>
      <c r="I267">
        <v>0.97610639740000005</v>
      </c>
      <c r="J267">
        <v>0.97221858620000001</v>
      </c>
      <c r="K267">
        <v>0.96833697890000003</v>
      </c>
      <c r="L267">
        <v>0.96448269809999998</v>
      </c>
      <c r="M267">
        <v>0.96063504470000005</v>
      </c>
      <c r="N267">
        <v>0.95682822190000005</v>
      </c>
      <c r="O267">
        <v>0.95615634650000003</v>
      </c>
      <c r="P267">
        <v>0.95544908240000004</v>
      </c>
      <c r="Q267">
        <v>0.95469053029999995</v>
      </c>
      <c r="R267">
        <v>0.95389097889999996</v>
      </c>
      <c r="S267">
        <v>0.95301499739999995</v>
      </c>
      <c r="T267">
        <v>0.95055539430000002</v>
      </c>
      <c r="U267">
        <v>0.94819746220000001</v>
      </c>
      <c r="V267">
        <v>0.94593766869999996</v>
      </c>
      <c r="W267">
        <v>0.94002266960000003</v>
      </c>
      <c r="X267">
        <v>0.93373614469999999</v>
      </c>
      <c r="Y267">
        <v>0.93104626899999998</v>
      </c>
      <c r="Z267">
        <v>0.92811942380000001</v>
      </c>
      <c r="AA267">
        <v>0.92493682929999999</v>
      </c>
      <c r="AB267">
        <v>0.92152690859999997</v>
      </c>
      <c r="AC267">
        <v>0.91778354110000004</v>
      </c>
      <c r="AD267">
        <v>0.90082126669999996</v>
      </c>
      <c r="AE267">
        <v>0.88218093200000003</v>
      </c>
      <c r="AF267">
        <v>0.86159774619999996</v>
      </c>
      <c r="AG267">
        <v>0.83901135110000002</v>
      </c>
      <c r="AH267">
        <v>0.81379078540000005</v>
      </c>
      <c r="AI267">
        <v>0.78324536960000002</v>
      </c>
      <c r="AJ267">
        <v>0.74868511100000001</v>
      </c>
      <c r="AK267">
        <v>0.70925414539999998</v>
      </c>
      <c r="AL267">
        <v>0.66513600480000001</v>
      </c>
      <c r="AM267">
        <v>0.6137094246</v>
      </c>
      <c r="AN267">
        <v>0.58943337409999996</v>
      </c>
      <c r="AO267">
        <v>0.56175428760000001</v>
      </c>
      <c r="AP267">
        <v>0.52997584009999998</v>
      </c>
      <c r="AQ267">
        <v>0.49298805530000001</v>
      </c>
      <c r="AR267">
        <v>0.44943367769999998</v>
      </c>
      <c r="AS267">
        <v>0.44515424310000001</v>
      </c>
      <c r="AT267">
        <v>0.44022535149999997</v>
      </c>
      <c r="AU267">
        <v>0.4345054679</v>
      </c>
      <c r="AV267">
        <v>0.4278270072</v>
      </c>
      <c r="AW267">
        <v>0.41994410910000002</v>
      </c>
    </row>
    <row r="268" spans="2:49" x14ac:dyDescent="0.25">
      <c r="B268" t="s">
        <v>339</v>
      </c>
      <c r="C268">
        <v>8.4897770701825997E-3</v>
      </c>
      <c r="D268">
        <v>8.4897770701825997E-3</v>
      </c>
      <c r="E268">
        <v>8.0965544299999997E-3</v>
      </c>
      <c r="F268">
        <v>1.20789382E-2</v>
      </c>
      <c r="G268">
        <v>1.6029514700000001E-2</v>
      </c>
      <c r="H268">
        <v>1.9991895799999999E-2</v>
      </c>
      <c r="I268">
        <v>2.3893589600000001E-2</v>
      </c>
      <c r="J268">
        <v>2.77814134E-2</v>
      </c>
      <c r="K268">
        <v>3.1663021100000001E-2</v>
      </c>
      <c r="L268">
        <v>3.5517301799999998E-2</v>
      </c>
      <c r="M268">
        <v>3.9364955399999998E-2</v>
      </c>
      <c r="N268">
        <v>4.3171778000000001E-2</v>
      </c>
      <c r="O268">
        <v>4.3843652900000002E-2</v>
      </c>
      <c r="P268">
        <v>4.4550916900000001E-2</v>
      </c>
      <c r="Q268">
        <v>4.5309469499999998E-2</v>
      </c>
      <c r="R268">
        <v>4.6109021299999997E-2</v>
      </c>
      <c r="S268">
        <v>4.6985000999999998E-2</v>
      </c>
      <c r="T268">
        <v>4.9444605699999998E-2</v>
      </c>
      <c r="U268">
        <v>5.1802540500000001E-2</v>
      </c>
      <c r="V268">
        <v>5.4062330800000002E-2</v>
      </c>
      <c r="W268">
        <v>5.9977357000000002E-2</v>
      </c>
      <c r="X268">
        <v>6.6263896200000005E-2</v>
      </c>
      <c r="Y268">
        <v>6.8953730699999896E-2</v>
      </c>
      <c r="Z268">
        <v>7.1880575799999999E-2</v>
      </c>
      <c r="AA268">
        <v>7.5063170200000001E-2</v>
      </c>
      <c r="AB268">
        <v>7.84730914E-2</v>
      </c>
      <c r="AC268">
        <v>8.2216459000000006E-2</v>
      </c>
      <c r="AD268">
        <v>9.9178733300000002E-2</v>
      </c>
      <c r="AE268">
        <v>0.11781906809999999</v>
      </c>
      <c r="AF268">
        <v>0.13840225389999999</v>
      </c>
      <c r="AG268">
        <v>0.1609886489</v>
      </c>
      <c r="AH268">
        <v>0.18620921460000001</v>
      </c>
      <c r="AI268">
        <v>0.21675463040000001</v>
      </c>
      <c r="AJ268">
        <v>0.25131488899999999</v>
      </c>
      <c r="AK268">
        <v>0.29074585520000001</v>
      </c>
      <c r="AL268">
        <v>0.33486399529999999</v>
      </c>
      <c r="AM268">
        <v>0.38629057519999999</v>
      </c>
      <c r="AN268">
        <v>0.41056662589999998</v>
      </c>
      <c r="AO268">
        <v>0.43824571239999999</v>
      </c>
      <c r="AP268">
        <v>0.4700241657</v>
      </c>
      <c r="AQ268">
        <v>0.50701194469999999</v>
      </c>
      <c r="AR268">
        <v>0.55056632289999996</v>
      </c>
      <c r="AS268">
        <v>0.55484575660000002</v>
      </c>
      <c r="AT268">
        <v>0.5597746482</v>
      </c>
      <c r="AU268">
        <v>0.56549453169999997</v>
      </c>
      <c r="AV268">
        <v>0.57217299239999997</v>
      </c>
      <c r="AW268">
        <v>0.58005589030000004</v>
      </c>
    </row>
    <row r="269" spans="2:49" x14ac:dyDescent="0.25">
      <c r="B269" t="s">
        <v>340</v>
      </c>
      <c r="C269">
        <v>0.79896379760487002</v>
      </c>
      <c r="D269">
        <v>0.79896379760486902</v>
      </c>
      <c r="E269">
        <v>0.79896379760000003</v>
      </c>
      <c r="F269">
        <v>0.7963841774</v>
      </c>
      <c r="G269">
        <v>0.7938128941</v>
      </c>
      <c r="H269">
        <v>0.79124990429999997</v>
      </c>
      <c r="I269">
        <v>0.78869519960000001</v>
      </c>
      <c r="J269">
        <v>0.78614873669999996</v>
      </c>
      <c r="K269">
        <v>0.78361049709999997</v>
      </c>
      <c r="L269">
        <v>0.78108045270000004</v>
      </c>
      <c r="M269">
        <v>0.77855857689999997</v>
      </c>
      <c r="N269">
        <v>0.77604484330000001</v>
      </c>
      <c r="O269">
        <v>0.7608153433</v>
      </c>
      <c r="P269">
        <v>0.74503572169999999</v>
      </c>
      <c r="Q269">
        <v>0.72867560549999999</v>
      </c>
      <c r="R269">
        <v>0.71170237920000001</v>
      </c>
      <c r="S269">
        <v>0.69408091240000003</v>
      </c>
      <c r="T269">
        <v>0.68549363870000002</v>
      </c>
      <c r="U269">
        <v>0.67684743709999995</v>
      </c>
      <c r="V269">
        <v>0.66814169980000004</v>
      </c>
      <c r="W269">
        <v>0.66600321309999999</v>
      </c>
      <c r="X269">
        <v>0.66409476769999998</v>
      </c>
      <c r="Y269">
        <v>0.65512636020000004</v>
      </c>
      <c r="Z269">
        <v>0.64638429490000004</v>
      </c>
      <c r="AA269">
        <v>0.63786014010000003</v>
      </c>
      <c r="AB269">
        <v>0.62939878449999997</v>
      </c>
      <c r="AC269">
        <v>0.62114143550000001</v>
      </c>
      <c r="AD269">
        <v>0.60190844489999995</v>
      </c>
      <c r="AE269">
        <v>0.58312393809999996</v>
      </c>
      <c r="AF269">
        <v>0.56477240920000005</v>
      </c>
      <c r="AG269">
        <v>0.54832211340000003</v>
      </c>
      <c r="AH269">
        <v>0.53224115780000003</v>
      </c>
      <c r="AI269">
        <v>0.52351370009999998</v>
      </c>
      <c r="AJ269">
        <v>0.51499765870000003</v>
      </c>
      <c r="AK269">
        <v>0.50668544319999997</v>
      </c>
      <c r="AL269">
        <v>0.49889154870000002</v>
      </c>
      <c r="AM269">
        <v>0.49127847450000001</v>
      </c>
      <c r="AN269">
        <v>0.47268430919999999</v>
      </c>
      <c r="AO269">
        <v>0.4544022143</v>
      </c>
      <c r="AP269">
        <v>0.43642439849999998</v>
      </c>
      <c r="AQ269">
        <v>0.41874332869999997</v>
      </c>
      <c r="AR269">
        <v>0.40135171720000001</v>
      </c>
      <c r="AS269">
        <v>0.38480951270000002</v>
      </c>
      <c r="AT269">
        <v>0.36843088210000002</v>
      </c>
      <c r="AU269">
        <v>0.35221341119999999</v>
      </c>
      <c r="AV269">
        <v>0.3361547332</v>
      </c>
      <c r="AW269">
        <v>0.3202525269</v>
      </c>
    </row>
    <row r="270" spans="2:49" x14ac:dyDescent="0.25">
      <c r="B270" t="s">
        <v>341</v>
      </c>
      <c r="C270">
        <v>1.02537481030392E-2</v>
      </c>
      <c r="D270">
        <v>1.02537481030392E-2</v>
      </c>
      <c r="E270">
        <v>1.02537481E-2</v>
      </c>
      <c r="F270">
        <v>9.6835704800000005E-3</v>
      </c>
      <c r="G270">
        <v>9.1450986799999998E-3</v>
      </c>
      <c r="H270">
        <v>8.6365694499999906E-3</v>
      </c>
      <c r="I270">
        <v>8.1563179799999906E-3</v>
      </c>
      <c r="J270">
        <v>7.7027716699999997E-3</v>
      </c>
      <c r="K270">
        <v>7.2744456000000002E-3</v>
      </c>
      <c r="L270">
        <v>6.8699373499999999E-3</v>
      </c>
      <c r="M270">
        <v>6.4879224899999999E-3</v>
      </c>
      <c r="N270">
        <v>6.1271502300000004E-3</v>
      </c>
      <c r="O270">
        <v>5.5291148799999999E-3</v>
      </c>
      <c r="P270">
        <v>4.9094770299999996E-3</v>
      </c>
      <c r="Q270">
        <v>4.2670445299999998E-3</v>
      </c>
      <c r="R270">
        <v>3.6005361100000001E-3</v>
      </c>
      <c r="S270">
        <v>2.9085724800000001E-3</v>
      </c>
      <c r="T270">
        <v>3.81905458E-3</v>
      </c>
      <c r="U270">
        <v>4.7357845600000002E-3</v>
      </c>
      <c r="V270">
        <v>5.6588269500000002E-3</v>
      </c>
      <c r="W270">
        <v>3.8630285600000001E-3</v>
      </c>
      <c r="X270">
        <v>2.2602296800000002E-3</v>
      </c>
      <c r="Y270">
        <v>1.71824613E-3</v>
      </c>
      <c r="Z270">
        <v>1.1899431199999999E-3</v>
      </c>
      <c r="AA270">
        <v>6.7480922900000002E-4</v>
      </c>
      <c r="AB270">
        <v>5.9819738299999995E-4</v>
      </c>
      <c r="AC270">
        <v>5.2343271699999995E-4</v>
      </c>
      <c r="AD270">
        <v>5.1095591800000002E-4</v>
      </c>
      <c r="AE270">
        <v>4.9877005900000003E-4</v>
      </c>
      <c r="AF270">
        <v>4.8686508100000001E-4</v>
      </c>
      <c r="AG270">
        <v>4.7618876299999999E-4</v>
      </c>
      <c r="AH270">
        <v>4.65752149E-4</v>
      </c>
      <c r="AI270" s="39">
        <v>3.73581352E-4</v>
      </c>
      <c r="AJ270" s="39">
        <v>2.8364332800000003E-4</v>
      </c>
      <c r="AK270" s="39">
        <v>1.9585791800000001E-4</v>
      </c>
      <c r="AL270" s="39">
        <v>2.08324792E-4</v>
      </c>
      <c r="AM270" s="39">
        <v>2.2050242899999999E-4</v>
      </c>
      <c r="AN270" s="39">
        <v>2.1180547200000001E-4</v>
      </c>
      <c r="AO270" s="39">
        <v>2.03254479E-4</v>
      </c>
      <c r="AP270" s="39">
        <v>1.9484580400000001E-4</v>
      </c>
      <c r="AQ270" s="39">
        <v>1.8657592500000001E-4</v>
      </c>
      <c r="AR270" s="39">
        <v>1.78441433E-4</v>
      </c>
      <c r="AS270" s="39">
        <v>1.7755481E-4</v>
      </c>
      <c r="AT270" s="39">
        <v>1.76676954E-4</v>
      </c>
      <c r="AU270" s="39">
        <v>1.7580773600000001E-4</v>
      </c>
      <c r="AV270" s="39">
        <v>1.74947028E-4</v>
      </c>
      <c r="AW270" s="39">
        <v>1.7409470800000001E-4</v>
      </c>
    </row>
    <row r="271" spans="2:49" x14ac:dyDescent="0.25">
      <c r="B271" t="s">
        <v>342</v>
      </c>
      <c r="C271">
        <v>4.0949078402655603E-2</v>
      </c>
      <c r="D271">
        <v>4.0949078402655603E-2</v>
      </c>
      <c r="E271">
        <v>4.0949078399999998E-2</v>
      </c>
      <c r="F271">
        <v>4.0876232399999997E-2</v>
      </c>
      <c r="G271">
        <v>4.0803516300000002E-2</v>
      </c>
      <c r="H271">
        <v>4.0730929200000002E-2</v>
      </c>
      <c r="I271">
        <v>4.0658471699999997E-2</v>
      </c>
      <c r="J271">
        <v>4.0586142800000002E-2</v>
      </c>
      <c r="K271">
        <v>4.0513942599999998E-2</v>
      </c>
      <c r="L271">
        <v>4.0441870900000003E-2</v>
      </c>
      <c r="M271">
        <v>4.0369927299999997E-2</v>
      </c>
      <c r="N271">
        <v>4.0298111800000001E-2</v>
      </c>
      <c r="O271">
        <v>4.4246305999999999E-2</v>
      </c>
      <c r="P271">
        <v>4.8337119400000003E-2</v>
      </c>
      <c r="Q271">
        <v>5.25784205E-2</v>
      </c>
      <c r="R271">
        <v>5.6978670000000002E-2</v>
      </c>
      <c r="S271">
        <v>6.1546973300000002E-2</v>
      </c>
      <c r="T271">
        <v>5.8760594999999999E-2</v>
      </c>
      <c r="U271">
        <v>5.5955096199999999E-2</v>
      </c>
      <c r="V271">
        <v>5.3130279199999998E-2</v>
      </c>
      <c r="W271">
        <v>5.6183843999999997E-2</v>
      </c>
      <c r="X271">
        <v>5.8909253799999999E-2</v>
      </c>
      <c r="Y271">
        <v>5.6639144099999997E-2</v>
      </c>
      <c r="Z271">
        <v>5.4426332799999998E-2</v>
      </c>
      <c r="AA271">
        <v>5.2268680400000003E-2</v>
      </c>
      <c r="AB271">
        <v>5.0196504000000003E-2</v>
      </c>
      <c r="AC271">
        <v>4.8174289299999999E-2</v>
      </c>
      <c r="AD271">
        <v>4.5049255199999999E-2</v>
      </c>
      <c r="AE271">
        <v>4.1997092E-2</v>
      </c>
      <c r="AF271">
        <v>3.9015280499999999E-2</v>
      </c>
      <c r="AG271">
        <v>3.6346307500000001E-2</v>
      </c>
      <c r="AH271">
        <v>3.3737257999999999E-2</v>
      </c>
      <c r="AI271">
        <v>2.7298170300000001E-2</v>
      </c>
      <c r="AJ271">
        <v>2.1015064999999999E-2</v>
      </c>
      <c r="AK271">
        <v>1.4882342099999999E-2</v>
      </c>
      <c r="AL271">
        <v>9.1889673799999995E-3</v>
      </c>
      <c r="AM271">
        <v>3.62768116E-3</v>
      </c>
      <c r="AN271">
        <v>3.8553466799999998E-3</v>
      </c>
      <c r="AO271">
        <v>4.0791912400000001E-3</v>
      </c>
      <c r="AP271">
        <v>4.2993102199999998E-3</v>
      </c>
      <c r="AQ271">
        <v>4.5157958800000004E-3</v>
      </c>
      <c r="AR271">
        <v>4.7287374200000003E-3</v>
      </c>
      <c r="AS271">
        <v>4.8924664499999998E-3</v>
      </c>
      <c r="AT271">
        <v>5.0545764799999997E-3</v>
      </c>
      <c r="AU271">
        <v>5.2150914E-3</v>
      </c>
      <c r="AV271">
        <v>5.3740346499999998E-3</v>
      </c>
      <c r="AW271">
        <v>5.5314292000000001E-3</v>
      </c>
    </row>
    <row r="272" spans="2:49" x14ac:dyDescent="0.25">
      <c r="B272" t="s">
        <v>343</v>
      </c>
      <c r="C272">
        <v>4.0858446639591303E-2</v>
      </c>
      <c r="D272">
        <v>4.0858446639591303E-2</v>
      </c>
      <c r="E272">
        <v>4.0858446600000001E-2</v>
      </c>
      <c r="F272">
        <v>3.7501973000000001E-2</v>
      </c>
      <c r="G272">
        <v>3.4421230099999998E-2</v>
      </c>
      <c r="H272">
        <v>3.1593566300000001E-2</v>
      </c>
      <c r="I272">
        <v>2.89981921E-2</v>
      </c>
      <c r="J272">
        <v>2.6616024700000001E-2</v>
      </c>
      <c r="K272">
        <v>2.4429549500000002E-2</v>
      </c>
      <c r="L272">
        <v>2.2422690700000001E-2</v>
      </c>
      <c r="M272">
        <v>2.0580693000000001E-2</v>
      </c>
      <c r="N272">
        <v>1.88900132E-2</v>
      </c>
      <c r="O272">
        <v>1.6445307100000001E-2</v>
      </c>
      <c r="P272">
        <v>1.3912292200000001E-2</v>
      </c>
      <c r="Q272">
        <v>1.12860952E-2</v>
      </c>
      <c r="R272">
        <v>8.5614784100000001E-3</v>
      </c>
      <c r="S272">
        <v>5.7328032900000004E-3</v>
      </c>
      <c r="T272">
        <v>5.47000478E-3</v>
      </c>
      <c r="U272">
        <v>5.2054029000000003E-3</v>
      </c>
      <c r="V272">
        <v>4.9389790200000004E-3</v>
      </c>
      <c r="W272">
        <v>3.0357640300000001E-3</v>
      </c>
      <c r="X272">
        <v>1.3370925699999999E-3</v>
      </c>
      <c r="Y272">
        <v>1.02666791E-3</v>
      </c>
      <c r="Z272">
        <v>7.2407887199999995E-4</v>
      </c>
      <c r="AA272">
        <v>4.2903253500000001E-4</v>
      </c>
      <c r="AB272">
        <v>4.2379723399999999E-4</v>
      </c>
      <c r="AC272">
        <v>4.1868815799999998E-4</v>
      </c>
      <c r="AD272">
        <v>3.4479082200000001E-4</v>
      </c>
      <c r="AE272">
        <v>2.7261665900000002E-4</v>
      </c>
      <c r="AF272">
        <v>2.0210609100000001E-4</v>
      </c>
      <c r="AG272">
        <v>1.998115E-4</v>
      </c>
      <c r="AH272">
        <v>1.9756842699999999E-4</v>
      </c>
      <c r="AI272">
        <v>1.9514610799999999E-4</v>
      </c>
      <c r="AJ272">
        <v>1.9278246900000001E-4</v>
      </c>
      <c r="AK272">
        <v>1.90475402E-4</v>
      </c>
      <c r="AL272">
        <v>1.88239918E-4</v>
      </c>
      <c r="AM272">
        <v>1.8605629800000001E-4</v>
      </c>
      <c r="AN272">
        <v>1.8448177199999999E-4</v>
      </c>
      <c r="AO272">
        <v>1.8293367100000001E-4</v>
      </c>
      <c r="AP272">
        <v>1.8141133599999999E-4</v>
      </c>
      <c r="AQ272">
        <v>1.7991412900000001E-4</v>
      </c>
      <c r="AR272">
        <v>1.78441433E-4</v>
      </c>
      <c r="AS272">
        <v>1.7755481E-4</v>
      </c>
      <c r="AT272" s="39">
        <v>1.76676954E-4</v>
      </c>
      <c r="AU272" s="39">
        <v>1.7580773600000001E-4</v>
      </c>
      <c r="AV272" s="39">
        <v>1.74947028E-4</v>
      </c>
      <c r="AW272" s="39">
        <v>1.7409470800000001E-4</v>
      </c>
    </row>
    <row r="273" spans="2:49" x14ac:dyDescent="0.25">
      <c r="B273" t="s">
        <v>344</v>
      </c>
      <c r="C273">
        <v>8.2546962733871607E-3</v>
      </c>
      <c r="D273">
        <v>8.2546962733871607E-3</v>
      </c>
      <c r="E273">
        <v>8.2546962700000004E-3</v>
      </c>
      <c r="F273">
        <v>1.7081659700000001E-2</v>
      </c>
      <c r="G273">
        <v>2.5176000800000001E-2</v>
      </c>
      <c r="H273">
        <v>3.2493267300000003E-2</v>
      </c>
      <c r="I273">
        <v>3.89647048E-2</v>
      </c>
      <c r="J273">
        <v>4.44904359E-2</v>
      </c>
      <c r="K273">
        <v>4.8930383399999999E-2</v>
      </c>
      <c r="L273">
        <v>5.2092196200000003E-2</v>
      </c>
      <c r="M273">
        <v>5.37152194E-2</v>
      </c>
      <c r="N273">
        <v>5.3449221200000001E-2</v>
      </c>
      <c r="O273">
        <v>5.9116927499999999E-2</v>
      </c>
      <c r="P273">
        <v>6.4989366100000001E-2</v>
      </c>
      <c r="Q273">
        <v>7.1077832699999996E-2</v>
      </c>
      <c r="R273">
        <v>7.7394472699999994E-2</v>
      </c>
      <c r="S273">
        <v>8.3952357000000005E-2</v>
      </c>
      <c r="T273">
        <v>8.81391225E-2</v>
      </c>
      <c r="U273">
        <v>9.2354618099999994E-2</v>
      </c>
      <c r="V273">
        <v>9.6599140900000005E-2</v>
      </c>
      <c r="W273">
        <v>9.8516174299999995E-2</v>
      </c>
      <c r="X273">
        <v>0.1002272116</v>
      </c>
      <c r="Y273">
        <v>0.10586853459999999</v>
      </c>
      <c r="Z273">
        <v>0.1113674546</v>
      </c>
      <c r="AA273">
        <v>0.1167293009</v>
      </c>
      <c r="AB273">
        <v>0.1217142069</v>
      </c>
      <c r="AC273">
        <v>0.12657892130000001</v>
      </c>
      <c r="AD273">
        <v>0.14072423549999999</v>
      </c>
      <c r="AE273">
        <v>0.15453970249999999</v>
      </c>
      <c r="AF273">
        <v>0.1680367267</v>
      </c>
      <c r="AG273">
        <v>0.1804881287</v>
      </c>
      <c r="AH273">
        <v>0.1926599732</v>
      </c>
      <c r="AI273">
        <v>0.20455367099999999</v>
      </c>
      <c r="AJ273">
        <v>0.21615925220000001</v>
      </c>
      <c r="AK273">
        <v>0.2274870604</v>
      </c>
      <c r="AL273">
        <v>0.23793841700000001</v>
      </c>
      <c r="AM273">
        <v>0.24814729739999999</v>
      </c>
      <c r="AN273">
        <v>0.2610910622</v>
      </c>
      <c r="AO273">
        <v>0.2738175887</v>
      </c>
      <c r="AP273">
        <v>0.28633230030000001</v>
      </c>
      <c r="AQ273">
        <v>0.29864044159999997</v>
      </c>
      <c r="AR273">
        <v>0.31074708490000003</v>
      </c>
      <c r="AS273">
        <v>0.32349417860000002</v>
      </c>
      <c r="AT273">
        <v>0.3361152254</v>
      </c>
      <c r="AU273">
        <v>0.34861208570000002</v>
      </c>
      <c r="AV273">
        <v>0.36098658340000001</v>
      </c>
      <c r="AW273">
        <v>0.373240507</v>
      </c>
    </row>
    <row r="274" spans="2:49" x14ac:dyDescent="0.25">
      <c r="B274" t="s">
        <v>345</v>
      </c>
      <c r="C274">
        <v>1.85730666151211E-3</v>
      </c>
      <c r="D274">
        <v>1.85730666151211E-3</v>
      </c>
      <c r="E274">
        <v>1.8573066599999999E-3</v>
      </c>
      <c r="F274">
        <v>2.4629865699999998E-3</v>
      </c>
      <c r="G274">
        <v>3.2661827100000001E-3</v>
      </c>
      <c r="H274">
        <v>4.3313063600000003E-3</v>
      </c>
      <c r="I274">
        <v>5.7437739099999996E-3</v>
      </c>
      <c r="J274">
        <v>7.6168563600000003E-3</v>
      </c>
      <c r="K274">
        <v>1.0100763299999999E-2</v>
      </c>
      <c r="L274">
        <v>1.3394688700000001E-2</v>
      </c>
      <c r="M274">
        <v>1.7762784899999998E-2</v>
      </c>
      <c r="N274">
        <v>2.35553459E-2</v>
      </c>
      <c r="O274">
        <v>2.60531331E-2</v>
      </c>
      <c r="P274">
        <v>2.8641146900000001E-2</v>
      </c>
      <c r="Q274">
        <v>3.1324365399999998E-2</v>
      </c>
      <c r="R274">
        <v>3.4108141000000002E-2</v>
      </c>
      <c r="S274">
        <v>3.6998234200000001E-2</v>
      </c>
      <c r="T274">
        <v>3.8309503799999998E-2</v>
      </c>
      <c r="U274">
        <v>3.9629771500000001E-2</v>
      </c>
      <c r="V274">
        <v>4.0959130199999999E-2</v>
      </c>
      <c r="W274">
        <v>4.5104655600000002E-2</v>
      </c>
      <c r="X274">
        <v>4.8804667000000003E-2</v>
      </c>
      <c r="Y274">
        <v>5.7059620200000001E-2</v>
      </c>
      <c r="Z274">
        <v>6.5106200500000003E-2</v>
      </c>
      <c r="AA274">
        <v>7.2952201300000005E-2</v>
      </c>
      <c r="AB274">
        <v>8.0342860700000004E-2</v>
      </c>
      <c r="AC274">
        <v>8.7555323800000001E-2</v>
      </c>
      <c r="AD274">
        <v>9.5459329999999995E-2</v>
      </c>
      <c r="AE274">
        <v>0.1031790268</v>
      </c>
      <c r="AF274">
        <v>0.1107207866</v>
      </c>
      <c r="AG274">
        <v>0.1175910845</v>
      </c>
      <c r="AH274">
        <v>0.1243071311</v>
      </c>
      <c r="AI274">
        <v>0.12893509310000001</v>
      </c>
      <c r="AJ274">
        <v>0.13345094590000001</v>
      </c>
      <c r="AK274">
        <v>0.13785871429999999</v>
      </c>
      <c r="AL274">
        <v>0.1419413665</v>
      </c>
      <c r="AM274">
        <v>0.1459292992</v>
      </c>
      <c r="AN274">
        <v>0.15162442779999999</v>
      </c>
      <c r="AO274">
        <v>0.15722397369999999</v>
      </c>
      <c r="AP274">
        <v>0.16273032309999999</v>
      </c>
      <c r="AQ274">
        <v>0.16814578359999999</v>
      </c>
      <c r="AR274">
        <v>0.17347258709999999</v>
      </c>
      <c r="AS274">
        <v>0.17767761939999999</v>
      </c>
      <c r="AT274">
        <v>0.18184107120000001</v>
      </c>
      <c r="AU274">
        <v>0.18596355610000001</v>
      </c>
      <c r="AV274">
        <v>0.19004567589999999</v>
      </c>
      <c r="AW274">
        <v>0.19408802050000001</v>
      </c>
    </row>
    <row r="275" spans="2:49" x14ac:dyDescent="0.25">
      <c r="B275" t="s">
        <v>346</v>
      </c>
      <c r="C275">
        <v>9.2848272947954696E-2</v>
      </c>
      <c r="D275">
        <v>9.2848272947954599E-2</v>
      </c>
      <c r="E275">
        <v>9.2848272900000001E-2</v>
      </c>
      <c r="F275">
        <v>8.9289128499999995E-2</v>
      </c>
      <c r="G275">
        <v>8.5866417400000006E-2</v>
      </c>
      <c r="H275">
        <v>8.25749078E-2</v>
      </c>
      <c r="I275">
        <v>7.9409572299999995E-2</v>
      </c>
      <c r="J275">
        <v>7.6365572699999995E-2</v>
      </c>
      <c r="K275">
        <v>7.3438258500000006E-2</v>
      </c>
      <c r="L275">
        <v>7.0623156899999998E-2</v>
      </c>
      <c r="M275">
        <v>6.7915966199999997E-2</v>
      </c>
      <c r="N275">
        <v>6.5312549999999997E-2</v>
      </c>
      <c r="O275">
        <v>7.2238232799999996E-2</v>
      </c>
      <c r="P275">
        <v>7.9414089199999996E-2</v>
      </c>
      <c r="Q275">
        <v>8.6853922200000003E-2</v>
      </c>
      <c r="R275">
        <v>9.4572572800000004E-2</v>
      </c>
      <c r="S275">
        <v>0.1025860131</v>
      </c>
      <c r="T275">
        <v>0.10719493450000001</v>
      </c>
      <c r="U275">
        <v>0.11183548290000001</v>
      </c>
      <c r="V275">
        <v>0.1165079852</v>
      </c>
      <c r="W275">
        <v>0.11142254109999999</v>
      </c>
      <c r="X275">
        <v>0.10688367629999999</v>
      </c>
      <c r="Y275">
        <v>0.1056657614</v>
      </c>
      <c r="Z275">
        <v>0.10447858309999999</v>
      </c>
      <c r="AA275">
        <v>0.103320997</v>
      </c>
      <c r="AB275">
        <v>0.1021183978</v>
      </c>
      <c r="AC275">
        <v>0.1009447936</v>
      </c>
      <c r="AD275">
        <v>0.1008564004</v>
      </c>
      <c r="AE275">
        <v>0.1007700683</v>
      </c>
      <c r="AF275">
        <v>0.10068572620000001</v>
      </c>
      <c r="AG275">
        <v>0.10008070970000001</v>
      </c>
      <c r="AH275">
        <v>9.9489276900000007E-2</v>
      </c>
      <c r="AI275">
        <v>9.7538915500000004E-2</v>
      </c>
      <c r="AJ275">
        <v>9.5635800300000004E-2</v>
      </c>
      <c r="AK275">
        <v>9.3778234799999999E-2</v>
      </c>
      <c r="AL275">
        <v>9.2106687100000001E-2</v>
      </c>
      <c r="AM275">
        <v>9.0473919700000002E-2</v>
      </c>
      <c r="AN275">
        <v>9.0195801699999995E-2</v>
      </c>
      <c r="AO275">
        <v>8.9922351400000003E-2</v>
      </c>
      <c r="AP275">
        <v>8.9653452300000006E-2</v>
      </c>
      <c r="AQ275">
        <v>8.9388991799999998E-2</v>
      </c>
      <c r="AR275">
        <v>8.9128860700000007E-2</v>
      </c>
      <c r="AS275">
        <v>8.8476668300000005E-2</v>
      </c>
      <c r="AT275">
        <v>8.7830925000000004E-2</v>
      </c>
      <c r="AU275">
        <v>8.7191535599999995E-2</v>
      </c>
      <c r="AV275">
        <v>8.6558406700000007E-2</v>
      </c>
      <c r="AW275">
        <v>8.59314469E-2</v>
      </c>
    </row>
    <row r="276" spans="2:49" x14ac:dyDescent="0.25">
      <c r="B276" t="s">
        <v>347</v>
      </c>
      <c r="C276">
        <v>6.0146533669896496E-3</v>
      </c>
      <c r="D276">
        <v>6.0146533669896496E-3</v>
      </c>
      <c r="E276">
        <v>6.0146533700000003E-3</v>
      </c>
      <c r="F276">
        <v>6.7202666000000001E-3</v>
      </c>
      <c r="G276">
        <v>7.5086594100000001E-3</v>
      </c>
      <c r="H276">
        <v>8.3895429900000002E-3</v>
      </c>
      <c r="I276">
        <v>9.3737681600000004E-3</v>
      </c>
      <c r="J276">
        <v>1.04734583E-2</v>
      </c>
      <c r="K276">
        <v>1.17021594E-2</v>
      </c>
      <c r="L276">
        <v>1.30750064E-2</v>
      </c>
      <c r="M276">
        <v>1.4608909999999999E-2</v>
      </c>
      <c r="N276">
        <v>1.63227645E-2</v>
      </c>
      <c r="O276">
        <v>1.55556345E-2</v>
      </c>
      <c r="P276">
        <v>1.4760794000000001E-2</v>
      </c>
      <c r="Q276">
        <v>1.3936713599999999E-2</v>
      </c>
      <c r="R276">
        <v>1.30817498E-2</v>
      </c>
      <c r="S276">
        <v>1.21941333E-2</v>
      </c>
      <c r="T276">
        <v>1.28131462E-2</v>
      </c>
      <c r="U276">
        <v>1.34364068E-2</v>
      </c>
      <c r="V276">
        <v>1.4063958999999999E-2</v>
      </c>
      <c r="W276">
        <v>1.5870583000000001E-2</v>
      </c>
      <c r="X276">
        <v>1.7483050300000001E-2</v>
      </c>
      <c r="Y276">
        <v>1.6895669200000001E-2</v>
      </c>
      <c r="Z276">
        <v>1.63231138E-2</v>
      </c>
      <c r="AA276">
        <v>1.57648305E-2</v>
      </c>
      <c r="AB276">
        <v>1.5207251E-2</v>
      </c>
      <c r="AC276">
        <v>1.46631152E-2</v>
      </c>
      <c r="AD276">
        <v>1.51465873E-2</v>
      </c>
      <c r="AE276">
        <v>1.5618785499999999E-2</v>
      </c>
      <c r="AF276">
        <v>1.6080099699999999E-2</v>
      </c>
      <c r="AG276">
        <v>1.6495656099999999E-2</v>
      </c>
      <c r="AH276">
        <v>1.69018825E-2</v>
      </c>
      <c r="AI276">
        <v>1.75917225E-2</v>
      </c>
      <c r="AJ276">
        <v>1.82648516E-2</v>
      </c>
      <c r="AK276">
        <v>1.89218697E-2</v>
      </c>
      <c r="AL276">
        <v>1.9536448800000002E-2</v>
      </c>
      <c r="AM276">
        <v>2.0136769299999999E-2</v>
      </c>
      <c r="AN276">
        <v>2.0152765100000001E-2</v>
      </c>
      <c r="AO276">
        <v>2.0168492499999999E-2</v>
      </c>
      <c r="AP276">
        <v>2.01839581E-2</v>
      </c>
      <c r="AQ276">
        <v>2.0199168399999998E-2</v>
      </c>
      <c r="AR276">
        <v>2.02141297E-2</v>
      </c>
      <c r="AS276">
        <v>2.02944449E-2</v>
      </c>
      <c r="AT276">
        <v>2.0373966E-2</v>
      </c>
      <c r="AU276">
        <v>2.0452704499999998E-2</v>
      </c>
      <c r="AV276">
        <v>2.0530672100000001E-2</v>
      </c>
      <c r="AW276">
        <v>2.0607879999999999E-2</v>
      </c>
    </row>
    <row r="277" spans="2:49" x14ac:dyDescent="0.25">
      <c r="B277" t="s">
        <v>348</v>
      </c>
      <c r="C277">
        <v>0.92287069498865704</v>
      </c>
      <c r="D277">
        <v>0.92287069498865704</v>
      </c>
      <c r="E277">
        <v>0.9228647405</v>
      </c>
      <c r="F277">
        <v>0.8964114675</v>
      </c>
      <c r="G277">
        <v>0.87092037860000004</v>
      </c>
      <c r="H277">
        <v>0.84580744340000003</v>
      </c>
      <c r="I277">
        <v>0.8218180987</v>
      </c>
      <c r="J277">
        <v>0.79860837750000002</v>
      </c>
      <c r="K277">
        <v>0.7761401295</v>
      </c>
      <c r="L277">
        <v>0.75431913930000005</v>
      </c>
      <c r="M277">
        <v>0.7329784493</v>
      </c>
      <c r="N277">
        <v>0.71231245219999995</v>
      </c>
      <c r="O277">
        <v>0.70970050500000004</v>
      </c>
      <c r="P277">
        <v>0.70754514339999997</v>
      </c>
      <c r="Q277">
        <v>0.70574167089999995</v>
      </c>
      <c r="R277">
        <v>0.70401744529999999</v>
      </c>
      <c r="S277">
        <v>0.70175529510000001</v>
      </c>
      <c r="T277">
        <v>0.67581461870000004</v>
      </c>
      <c r="U277">
        <v>0.6493574124</v>
      </c>
      <c r="V277">
        <v>0.61556818700000004</v>
      </c>
      <c r="W277">
        <v>0.61181436379999998</v>
      </c>
      <c r="X277">
        <v>0.60065641989999996</v>
      </c>
      <c r="Y277">
        <v>0.57745702570000002</v>
      </c>
      <c r="Z277">
        <v>0.55473881410000003</v>
      </c>
      <c r="AA277">
        <v>0.53255777640000002</v>
      </c>
      <c r="AB277">
        <v>0.51196200579999995</v>
      </c>
      <c r="AC277">
        <v>0.49177666679999998</v>
      </c>
      <c r="AD277">
        <v>0.44843368579999998</v>
      </c>
      <c r="AE277">
        <v>0.40634341309999999</v>
      </c>
      <c r="AF277">
        <v>0.3654505026</v>
      </c>
      <c r="AG277">
        <v>0.34358893709999999</v>
      </c>
      <c r="AH277">
        <v>0.32238971309999997</v>
      </c>
      <c r="AI277">
        <v>0.30067830070000001</v>
      </c>
      <c r="AJ277">
        <v>0.27964594120000003</v>
      </c>
      <c r="AK277">
        <v>0.25925723740000001</v>
      </c>
      <c r="AL277">
        <v>0.2929381747</v>
      </c>
      <c r="AM277">
        <v>0.32558330060000001</v>
      </c>
      <c r="AN277">
        <v>0.29112102909999998</v>
      </c>
      <c r="AO277">
        <v>0.25761855099999997</v>
      </c>
      <c r="AP277">
        <v>0.22504894889999999</v>
      </c>
      <c r="AQ277">
        <v>0.19334948499999999</v>
      </c>
      <c r="AR277">
        <v>0.16246710049999999</v>
      </c>
      <c r="AS277">
        <v>0.17754460359999999</v>
      </c>
      <c r="AT277">
        <v>0.192244526</v>
      </c>
      <c r="AU277">
        <v>0.20664995350000001</v>
      </c>
      <c r="AV277">
        <v>0.2207084832</v>
      </c>
      <c r="AW277">
        <v>0.234448184</v>
      </c>
    </row>
    <row r="278" spans="2:49" x14ac:dyDescent="0.25">
      <c r="B278" t="s">
        <v>349</v>
      </c>
      <c r="C278">
        <v>4.1245617653124303E-2</v>
      </c>
      <c r="D278">
        <v>4.1245617653124303E-2</v>
      </c>
      <c r="E278">
        <v>4.12488045E-2</v>
      </c>
      <c r="F278">
        <v>6.5750538900000002E-2</v>
      </c>
      <c r="G278">
        <v>8.8506881100000004E-2</v>
      </c>
      <c r="H278">
        <v>0.10970377940000001</v>
      </c>
      <c r="I278">
        <v>0.1285461614</v>
      </c>
      <c r="J278">
        <v>0.1449193436</v>
      </c>
      <c r="K278">
        <v>0.1584005996</v>
      </c>
      <c r="L278">
        <v>0.16847789220000001</v>
      </c>
      <c r="M278">
        <v>0.17451492260000001</v>
      </c>
      <c r="N278">
        <v>0.17541714429999999</v>
      </c>
      <c r="O278">
        <v>0.1773087663</v>
      </c>
      <c r="P278">
        <v>0.17892006069999999</v>
      </c>
      <c r="Q278">
        <v>0.18031387369999999</v>
      </c>
      <c r="R278">
        <v>0.18165655980000001</v>
      </c>
      <c r="S278">
        <v>0.18332734270000001</v>
      </c>
      <c r="T278">
        <v>0.18807931510000001</v>
      </c>
      <c r="U278">
        <v>0.19290072259999999</v>
      </c>
      <c r="V278">
        <v>0.20352953460000001</v>
      </c>
      <c r="W278">
        <v>0.19740781669999999</v>
      </c>
      <c r="X278">
        <v>0.19759869450000001</v>
      </c>
      <c r="Y278">
        <v>0.1997750801</v>
      </c>
      <c r="Z278">
        <v>0.201914385</v>
      </c>
      <c r="AA278">
        <v>0.20404088500000001</v>
      </c>
      <c r="AB278">
        <v>0.20668722610000001</v>
      </c>
      <c r="AC278">
        <v>0.2094903028</v>
      </c>
      <c r="AD278">
        <v>0.22501537360000001</v>
      </c>
      <c r="AE278">
        <v>0.2401751879</v>
      </c>
      <c r="AF278">
        <v>0.25497158910000001</v>
      </c>
      <c r="AG278">
        <v>0.25875359219999999</v>
      </c>
      <c r="AH278">
        <v>0.26247425099999999</v>
      </c>
      <c r="AI278">
        <v>0.2663805836</v>
      </c>
      <c r="AJ278">
        <v>0.27013072199999999</v>
      </c>
      <c r="AK278">
        <v>0.27379030469999999</v>
      </c>
      <c r="AL278">
        <v>0.2441166363</v>
      </c>
      <c r="AM278">
        <v>0.21531029630000001</v>
      </c>
      <c r="AN278">
        <v>0.2326819631</v>
      </c>
      <c r="AO278">
        <v>0.24961816110000001</v>
      </c>
      <c r="AP278">
        <v>0.26611392309999998</v>
      </c>
      <c r="AQ278">
        <v>0.28211005569999997</v>
      </c>
      <c r="AR278">
        <v>0.29764713469999998</v>
      </c>
      <c r="AS278">
        <v>0.28275042459999999</v>
      </c>
      <c r="AT278">
        <v>0.26816394560000001</v>
      </c>
      <c r="AU278">
        <v>0.25399264529999999</v>
      </c>
      <c r="AV278">
        <v>0.2400959375</v>
      </c>
      <c r="AW278">
        <v>0.2264801652</v>
      </c>
    </row>
    <row r="279" spans="2:49" x14ac:dyDescent="0.25">
      <c r="B279" t="s">
        <v>350</v>
      </c>
      <c r="C279">
        <v>5.1557022066405396E-3</v>
      </c>
      <c r="D279">
        <v>5.1557022066405396E-3</v>
      </c>
      <c r="E279">
        <v>5.1561005599999998E-3</v>
      </c>
      <c r="F279">
        <v>4.8516323600000001E-3</v>
      </c>
      <c r="G279">
        <v>4.5583763399999998E-3</v>
      </c>
      <c r="H279">
        <v>4.2951907800000003E-3</v>
      </c>
      <c r="I279">
        <v>4.03662486E-3</v>
      </c>
      <c r="J279">
        <v>3.7932775199999999E-3</v>
      </c>
      <c r="K279">
        <v>3.5646068099999999E-3</v>
      </c>
      <c r="L279">
        <v>3.3506981900000002E-3</v>
      </c>
      <c r="M279">
        <v>3.15203523E-3</v>
      </c>
      <c r="N279">
        <v>2.9647108199999999E-3</v>
      </c>
      <c r="O279">
        <v>4.4488937900000001E-3</v>
      </c>
      <c r="P279">
        <v>5.9190050099999997E-3</v>
      </c>
      <c r="Q279">
        <v>7.3712288799999996E-3</v>
      </c>
      <c r="R279">
        <v>8.8089867900000007E-3</v>
      </c>
      <c r="S279">
        <v>1.02527699E-2</v>
      </c>
      <c r="T279">
        <v>1.5957639799999999E-2</v>
      </c>
      <c r="U279">
        <v>2.1786933200000001E-2</v>
      </c>
      <c r="V279">
        <v>2.8073414599999999E-2</v>
      </c>
      <c r="W279">
        <v>3.0484839199999999E-2</v>
      </c>
      <c r="X279">
        <v>3.3088574900000001E-2</v>
      </c>
      <c r="Y279">
        <v>4.3227877499999998E-2</v>
      </c>
      <c r="Z279">
        <v>5.31756834E-2</v>
      </c>
      <c r="AA279">
        <v>6.2905834300000005E-2</v>
      </c>
      <c r="AB279">
        <v>7.0968769400000006E-2</v>
      </c>
      <c r="AC279">
        <v>7.8795198799999897E-2</v>
      </c>
      <c r="AD279">
        <v>9.3242476699999896E-2</v>
      </c>
      <c r="AE279">
        <v>0.1072411758</v>
      </c>
      <c r="AF279">
        <v>0.1208097204</v>
      </c>
      <c r="AG279">
        <v>0.13125315700000001</v>
      </c>
      <c r="AH279">
        <v>0.1413595963</v>
      </c>
      <c r="AI279">
        <v>0.1536859733</v>
      </c>
      <c r="AJ279">
        <v>0.16564959849999999</v>
      </c>
      <c r="AK279">
        <v>0.1772396141</v>
      </c>
      <c r="AL279">
        <v>0.1826155901</v>
      </c>
      <c r="AM279">
        <v>0.18785026630000001</v>
      </c>
      <c r="AN279">
        <v>0.1968434483</v>
      </c>
      <c r="AO279">
        <v>0.20556307800000001</v>
      </c>
      <c r="AP279">
        <v>0.21402594259999999</v>
      </c>
      <c r="AQ279">
        <v>0.2222986736</v>
      </c>
      <c r="AR279">
        <v>0.2303866816</v>
      </c>
      <c r="AS279">
        <v>0.23680263800000001</v>
      </c>
      <c r="AT279">
        <v>0.24309148350000001</v>
      </c>
      <c r="AU279">
        <v>0.2491503903</v>
      </c>
      <c r="AV279">
        <v>0.25509947449999998</v>
      </c>
      <c r="AW279">
        <v>0.26092650649999999</v>
      </c>
    </row>
    <row r="280" spans="2:49" x14ac:dyDescent="0.25">
      <c r="B280" t="s">
        <v>351</v>
      </c>
      <c r="C280">
        <v>1.5260878531656001E-2</v>
      </c>
      <c r="D280">
        <v>1.5260878531656001E-2</v>
      </c>
      <c r="E280">
        <v>1.52620577E-2</v>
      </c>
      <c r="F280">
        <v>1.4653497600000001E-2</v>
      </c>
      <c r="G280">
        <v>1.4048349200000001E-2</v>
      </c>
      <c r="H280">
        <v>1.35070118E-2</v>
      </c>
      <c r="I280">
        <v>1.2952598799999999E-2</v>
      </c>
      <c r="J280">
        <v>1.24198069E-2</v>
      </c>
      <c r="K280">
        <v>1.1908952400000001E-2</v>
      </c>
      <c r="L280">
        <v>1.14224415E-2</v>
      </c>
      <c r="M280">
        <v>1.09641861E-2</v>
      </c>
      <c r="N280">
        <v>1.0522752999999999E-2</v>
      </c>
      <c r="O280">
        <v>1.54119887E-2</v>
      </c>
      <c r="P280">
        <v>2.0253712699999999E-2</v>
      </c>
      <c r="Q280">
        <v>2.5035653800000002E-2</v>
      </c>
      <c r="R280">
        <v>2.9769796599999999E-2</v>
      </c>
      <c r="S280">
        <v>3.4525199999999999E-2</v>
      </c>
      <c r="T280">
        <v>3.5947857200000002E-2</v>
      </c>
      <c r="U280">
        <v>3.73952865E-2</v>
      </c>
      <c r="V280">
        <v>3.9041114600000003E-2</v>
      </c>
      <c r="W280">
        <v>3.3381123700000001E-2</v>
      </c>
      <c r="X280">
        <v>2.9052207300000001E-2</v>
      </c>
      <c r="Y280">
        <v>2.9984275099999999E-2</v>
      </c>
      <c r="Z280">
        <v>3.08923675E-2</v>
      </c>
      <c r="AA280">
        <v>3.1771648600000001E-2</v>
      </c>
      <c r="AB280">
        <v>3.2362475199999997E-2</v>
      </c>
      <c r="AC280">
        <v>3.2938148399999999E-2</v>
      </c>
      <c r="AD280">
        <v>3.4201159000000002E-2</v>
      </c>
      <c r="AE280">
        <v>3.54262251E-2</v>
      </c>
      <c r="AF280">
        <v>3.6616821700000003E-2</v>
      </c>
      <c r="AG280">
        <v>3.6569916000000001E-2</v>
      </c>
      <c r="AH280">
        <v>3.6523555899999997E-2</v>
      </c>
      <c r="AI280">
        <v>3.6850569999999999E-2</v>
      </c>
      <c r="AJ280">
        <v>3.71661405E-2</v>
      </c>
      <c r="AK280">
        <v>3.7471675400000001E-2</v>
      </c>
      <c r="AL280">
        <v>3.4233771500000003E-2</v>
      </c>
      <c r="AM280">
        <v>3.109464E-2</v>
      </c>
      <c r="AN280">
        <v>3.2561780300000003E-2</v>
      </c>
      <c r="AO280">
        <v>3.3988868300000002E-2</v>
      </c>
      <c r="AP280">
        <v>3.53766545E-2</v>
      </c>
      <c r="AQ280">
        <v>3.6725646200000003E-2</v>
      </c>
      <c r="AR280">
        <v>3.8038504899999999E-2</v>
      </c>
      <c r="AS280">
        <v>3.6283648100000003E-2</v>
      </c>
      <c r="AT280">
        <v>3.4571633900000003E-2</v>
      </c>
      <c r="AU280">
        <v>3.29023934E-2</v>
      </c>
      <c r="AV280">
        <v>3.1272101900000002E-2</v>
      </c>
      <c r="AW280">
        <v>2.9679076400000001E-2</v>
      </c>
    </row>
    <row r="281" spans="2:49" x14ac:dyDescent="0.25">
      <c r="B281" t="s">
        <v>352</v>
      </c>
      <c r="C281">
        <v>5.1557022066405396E-3</v>
      </c>
      <c r="D281">
        <v>5.1557022066405396E-3</v>
      </c>
      <c r="E281">
        <v>5.1561005599999998E-3</v>
      </c>
      <c r="F281">
        <v>5.1463003399999999E-3</v>
      </c>
      <c r="G281">
        <v>5.1289051299999999E-3</v>
      </c>
      <c r="H281">
        <v>5.12630204E-3</v>
      </c>
      <c r="I281">
        <v>5.1103114200000003E-3</v>
      </c>
      <c r="J281">
        <v>5.0939049600000003E-3</v>
      </c>
      <c r="K281">
        <v>5.0775603800000003E-3</v>
      </c>
      <c r="L281">
        <v>5.0627446100000003E-3</v>
      </c>
      <c r="M281">
        <v>5.0518333499999998E-3</v>
      </c>
      <c r="N281">
        <v>5.0401972700000004E-3</v>
      </c>
      <c r="O281">
        <v>5.8453866100000003E-3</v>
      </c>
      <c r="P281">
        <v>6.6376954599999998E-3</v>
      </c>
      <c r="Q281">
        <v>7.4164076000000001E-3</v>
      </c>
      <c r="R281">
        <v>8.1866181600000008E-3</v>
      </c>
      <c r="S281">
        <v>8.9665040299999905E-3</v>
      </c>
      <c r="T281">
        <v>1.0662957900000001E-2</v>
      </c>
      <c r="U281">
        <v>1.23952536E-2</v>
      </c>
      <c r="V281">
        <v>1.47465646E-2</v>
      </c>
      <c r="W281">
        <v>1.41833793E-2</v>
      </c>
      <c r="X281">
        <v>1.4368626299999999E-2</v>
      </c>
      <c r="Y281">
        <v>1.55746815E-2</v>
      </c>
      <c r="Z281">
        <v>1.67613681E-2</v>
      </c>
      <c r="AA281">
        <v>1.7930213E-2</v>
      </c>
      <c r="AB281">
        <v>1.91739189E-2</v>
      </c>
      <c r="AC281">
        <v>2.04081555E-2</v>
      </c>
      <c r="AD281">
        <v>2.38480007E-2</v>
      </c>
      <c r="AE281">
        <v>2.7194438599999999E-2</v>
      </c>
      <c r="AF281">
        <v>3.04487391E-2</v>
      </c>
      <c r="AG281">
        <v>3.2311473600000001E-2</v>
      </c>
      <c r="AH281">
        <v>3.4121378000000001E-2</v>
      </c>
      <c r="AI281">
        <v>3.5001428899999999E-2</v>
      </c>
      <c r="AJ281">
        <v>3.58522701E-2</v>
      </c>
      <c r="AK281">
        <v>3.6678290299999999E-2</v>
      </c>
      <c r="AL281">
        <v>3.3237551800000001E-2</v>
      </c>
      <c r="AM281">
        <v>2.9900258799999999E-2</v>
      </c>
      <c r="AN281">
        <v>3.24078883E-2</v>
      </c>
      <c r="AO281">
        <v>3.48491727E-2</v>
      </c>
      <c r="AP281">
        <v>3.7224925200000002E-2</v>
      </c>
      <c r="AQ281">
        <v>3.9534615500000002E-2</v>
      </c>
      <c r="AR281">
        <v>4.1782713700000002E-2</v>
      </c>
      <c r="AS281">
        <v>4.0072145000000003E-2</v>
      </c>
      <c r="AT281">
        <v>3.8401881999999998E-2</v>
      </c>
      <c r="AU281">
        <v>3.6774052199999997E-2</v>
      </c>
      <c r="AV281">
        <v>3.5182686900000003E-2</v>
      </c>
      <c r="AW281">
        <v>3.3626601300000003E-2</v>
      </c>
    </row>
    <row r="282" spans="2:49" x14ac:dyDescent="0.25">
      <c r="B282" t="s">
        <v>353</v>
      </c>
      <c r="C282">
        <v>1.0311404413280999E-2</v>
      </c>
      <c r="D282">
        <v>1.0311404413280999E-2</v>
      </c>
      <c r="E282">
        <v>1.03122011E-2</v>
      </c>
      <c r="F282">
        <v>1.3186568799999999E-2</v>
      </c>
      <c r="G282">
        <v>1.6837128400000002E-2</v>
      </c>
      <c r="H282">
        <v>2.15602716E-2</v>
      </c>
      <c r="I282">
        <v>2.75362049E-2</v>
      </c>
      <c r="J282">
        <v>3.5165292700000003E-2</v>
      </c>
      <c r="K282">
        <v>4.4908151200000003E-2</v>
      </c>
      <c r="L282">
        <v>5.7367084700000001E-2</v>
      </c>
      <c r="M282">
        <v>7.3338573200000007E-2</v>
      </c>
      <c r="N282">
        <v>9.3742742800000001E-2</v>
      </c>
      <c r="O282">
        <v>8.7284459199999997E-2</v>
      </c>
      <c r="P282">
        <v>8.0724376200000003E-2</v>
      </c>
      <c r="Q282">
        <v>7.4121166299999999E-2</v>
      </c>
      <c r="R282">
        <v>6.7560592799999999E-2</v>
      </c>
      <c r="S282">
        <v>6.1172884499999997E-2</v>
      </c>
      <c r="T282">
        <v>7.3537611200000005E-2</v>
      </c>
      <c r="U282">
        <v>8.6164390800000004E-2</v>
      </c>
      <c r="V282">
        <v>9.9041182000000005E-2</v>
      </c>
      <c r="W282">
        <v>0.1127284561</v>
      </c>
      <c r="X282">
        <v>0.1252354799</v>
      </c>
      <c r="Y282">
        <v>0.1339810615</v>
      </c>
      <c r="Z282">
        <v>0.14251738019999999</v>
      </c>
      <c r="AA282">
        <v>0.1507936382</v>
      </c>
      <c r="AB282">
        <v>0.1588456037</v>
      </c>
      <c r="AC282">
        <v>0.1665915268</v>
      </c>
      <c r="AD282">
        <v>0.1752593039</v>
      </c>
      <c r="AE282">
        <v>0.18361955939999999</v>
      </c>
      <c r="AF282">
        <v>0.19170262690000001</v>
      </c>
      <c r="AG282">
        <v>0.19752292399999999</v>
      </c>
      <c r="AH282">
        <v>0.20313150569999999</v>
      </c>
      <c r="AI282">
        <v>0.20740314409999999</v>
      </c>
      <c r="AJ282">
        <v>0.21155532990000001</v>
      </c>
      <c r="AK282">
        <v>0.2155628886</v>
      </c>
      <c r="AL282">
        <v>0.2128582755</v>
      </c>
      <c r="AM282">
        <v>0.21026123820000001</v>
      </c>
      <c r="AN282">
        <v>0.21438389090000001</v>
      </c>
      <c r="AO282">
        <v>0.21836216889999999</v>
      </c>
      <c r="AP282">
        <v>0.22220960549999999</v>
      </c>
      <c r="AQ282">
        <v>0.22598152399999999</v>
      </c>
      <c r="AR282">
        <v>0.2296778646</v>
      </c>
      <c r="AS282">
        <v>0.22654654069999999</v>
      </c>
      <c r="AT282">
        <v>0.22352652880000001</v>
      </c>
      <c r="AU282">
        <v>0.2205305652</v>
      </c>
      <c r="AV282">
        <v>0.217641316</v>
      </c>
      <c r="AW282">
        <v>0.21483946649999999</v>
      </c>
    </row>
    <row r="283" spans="2:49" x14ac:dyDescent="0.25">
      <c r="B283" t="s">
        <v>354</v>
      </c>
      <c r="C283">
        <v>0.99132434052165697</v>
      </c>
      <c r="D283">
        <v>0.99132434052165697</v>
      </c>
      <c r="E283">
        <v>0.99172610110000003</v>
      </c>
      <c r="F283">
        <v>0.98765502360000001</v>
      </c>
      <c r="G283">
        <v>0.98360065809999997</v>
      </c>
      <c r="H283">
        <v>0.97956293589999999</v>
      </c>
      <c r="I283">
        <v>0.97554178869999997</v>
      </c>
      <c r="J283">
        <v>0.97153714849999995</v>
      </c>
      <c r="K283">
        <v>0.96754894749999998</v>
      </c>
      <c r="L283">
        <v>0.96357711820000003</v>
      </c>
      <c r="M283">
        <v>0.95962159349999998</v>
      </c>
      <c r="N283">
        <v>0.95568230639999996</v>
      </c>
      <c r="O283">
        <v>0.95496918220000004</v>
      </c>
      <c r="P283">
        <v>0.95421073860000005</v>
      </c>
      <c r="Q283">
        <v>0.95340251369999995</v>
      </c>
      <c r="R283">
        <v>0.95253944010000002</v>
      </c>
      <c r="S283">
        <v>0.95161573820000001</v>
      </c>
      <c r="T283">
        <v>0.94906485620000003</v>
      </c>
      <c r="U283">
        <v>0.94659676530000003</v>
      </c>
      <c r="V283">
        <v>0.93767809160000004</v>
      </c>
      <c r="W283">
        <v>0.92466762309999995</v>
      </c>
      <c r="X283">
        <v>0.91088294849999996</v>
      </c>
      <c r="Y283">
        <v>0.90047717090000001</v>
      </c>
      <c r="Z283">
        <v>0.88949646530000004</v>
      </c>
      <c r="AA283">
        <v>0.87789592220000001</v>
      </c>
      <c r="AB283">
        <v>0.86556163220000004</v>
      </c>
      <c r="AC283">
        <v>0.85242798460000002</v>
      </c>
      <c r="AD283">
        <v>0.82604654300000002</v>
      </c>
      <c r="AE283">
        <v>0.79787418529999998</v>
      </c>
      <c r="AF283">
        <v>0.76766088300000002</v>
      </c>
      <c r="AG283">
        <v>0.73548239599999998</v>
      </c>
      <c r="AH283">
        <v>0.70079617220000001</v>
      </c>
      <c r="AI283">
        <v>0.66105690289999997</v>
      </c>
      <c r="AJ283">
        <v>0.61792697590000001</v>
      </c>
      <c r="AK283">
        <v>0.57070214649999995</v>
      </c>
      <c r="AL283">
        <v>0.5200761934</v>
      </c>
      <c r="AM283">
        <v>0.46375235510000001</v>
      </c>
      <c r="AN283">
        <v>0.43219983179999999</v>
      </c>
      <c r="AO283">
        <v>0.39827133279999999</v>
      </c>
      <c r="AP283">
        <v>0.3612962482</v>
      </c>
      <c r="AQ283">
        <v>0.3208037587</v>
      </c>
      <c r="AR283">
        <v>0.27581016670000003</v>
      </c>
      <c r="AS283">
        <v>0.26386650439999998</v>
      </c>
      <c r="AT283">
        <v>0.25153556310000003</v>
      </c>
      <c r="AU283">
        <v>0.2387869966</v>
      </c>
      <c r="AV283">
        <v>0.2255192449</v>
      </c>
      <c r="AW283">
        <v>0.21164782039999999</v>
      </c>
    </row>
    <row r="284" spans="2:49" x14ac:dyDescent="0.25">
      <c r="B284" t="s">
        <v>355</v>
      </c>
      <c r="C284">
        <v>0.91950930808135101</v>
      </c>
      <c r="D284">
        <v>0.91950930808135101</v>
      </c>
      <c r="E284">
        <v>0.91950930809999998</v>
      </c>
      <c r="F284">
        <v>0.89194960639999998</v>
      </c>
      <c r="G284">
        <v>0.8652159291</v>
      </c>
      <c r="H284">
        <v>0.83928351850000005</v>
      </c>
      <c r="I284">
        <v>0.81412835890000002</v>
      </c>
      <c r="J284">
        <v>0.78972715429999996</v>
      </c>
      <c r="K284">
        <v>0.76605730719999998</v>
      </c>
      <c r="L284">
        <v>0.74309689700000003</v>
      </c>
      <c r="M284">
        <v>0.72082466040000004</v>
      </c>
      <c r="N284">
        <v>0.69921997140000003</v>
      </c>
      <c r="O284">
        <v>0.69624978999999998</v>
      </c>
      <c r="P284">
        <v>0.69328496819999996</v>
      </c>
      <c r="Q284">
        <v>0.69032549160000001</v>
      </c>
      <c r="R284">
        <v>0.68737134560000002</v>
      </c>
      <c r="S284">
        <v>0.68442251590000003</v>
      </c>
      <c r="T284">
        <v>0.65674744659999995</v>
      </c>
      <c r="U284">
        <v>0.62841022120000001</v>
      </c>
      <c r="V284">
        <v>0.59230765279999997</v>
      </c>
      <c r="W284">
        <v>0.58852143629999998</v>
      </c>
      <c r="X284">
        <v>0.57681844920000003</v>
      </c>
      <c r="Y284">
        <v>0.55219824719999999</v>
      </c>
      <c r="Z284">
        <v>0.52790760889999999</v>
      </c>
      <c r="AA284">
        <v>0.50387189909999996</v>
      </c>
      <c r="AB284">
        <v>0.48095275879999999</v>
      </c>
      <c r="AC284">
        <v>0.4581692684</v>
      </c>
      <c r="AD284">
        <v>0.41117657169999999</v>
      </c>
      <c r="AE284">
        <v>0.36530563719999998</v>
      </c>
      <c r="AF284">
        <v>0.32056920049999998</v>
      </c>
      <c r="AG284">
        <v>0.29606446310000001</v>
      </c>
      <c r="AH284">
        <v>0.2721547373</v>
      </c>
      <c r="AI284">
        <v>0.2476872316</v>
      </c>
      <c r="AJ284">
        <v>0.2239070229</v>
      </c>
      <c r="AK284">
        <v>0.2007442482</v>
      </c>
      <c r="AL284">
        <v>0.2356542462</v>
      </c>
      <c r="AM284">
        <v>0.26964443580000003</v>
      </c>
      <c r="AN284">
        <v>0.2312276815</v>
      </c>
      <c r="AO284">
        <v>0.19369058489999999</v>
      </c>
      <c r="AP284">
        <v>0.15702135210000001</v>
      </c>
      <c r="AQ284">
        <v>0.12122671459999999</v>
      </c>
      <c r="AR284">
        <v>8.6254622700000005E-2</v>
      </c>
      <c r="AS284">
        <v>0.1008857962</v>
      </c>
      <c r="AT284">
        <v>0.11521408399999999</v>
      </c>
      <c r="AU284">
        <v>0.12920673869999999</v>
      </c>
      <c r="AV284">
        <v>0.14292563450000001</v>
      </c>
      <c r="AW284">
        <v>0.1563772873</v>
      </c>
    </row>
    <row r="285" spans="2:49" x14ac:dyDescent="0.25">
      <c r="B285" t="s">
        <v>476</v>
      </c>
      <c r="C285">
        <v>383714635.27038902</v>
      </c>
      <c r="D285">
        <v>389875297.85567099</v>
      </c>
      <c r="E285">
        <v>396134871.89999998</v>
      </c>
      <c r="F285">
        <v>414145142.10000002</v>
      </c>
      <c r="G285">
        <v>424242596</v>
      </c>
      <c r="H285">
        <v>439064614.19999999</v>
      </c>
      <c r="I285">
        <v>452664591.19999999</v>
      </c>
      <c r="J285">
        <v>471605339</v>
      </c>
      <c r="K285">
        <v>493441750.10000002</v>
      </c>
      <c r="L285">
        <v>518255621.89999998</v>
      </c>
      <c r="M285">
        <v>548105186.70000005</v>
      </c>
      <c r="N285">
        <v>575752273.70000005</v>
      </c>
      <c r="O285">
        <v>580097032.29999995</v>
      </c>
      <c r="P285">
        <v>578823212.5</v>
      </c>
      <c r="Q285">
        <v>575680807.70000005</v>
      </c>
      <c r="R285">
        <v>575155541.39999998</v>
      </c>
      <c r="S285">
        <v>583869640.60000002</v>
      </c>
      <c r="T285">
        <v>589220030.5</v>
      </c>
      <c r="U285">
        <v>591298088.29999995</v>
      </c>
      <c r="V285">
        <v>592734908.79999995</v>
      </c>
      <c r="W285">
        <v>576100804</v>
      </c>
      <c r="X285">
        <v>561819605</v>
      </c>
      <c r="Y285">
        <v>558480309.29999995</v>
      </c>
      <c r="Z285">
        <v>552376009.79999995</v>
      </c>
      <c r="AA285">
        <v>544794567.39999998</v>
      </c>
      <c r="AB285">
        <v>536233636.39999998</v>
      </c>
      <c r="AC285">
        <v>527114927.30000001</v>
      </c>
      <c r="AD285">
        <v>521390006.89999998</v>
      </c>
      <c r="AE285">
        <v>515634014.19999999</v>
      </c>
      <c r="AF285">
        <v>509926654.69999999</v>
      </c>
      <c r="AG285">
        <v>504347227</v>
      </c>
      <c r="AH285">
        <v>498906131.39999998</v>
      </c>
      <c r="AI285">
        <v>492898853.69999999</v>
      </c>
      <c r="AJ285">
        <v>487421946</v>
      </c>
      <c r="AK285">
        <v>482210829.69999999</v>
      </c>
      <c r="AL285">
        <v>477232404.89999998</v>
      </c>
      <c r="AM285">
        <v>472345289</v>
      </c>
      <c r="AN285">
        <v>467450643.39999998</v>
      </c>
      <c r="AO285">
        <v>462717824.19999999</v>
      </c>
      <c r="AP285">
        <v>458057817.89999998</v>
      </c>
      <c r="AQ285">
        <v>453443645.60000002</v>
      </c>
      <c r="AR285">
        <v>447709266.10000002</v>
      </c>
      <c r="AS285">
        <v>442130690.39999998</v>
      </c>
      <c r="AT285">
        <v>436858778.69999999</v>
      </c>
      <c r="AU285">
        <v>431819678.60000002</v>
      </c>
      <c r="AV285">
        <v>426933741.10000002</v>
      </c>
      <c r="AW285">
        <v>421921724.89999998</v>
      </c>
    </row>
    <row r="286" spans="2:49" x14ac:dyDescent="0.25">
      <c r="B286" t="s">
        <v>477</v>
      </c>
      <c r="C286">
        <v>13020.598862561899</v>
      </c>
      <c r="D286">
        <v>13229.6487889324</v>
      </c>
      <c r="E286">
        <v>13442.05508</v>
      </c>
      <c r="F286">
        <v>13710.533160000001</v>
      </c>
      <c r="G286">
        <v>14052.66192</v>
      </c>
      <c r="H286">
        <v>13551.263650000001</v>
      </c>
      <c r="I286">
        <v>13076.845429999999</v>
      </c>
      <c r="J286">
        <v>13351.98919</v>
      </c>
      <c r="K286">
        <v>13561.70865</v>
      </c>
      <c r="L286">
        <v>13434.457899999999</v>
      </c>
      <c r="M286">
        <v>13627.69461</v>
      </c>
      <c r="N286">
        <v>14042.935359999999</v>
      </c>
      <c r="O286">
        <v>14305.41008</v>
      </c>
      <c r="P286">
        <v>14584.650739999999</v>
      </c>
      <c r="Q286">
        <v>14980.217290000001</v>
      </c>
      <c r="R286">
        <v>15374.337659999999</v>
      </c>
      <c r="S286">
        <v>15036.76384</v>
      </c>
      <c r="T286">
        <v>14515.149369999999</v>
      </c>
      <c r="U286">
        <v>14300.75304</v>
      </c>
      <c r="V286">
        <v>14179.26511</v>
      </c>
      <c r="W286">
        <v>14017.93411</v>
      </c>
      <c r="X286">
        <v>13752.02126</v>
      </c>
      <c r="Y286">
        <v>13522.68807</v>
      </c>
      <c r="Z286">
        <v>13334.548119999999</v>
      </c>
      <c r="AA286">
        <v>13165.62716</v>
      </c>
      <c r="AB286">
        <v>13010.21861</v>
      </c>
      <c r="AC286">
        <v>12816.875690000001</v>
      </c>
      <c r="AD286">
        <v>12375.800219999999</v>
      </c>
      <c r="AE286">
        <v>11987.65055</v>
      </c>
      <c r="AF286">
        <v>11611.994199999999</v>
      </c>
      <c r="AG286">
        <v>11250.492829999999</v>
      </c>
      <c r="AH286">
        <v>10897.31761</v>
      </c>
      <c r="AI286">
        <v>10566.85223</v>
      </c>
      <c r="AJ286">
        <v>10276.06997</v>
      </c>
      <c r="AK286">
        <v>9981.6052970000001</v>
      </c>
      <c r="AL286">
        <v>9720.5062859999998</v>
      </c>
      <c r="AM286">
        <v>9450.1743569999999</v>
      </c>
      <c r="AN286">
        <v>9200.8238070000007</v>
      </c>
      <c r="AO286">
        <v>8976.1201110000002</v>
      </c>
      <c r="AP286">
        <v>8739.4432359999901</v>
      </c>
      <c r="AQ286">
        <v>8509.8856649999998</v>
      </c>
      <c r="AR286">
        <v>8283.5776000000005</v>
      </c>
      <c r="AS286">
        <v>8052.9683599999998</v>
      </c>
      <c r="AT286">
        <v>7824.5577929999999</v>
      </c>
      <c r="AU286">
        <v>7607.1705570000004</v>
      </c>
      <c r="AV286">
        <v>7397.0283369999997</v>
      </c>
      <c r="AW286">
        <v>7187.3532670000004</v>
      </c>
    </row>
    <row r="287" spans="2:49" x14ac:dyDescent="0.25">
      <c r="B287" t="s">
        <v>478</v>
      </c>
      <c r="C287">
        <v>158336.21117690401</v>
      </c>
      <c r="D287">
        <v>160878.35026264799</v>
      </c>
      <c r="E287">
        <v>163461.30420000001</v>
      </c>
      <c r="F287">
        <v>173277.53479999999</v>
      </c>
      <c r="G287">
        <v>180525.76500000001</v>
      </c>
      <c r="H287">
        <v>188717.15429999999</v>
      </c>
      <c r="I287">
        <v>196734.65359999999</v>
      </c>
      <c r="J287">
        <v>206682.56099999999</v>
      </c>
      <c r="K287">
        <v>222217.52369999999</v>
      </c>
      <c r="L287">
        <v>238372.9362</v>
      </c>
      <c r="M287">
        <v>255664.30350000001</v>
      </c>
      <c r="N287">
        <v>278757.0601</v>
      </c>
      <c r="O287">
        <v>280291.60930000001</v>
      </c>
      <c r="P287">
        <v>275447.27010000002</v>
      </c>
      <c r="Q287">
        <v>270205.15360000002</v>
      </c>
      <c r="R287">
        <v>270375.04840000003</v>
      </c>
      <c r="S287">
        <v>278459.78830000001</v>
      </c>
      <c r="T287">
        <v>286653.43410000001</v>
      </c>
      <c r="U287">
        <v>288764.4007</v>
      </c>
      <c r="V287">
        <v>289292.3849</v>
      </c>
      <c r="W287">
        <v>269521.31809999997</v>
      </c>
      <c r="X287">
        <v>254155.13649999999</v>
      </c>
      <c r="Y287">
        <v>259339.0931</v>
      </c>
      <c r="Z287">
        <v>260482.84390000001</v>
      </c>
      <c r="AA287">
        <v>259607.63680000001</v>
      </c>
      <c r="AB287">
        <v>257236.84469999999</v>
      </c>
      <c r="AC287">
        <v>254100.93119999999</v>
      </c>
      <c r="AD287">
        <v>253028.383</v>
      </c>
      <c r="AE287">
        <v>251689.1134</v>
      </c>
      <c r="AF287">
        <v>250508.5208</v>
      </c>
      <c r="AG287">
        <v>249398.8272</v>
      </c>
      <c r="AH287">
        <v>248401.05720000001</v>
      </c>
      <c r="AI287">
        <v>246226.47219999999</v>
      </c>
      <c r="AJ287">
        <v>244537.6728</v>
      </c>
      <c r="AK287">
        <v>243262.14430000001</v>
      </c>
      <c r="AL287">
        <v>242055.6085</v>
      </c>
      <c r="AM287">
        <v>241016.87179999999</v>
      </c>
      <c r="AN287">
        <v>239994.27299999999</v>
      </c>
      <c r="AO287">
        <v>238936.52230000001</v>
      </c>
      <c r="AP287">
        <v>237990.69149999999</v>
      </c>
      <c r="AQ287">
        <v>237025.35310000001</v>
      </c>
      <c r="AR287">
        <v>234236.0582</v>
      </c>
      <c r="AS287">
        <v>231974.59539999999</v>
      </c>
      <c r="AT287">
        <v>229967.2113</v>
      </c>
      <c r="AU287">
        <v>228074.8339</v>
      </c>
      <c r="AV287">
        <v>226308.44940000001</v>
      </c>
      <c r="AW287">
        <v>225207.1464</v>
      </c>
    </row>
    <row r="288" spans="2:49" x14ac:dyDescent="0.25">
      <c r="B288" t="s">
        <v>479</v>
      </c>
      <c r="C288">
        <v>516755.579312385</v>
      </c>
      <c r="D288">
        <v>525052.257287574</v>
      </c>
      <c r="E288">
        <v>533482.14110000001</v>
      </c>
      <c r="F288">
        <v>549274.12509999995</v>
      </c>
      <c r="G288">
        <v>553559.43290000001</v>
      </c>
      <c r="H288">
        <v>564412.47609999997</v>
      </c>
      <c r="I288">
        <v>572972.37199999997</v>
      </c>
      <c r="J288">
        <v>588063.14240000001</v>
      </c>
      <c r="K288">
        <v>602854.77960000001</v>
      </c>
      <c r="L288">
        <v>621076.00870000001</v>
      </c>
      <c r="M288">
        <v>645341.38549999997</v>
      </c>
      <c r="N288">
        <v>670575.74569999997</v>
      </c>
      <c r="O288">
        <v>674123.67969999998</v>
      </c>
      <c r="P288">
        <v>673892.83959999995</v>
      </c>
      <c r="Q288">
        <v>671131.00300000003</v>
      </c>
      <c r="R288">
        <v>668280.28940000001</v>
      </c>
      <c r="S288">
        <v>673446.48589999997</v>
      </c>
      <c r="T288">
        <v>675366.71530000004</v>
      </c>
      <c r="U288">
        <v>676919.7807</v>
      </c>
      <c r="V288">
        <v>678695.5318</v>
      </c>
      <c r="W288">
        <v>668428.92779999995</v>
      </c>
      <c r="X288">
        <v>658402.76119999995</v>
      </c>
      <c r="Y288">
        <v>654039.59790000005</v>
      </c>
      <c r="Z288">
        <v>648437.36289999995</v>
      </c>
      <c r="AA288">
        <v>641984.89040000003</v>
      </c>
      <c r="AB288">
        <v>635020.59010000003</v>
      </c>
      <c r="AC288">
        <v>627625.20129999996</v>
      </c>
      <c r="AD288">
        <v>621920.29779999994</v>
      </c>
      <c r="AE288">
        <v>616315.46429999999</v>
      </c>
      <c r="AF288">
        <v>610614.6973</v>
      </c>
      <c r="AG288">
        <v>605009.47320000001</v>
      </c>
      <c r="AH288">
        <v>599487.03410000005</v>
      </c>
      <c r="AI288">
        <v>593906.23849999998</v>
      </c>
      <c r="AJ288">
        <v>588745.61699999997</v>
      </c>
      <c r="AK288">
        <v>583646.277</v>
      </c>
      <c r="AL288">
        <v>578818.4706</v>
      </c>
      <c r="AM288">
        <v>573964.78509999998</v>
      </c>
      <c r="AN288">
        <v>569042.19019999995</v>
      </c>
      <c r="AO288">
        <v>564361.67779999995</v>
      </c>
      <c r="AP288">
        <v>559671.0466</v>
      </c>
      <c r="AQ288">
        <v>555026.67260000005</v>
      </c>
      <c r="AR288">
        <v>549896.93409999995</v>
      </c>
      <c r="AS288">
        <v>544570.57169999997</v>
      </c>
      <c r="AT288">
        <v>539502.12820000004</v>
      </c>
      <c r="AU288">
        <v>534679.75959999999</v>
      </c>
      <c r="AV288">
        <v>529967.69839999999</v>
      </c>
      <c r="AW288">
        <v>524502.42139999999</v>
      </c>
    </row>
    <row r="289" spans="2:49" x14ac:dyDescent="0.25">
      <c r="B289" t="s">
        <v>480</v>
      </c>
      <c r="C289">
        <v>82711.5521017555</v>
      </c>
      <c r="D289">
        <v>84039.512824558697</v>
      </c>
      <c r="E289">
        <v>85388.792600000001</v>
      </c>
      <c r="F289">
        <v>93689.858619999999</v>
      </c>
      <c r="G289">
        <v>98525.392359999998</v>
      </c>
      <c r="H289">
        <v>106396.9813</v>
      </c>
      <c r="I289">
        <v>112095.4186</v>
      </c>
      <c r="J289">
        <v>123662.9369</v>
      </c>
      <c r="K289">
        <v>133190.8278</v>
      </c>
      <c r="L289">
        <v>142506.45699999999</v>
      </c>
      <c r="M289">
        <v>154768.04509999999</v>
      </c>
      <c r="N289">
        <v>163408.98120000001</v>
      </c>
      <c r="O289">
        <v>160882.40590000001</v>
      </c>
      <c r="P289">
        <v>161394.30729999999</v>
      </c>
      <c r="Q289">
        <v>164607.69510000001</v>
      </c>
      <c r="R289">
        <v>161701.18700000001</v>
      </c>
      <c r="S289">
        <v>160436.9265</v>
      </c>
      <c r="T289">
        <v>158577.18119999999</v>
      </c>
      <c r="U289">
        <v>158556.6856</v>
      </c>
      <c r="V289">
        <v>159301.99040000001</v>
      </c>
      <c r="W289">
        <v>172828.1416</v>
      </c>
      <c r="X289">
        <v>184625.1329</v>
      </c>
      <c r="Y289">
        <v>186632.00760000001</v>
      </c>
      <c r="Z289">
        <v>189620.16159999999</v>
      </c>
      <c r="AA289">
        <v>193112.78099999999</v>
      </c>
      <c r="AB289">
        <v>197082.14670000001</v>
      </c>
      <c r="AC289">
        <v>201194.28200000001</v>
      </c>
      <c r="AD289">
        <v>204255.16639999999</v>
      </c>
      <c r="AE289">
        <v>207549.27710000001</v>
      </c>
      <c r="AF289">
        <v>210839.80590000001</v>
      </c>
      <c r="AG289">
        <v>214173.4535</v>
      </c>
      <c r="AH289">
        <v>217539.81820000001</v>
      </c>
      <c r="AI289">
        <v>221137.98680000001</v>
      </c>
      <c r="AJ289">
        <v>224842.06770000001</v>
      </c>
      <c r="AK289">
        <v>228508.81080000001</v>
      </c>
      <c r="AL289">
        <v>232323.41380000001</v>
      </c>
      <c r="AM289">
        <v>236135.32070000001</v>
      </c>
      <c r="AN289">
        <v>239925.91380000001</v>
      </c>
      <c r="AO289">
        <v>243846.34710000001</v>
      </c>
      <c r="AP289">
        <v>247764.57209999999</v>
      </c>
      <c r="AQ289">
        <v>251761.45</v>
      </c>
      <c r="AR289">
        <v>255976.2396</v>
      </c>
      <c r="AS289">
        <v>260101.93299999999</v>
      </c>
      <c r="AT289">
        <v>264271.56079999998</v>
      </c>
      <c r="AU289">
        <v>268546.5833</v>
      </c>
      <c r="AV289">
        <v>272909.5526</v>
      </c>
      <c r="AW289">
        <v>277349.66119999997</v>
      </c>
    </row>
    <row r="290" spans="2:49" x14ac:dyDescent="0.25">
      <c r="B290" t="s">
        <v>481</v>
      </c>
      <c r="C290">
        <v>45689.201708803201</v>
      </c>
      <c r="D290">
        <v>46422.756620829103</v>
      </c>
      <c r="E290">
        <v>47168.088009999999</v>
      </c>
      <c r="F290">
        <v>48543.65653</v>
      </c>
      <c r="G290">
        <v>48452.152840000002</v>
      </c>
      <c r="H290">
        <v>49450.098599999998</v>
      </c>
      <c r="I290">
        <v>50052.596019999997</v>
      </c>
      <c r="J290">
        <v>51514.113290000001</v>
      </c>
      <c r="K290">
        <v>52007.67729</v>
      </c>
      <c r="L290">
        <v>53048.384639999997</v>
      </c>
      <c r="M290">
        <v>54980.101699999999</v>
      </c>
      <c r="N290">
        <v>56253.881390000002</v>
      </c>
      <c r="O290">
        <v>56474.126409999997</v>
      </c>
      <c r="P290">
        <v>57059.212699999996</v>
      </c>
      <c r="Q290">
        <v>57399.56609</v>
      </c>
      <c r="R290">
        <v>56826.888079999997</v>
      </c>
      <c r="S290">
        <v>56430.796029999998</v>
      </c>
      <c r="T290">
        <v>55747.730309999999</v>
      </c>
      <c r="U290">
        <v>55771.068030000002</v>
      </c>
      <c r="V290">
        <v>56044.438280000002</v>
      </c>
      <c r="W290">
        <v>59372.938349999997</v>
      </c>
      <c r="X290">
        <v>62088.291469999996</v>
      </c>
      <c r="Y290">
        <v>62152.601159999998</v>
      </c>
      <c r="Z290">
        <v>62605.109700000001</v>
      </c>
      <c r="AA290">
        <v>63204.689789999997</v>
      </c>
      <c r="AB290">
        <v>63929.834139999999</v>
      </c>
      <c r="AC290">
        <v>64687.144520000002</v>
      </c>
      <c r="AD290">
        <v>64922.77607</v>
      </c>
      <c r="AE290">
        <v>65198.947959999998</v>
      </c>
      <c r="AF290">
        <v>65419.148139999998</v>
      </c>
      <c r="AG290">
        <v>65632.653510000004</v>
      </c>
      <c r="AH290">
        <v>65831.700870000001</v>
      </c>
      <c r="AI290">
        <v>66200.800770000002</v>
      </c>
      <c r="AJ290">
        <v>66559.128830000001</v>
      </c>
      <c r="AK290">
        <v>66856.546860000002</v>
      </c>
      <c r="AL290">
        <v>67179.888319999998</v>
      </c>
      <c r="AM290">
        <v>67464.232080000002</v>
      </c>
      <c r="AN290">
        <v>67740.433069999999</v>
      </c>
      <c r="AO290">
        <v>68055.971770000004</v>
      </c>
      <c r="AP290">
        <v>68345.843420000005</v>
      </c>
      <c r="AQ290">
        <v>68636.336689999996</v>
      </c>
      <c r="AR290">
        <v>69087.540680000006</v>
      </c>
      <c r="AS290">
        <v>69410.888040000005</v>
      </c>
      <c r="AT290">
        <v>69739.047930000001</v>
      </c>
      <c r="AU290">
        <v>70089.344280000005</v>
      </c>
      <c r="AV290">
        <v>70430.367719999995</v>
      </c>
      <c r="AW290">
        <v>70465.223169999997</v>
      </c>
    </row>
    <row r="291" spans="2:49" x14ac:dyDescent="0.25">
      <c r="B291" t="s">
        <v>482</v>
      </c>
      <c r="C291">
        <v>562444.78102118801</v>
      </c>
      <c r="D291">
        <v>571475.01390840299</v>
      </c>
      <c r="E291">
        <v>580650.23010000004</v>
      </c>
      <c r="F291">
        <v>597817.77859999996</v>
      </c>
      <c r="G291">
        <v>602009.49340000004</v>
      </c>
      <c r="H291">
        <v>613860.41980000003</v>
      </c>
      <c r="I291">
        <v>623022.58149999997</v>
      </c>
      <c r="J291">
        <v>639574.62239999999</v>
      </c>
      <c r="K291">
        <v>654854.10380000004</v>
      </c>
      <c r="L291">
        <v>674113.35479999997</v>
      </c>
      <c r="M291">
        <v>700309.85349999997</v>
      </c>
      <c r="N291">
        <v>726811.30189999996</v>
      </c>
      <c r="O291">
        <v>730579.3371</v>
      </c>
      <c r="P291">
        <v>730930.60919999995</v>
      </c>
      <c r="Q291">
        <v>728506.53969999996</v>
      </c>
      <c r="R291">
        <v>725082.38619999995</v>
      </c>
      <c r="S291">
        <v>729846.65910000005</v>
      </c>
      <c r="T291">
        <v>733217.74399999995</v>
      </c>
      <c r="U291">
        <v>735477.67440000002</v>
      </c>
      <c r="V291">
        <v>738216.16559999995</v>
      </c>
      <c r="W291">
        <v>739135.5183</v>
      </c>
      <c r="X291">
        <v>739642.88809999998</v>
      </c>
      <c r="Y291">
        <v>743296.14800000004</v>
      </c>
      <c r="Z291">
        <v>746041.59779999999</v>
      </c>
      <c r="AA291">
        <v>748007.06579999998</v>
      </c>
      <c r="AB291">
        <v>749506.88040000002</v>
      </c>
      <c r="AC291">
        <v>750514.04269999999</v>
      </c>
      <c r="AD291">
        <v>752745.07250000001</v>
      </c>
      <c r="AE291">
        <v>755089.3284</v>
      </c>
      <c r="AF291">
        <v>757224.04339999997</v>
      </c>
      <c r="AG291">
        <v>759414.75870000001</v>
      </c>
      <c r="AH291">
        <v>761640.15170000005</v>
      </c>
      <c r="AI291">
        <v>763949.00190000003</v>
      </c>
      <c r="AJ291">
        <v>766695.78850000002</v>
      </c>
      <c r="AK291">
        <v>769411.43469999998</v>
      </c>
      <c r="AL291">
        <v>772449.33600000001</v>
      </c>
      <c r="AM291">
        <v>775382.54790000001</v>
      </c>
      <c r="AN291">
        <v>778192.20620000002</v>
      </c>
      <c r="AO291">
        <v>781316.94649999996</v>
      </c>
      <c r="AP291">
        <v>784371.43700000003</v>
      </c>
      <c r="AQ291">
        <v>787457.39809999999</v>
      </c>
      <c r="AR291">
        <v>790097.93160000001</v>
      </c>
      <c r="AS291">
        <v>792283.67680000002</v>
      </c>
      <c r="AT291">
        <v>794764.60369999998</v>
      </c>
      <c r="AU291">
        <v>797557.61899999995</v>
      </c>
      <c r="AV291">
        <v>800450.48049999995</v>
      </c>
      <c r="AW291">
        <v>801885.14450000005</v>
      </c>
    </row>
    <row r="292" spans="2:49" x14ac:dyDescent="0.25">
      <c r="B292" t="s">
        <v>483</v>
      </c>
      <c r="C292">
        <v>241047.76327865999</v>
      </c>
      <c r="D292">
        <v>244917.86308720699</v>
      </c>
      <c r="E292">
        <v>248850.0986</v>
      </c>
      <c r="F292">
        <v>266931.54960000003</v>
      </c>
      <c r="G292">
        <v>279010.91340000002</v>
      </c>
      <c r="H292">
        <v>295035.89880000002</v>
      </c>
      <c r="I292">
        <v>308744.22149999999</v>
      </c>
      <c r="J292">
        <v>330162.05089999997</v>
      </c>
      <c r="K292">
        <v>355210.85920000001</v>
      </c>
      <c r="L292">
        <v>380667.45069999999</v>
      </c>
      <c r="M292">
        <v>410196.43550000002</v>
      </c>
      <c r="N292">
        <v>441858.39939999999</v>
      </c>
      <c r="O292">
        <v>440844.30099999998</v>
      </c>
      <c r="P292">
        <v>436493.58020000003</v>
      </c>
      <c r="Q292">
        <v>434389.52529999998</v>
      </c>
      <c r="R292">
        <v>431638.3309</v>
      </c>
      <c r="S292">
        <v>438380.65409999999</v>
      </c>
      <c r="T292">
        <v>444622.17629999999</v>
      </c>
      <c r="U292">
        <v>446706.93729999999</v>
      </c>
      <c r="V292">
        <v>447978.05810000002</v>
      </c>
      <c r="W292">
        <v>440553.91529999999</v>
      </c>
      <c r="X292">
        <v>436183.82490000001</v>
      </c>
      <c r="Y292">
        <v>443327.35369999998</v>
      </c>
      <c r="Z292">
        <v>447427.58049999998</v>
      </c>
      <c r="AA292">
        <v>450003.77149999997</v>
      </c>
      <c r="AB292">
        <v>451544.55560000002</v>
      </c>
      <c r="AC292">
        <v>452454.52370000002</v>
      </c>
      <c r="AD292">
        <v>454409.5036</v>
      </c>
      <c r="AE292">
        <v>456326.44050000003</v>
      </c>
      <c r="AF292">
        <v>458399.28350000002</v>
      </c>
      <c r="AG292">
        <v>460585.85720000003</v>
      </c>
      <c r="AH292">
        <v>462917.07089999999</v>
      </c>
      <c r="AI292">
        <v>464294.7072</v>
      </c>
      <c r="AJ292">
        <v>466264.66119999997</v>
      </c>
      <c r="AK292">
        <v>468613.20400000003</v>
      </c>
      <c r="AL292">
        <v>471176.53889999999</v>
      </c>
      <c r="AM292">
        <v>473905.91680000001</v>
      </c>
      <c r="AN292">
        <v>476630.82459999999</v>
      </c>
      <c r="AO292">
        <v>479448.39140000002</v>
      </c>
      <c r="AP292">
        <v>482376.36469999998</v>
      </c>
      <c r="AQ292">
        <v>485362.39769999997</v>
      </c>
      <c r="AR292">
        <v>486728.75209999998</v>
      </c>
      <c r="AS292">
        <v>488539.52439999999</v>
      </c>
      <c r="AT292">
        <v>490649.26490000001</v>
      </c>
      <c r="AU292">
        <v>492978.38329999999</v>
      </c>
      <c r="AV292">
        <v>495520.8236</v>
      </c>
      <c r="AW292">
        <v>498807.6188</v>
      </c>
    </row>
    <row r="293" spans="2:49" x14ac:dyDescent="0.25">
      <c r="B293" t="s">
        <v>535</v>
      </c>
      <c r="C293">
        <v>383714635.27038902</v>
      </c>
      <c r="D293">
        <v>389875297.85567099</v>
      </c>
      <c r="E293">
        <v>396134871.89999998</v>
      </c>
      <c r="F293">
        <v>414145142.10000002</v>
      </c>
      <c r="G293">
        <v>424242596</v>
      </c>
      <c r="H293">
        <v>439064614.19999999</v>
      </c>
      <c r="I293">
        <v>452664591.19999999</v>
      </c>
      <c r="J293">
        <v>471605339</v>
      </c>
      <c r="K293">
        <v>493441750.10000002</v>
      </c>
      <c r="L293">
        <v>518255621.89999998</v>
      </c>
      <c r="M293">
        <v>548105186.70000005</v>
      </c>
      <c r="N293">
        <v>575752273.70000005</v>
      </c>
      <c r="O293">
        <v>580097032.29999995</v>
      </c>
      <c r="P293">
        <v>578823212.5</v>
      </c>
      <c r="Q293">
        <v>575680807.70000005</v>
      </c>
      <c r="R293">
        <v>575155541.39999998</v>
      </c>
      <c r="S293">
        <v>583869640.60000002</v>
      </c>
      <c r="T293">
        <v>589220030.5</v>
      </c>
      <c r="U293">
        <v>591298088.29999995</v>
      </c>
      <c r="V293">
        <v>592707506.70000005</v>
      </c>
      <c r="W293">
        <v>594189376.70000005</v>
      </c>
      <c r="X293">
        <v>595425939.79999995</v>
      </c>
      <c r="Y293">
        <v>593004860.70000005</v>
      </c>
      <c r="Z293">
        <v>592191121.60000002</v>
      </c>
      <c r="AA293">
        <v>592313960.10000002</v>
      </c>
      <c r="AB293">
        <v>592936607.60000002</v>
      </c>
      <c r="AC293">
        <v>593791565.29999995</v>
      </c>
      <c r="AD293">
        <v>594845550</v>
      </c>
      <c r="AE293">
        <v>597927269.39999998</v>
      </c>
      <c r="AF293">
        <v>600416274.20000005</v>
      </c>
      <c r="AG293">
        <v>602669229.20000005</v>
      </c>
      <c r="AH293">
        <v>606787493.10000002</v>
      </c>
      <c r="AI293">
        <v>608301196.89999998</v>
      </c>
      <c r="AJ293">
        <v>610318806.89999998</v>
      </c>
      <c r="AK293">
        <v>612604270.29999995</v>
      </c>
      <c r="AL293">
        <v>615059653.79999995</v>
      </c>
      <c r="AM293">
        <v>617609441.89999998</v>
      </c>
      <c r="AN293">
        <v>620388132.60000002</v>
      </c>
      <c r="AO293">
        <v>622959166</v>
      </c>
      <c r="AP293">
        <v>625425571.29999995</v>
      </c>
      <c r="AQ293">
        <v>627826050</v>
      </c>
      <c r="AR293">
        <v>630177454.20000005</v>
      </c>
      <c r="AS293">
        <v>632658070.39999998</v>
      </c>
      <c r="AT293">
        <v>635035138.20000005</v>
      </c>
      <c r="AU293">
        <v>637350516.79999995</v>
      </c>
      <c r="AV293">
        <v>639610725.29999995</v>
      </c>
      <c r="AW293">
        <v>641853735.29999995</v>
      </c>
    </row>
    <row r="294" spans="2:49" x14ac:dyDescent="0.25">
      <c r="B294" t="s">
        <v>536</v>
      </c>
      <c r="C294">
        <v>13020.598862561899</v>
      </c>
      <c r="D294">
        <v>13229.6487889324</v>
      </c>
      <c r="E294">
        <v>13442.05508</v>
      </c>
      <c r="F294">
        <v>13710.533160000001</v>
      </c>
      <c r="G294">
        <v>14052.66192</v>
      </c>
      <c r="H294">
        <v>13551.263650000001</v>
      </c>
      <c r="I294">
        <v>13076.845429999999</v>
      </c>
      <c r="J294">
        <v>13351.98919</v>
      </c>
      <c r="K294">
        <v>13561.70865</v>
      </c>
      <c r="L294">
        <v>13434.457899999999</v>
      </c>
      <c r="M294">
        <v>13627.69461</v>
      </c>
      <c r="N294">
        <v>14042.935359999999</v>
      </c>
      <c r="O294">
        <v>14305.41008</v>
      </c>
      <c r="P294">
        <v>14584.650739999999</v>
      </c>
      <c r="Q294">
        <v>14980.217290000001</v>
      </c>
      <c r="R294">
        <v>15374.337659999999</v>
      </c>
      <c r="S294">
        <v>15036.76384</v>
      </c>
      <c r="T294">
        <v>14515.149369999999</v>
      </c>
      <c r="U294">
        <v>14300.75304</v>
      </c>
      <c r="V294">
        <v>14173.723550000001</v>
      </c>
      <c r="W294">
        <v>14388.514230000001</v>
      </c>
      <c r="X294">
        <v>14543.536330000001</v>
      </c>
      <c r="Y294">
        <v>14675.235259999999</v>
      </c>
      <c r="Z294">
        <v>14791.179529999999</v>
      </c>
      <c r="AA294">
        <v>14965.08704</v>
      </c>
      <c r="AB294">
        <v>15165.885259999999</v>
      </c>
      <c r="AC294">
        <v>15371.58303</v>
      </c>
      <c r="AD294">
        <v>15596.31978</v>
      </c>
      <c r="AE294">
        <v>15844.830260000001</v>
      </c>
      <c r="AF294">
        <v>16125.548570000001</v>
      </c>
      <c r="AG294">
        <v>16426.07042</v>
      </c>
      <c r="AH294">
        <v>16750.465240000001</v>
      </c>
      <c r="AI294">
        <v>17114.692910000002</v>
      </c>
      <c r="AJ294">
        <v>17505.190170000002</v>
      </c>
      <c r="AK294">
        <v>17905.03285</v>
      </c>
      <c r="AL294">
        <v>18327.256290000001</v>
      </c>
      <c r="AM294">
        <v>18763.412469999999</v>
      </c>
      <c r="AN294">
        <v>19212.624370000001</v>
      </c>
      <c r="AO294">
        <v>19663.854240000001</v>
      </c>
      <c r="AP294">
        <v>20123.214510000002</v>
      </c>
      <c r="AQ294">
        <v>20586.85255</v>
      </c>
      <c r="AR294">
        <v>21055.56465</v>
      </c>
      <c r="AS294">
        <v>21527.535059999998</v>
      </c>
      <c r="AT294">
        <v>22009.2556</v>
      </c>
      <c r="AU294">
        <v>22499.731380000001</v>
      </c>
      <c r="AV294">
        <v>23014.711019999999</v>
      </c>
      <c r="AW294">
        <v>23522.359359999999</v>
      </c>
    </row>
    <row r="295" spans="2:49" x14ac:dyDescent="0.25">
      <c r="B295" t="s">
        <v>537</v>
      </c>
      <c r="C295">
        <v>158336.21117690401</v>
      </c>
      <c r="D295">
        <v>160878.35026264799</v>
      </c>
      <c r="E295">
        <v>163461.30420000001</v>
      </c>
      <c r="F295">
        <v>173277.53479999999</v>
      </c>
      <c r="G295">
        <v>180525.76500000001</v>
      </c>
      <c r="H295">
        <v>188717.15429999999</v>
      </c>
      <c r="I295">
        <v>196734.65359999999</v>
      </c>
      <c r="J295">
        <v>206682.56099999999</v>
      </c>
      <c r="K295">
        <v>222217.52369999999</v>
      </c>
      <c r="L295">
        <v>238372.9362</v>
      </c>
      <c r="M295">
        <v>255664.30350000001</v>
      </c>
      <c r="N295">
        <v>278757.0601</v>
      </c>
      <c r="O295">
        <v>280291.60930000001</v>
      </c>
      <c r="P295">
        <v>275447.27010000002</v>
      </c>
      <c r="Q295">
        <v>270205.15360000002</v>
      </c>
      <c r="R295">
        <v>270375.04840000003</v>
      </c>
      <c r="S295">
        <v>278459.78830000001</v>
      </c>
      <c r="T295">
        <v>286653.43410000001</v>
      </c>
      <c r="U295">
        <v>288764.4007</v>
      </c>
      <c r="V295">
        <v>289300.82490000001</v>
      </c>
      <c r="W295">
        <v>290661.15509999997</v>
      </c>
      <c r="X295">
        <v>292087.1545</v>
      </c>
      <c r="Y295">
        <v>288437.58980000002</v>
      </c>
      <c r="Z295">
        <v>287181.56599999999</v>
      </c>
      <c r="AA295">
        <v>286872.0368</v>
      </c>
      <c r="AB295">
        <v>287162.24540000001</v>
      </c>
      <c r="AC295">
        <v>287811.07919999998</v>
      </c>
      <c r="AD295">
        <v>288665.94469999999</v>
      </c>
      <c r="AE295">
        <v>292348.92910000001</v>
      </c>
      <c r="AF295">
        <v>295040.58289999998</v>
      </c>
      <c r="AG295">
        <v>297351.80829999998</v>
      </c>
      <c r="AH295">
        <v>302268.49170000001</v>
      </c>
      <c r="AI295">
        <v>303218.32990000001</v>
      </c>
      <c r="AJ295">
        <v>304806.24690000003</v>
      </c>
      <c r="AK295">
        <v>306740.4423</v>
      </c>
      <c r="AL295">
        <v>308849.45819999999</v>
      </c>
      <c r="AM295">
        <v>311086.6972</v>
      </c>
      <c r="AN295">
        <v>313601.77610000002</v>
      </c>
      <c r="AO295">
        <v>315838.83049999998</v>
      </c>
      <c r="AP295">
        <v>317929.07049999997</v>
      </c>
      <c r="AQ295">
        <v>319942.23670000001</v>
      </c>
      <c r="AR295">
        <v>321902.1067</v>
      </c>
      <c r="AS295">
        <v>324053.36369999999</v>
      </c>
      <c r="AT295">
        <v>326047.91960000002</v>
      </c>
      <c r="AU295">
        <v>327969.9068</v>
      </c>
      <c r="AV295">
        <v>329862.58240000001</v>
      </c>
      <c r="AW295">
        <v>331711.55430000002</v>
      </c>
    </row>
    <row r="296" spans="2:49" x14ac:dyDescent="0.25">
      <c r="B296" t="s">
        <v>538</v>
      </c>
      <c r="C296">
        <v>516755.579312385</v>
      </c>
      <c r="D296">
        <v>525052.257287574</v>
      </c>
      <c r="E296">
        <v>533482.14110000001</v>
      </c>
      <c r="F296">
        <v>549274.12509999995</v>
      </c>
      <c r="G296">
        <v>553559.43290000001</v>
      </c>
      <c r="H296">
        <v>564412.47609999997</v>
      </c>
      <c r="I296">
        <v>572972.37199999997</v>
      </c>
      <c r="J296">
        <v>588063.14240000001</v>
      </c>
      <c r="K296">
        <v>602854.77960000001</v>
      </c>
      <c r="L296">
        <v>621076.00870000001</v>
      </c>
      <c r="M296">
        <v>645341.38549999997</v>
      </c>
      <c r="N296">
        <v>670575.74569999997</v>
      </c>
      <c r="O296">
        <v>674123.67969999998</v>
      </c>
      <c r="P296">
        <v>673892.83959999995</v>
      </c>
      <c r="Q296">
        <v>671131.00300000003</v>
      </c>
      <c r="R296">
        <v>668280.28940000001</v>
      </c>
      <c r="S296">
        <v>673446.48589999997</v>
      </c>
      <c r="T296">
        <v>675366.71530000004</v>
      </c>
      <c r="U296">
        <v>676919.7807</v>
      </c>
      <c r="V296">
        <v>678647.71950000001</v>
      </c>
      <c r="W296">
        <v>679864.47409999999</v>
      </c>
      <c r="X296">
        <v>680660.65720000002</v>
      </c>
      <c r="Y296">
        <v>679747.96620000002</v>
      </c>
      <c r="Z296">
        <v>679463.34479999996</v>
      </c>
      <c r="AA296">
        <v>679882.39080000005</v>
      </c>
      <c r="AB296">
        <v>680605.64670000004</v>
      </c>
      <c r="AC296">
        <v>681410.12049999996</v>
      </c>
      <c r="AD296">
        <v>682360.43700000003</v>
      </c>
      <c r="AE296">
        <v>684247.34</v>
      </c>
      <c r="AF296">
        <v>685984.54189999995</v>
      </c>
      <c r="AG296">
        <v>687651.29669999995</v>
      </c>
      <c r="AH296">
        <v>690176.69440000004</v>
      </c>
      <c r="AI296">
        <v>691750.8983</v>
      </c>
      <c r="AJ296">
        <v>693606.62170000002</v>
      </c>
      <c r="AK296">
        <v>695606.63419999997</v>
      </c>
      <c r="AL296">
        <v>697731.97400000005</v>
      </c>
      <c r="AM296">
        <v>699903.51379999996</v>
      </c>
      <c r="AN296">
        <v>702211.98560000001</v>
      </c>
      <c r="AO296">
        <v>704415.80359999998</v>
      </c>
      <c r="AP296">
        <v>706571.96389999997</v>
      </c>
      <c r="AQ296">
        <v>708686.46539999999</v>
      </c>
      <c r="AR296">
        <v>710766.88580000005</v>
      </c>
      <c r="AS296">
        <v>712898.56929999997</v>
      </c>
      <c r="AT296">
        <v>714991.67810000002</v>
      </c>
      <c r="AU296">
        <v>717046.14370000002</v>
      </c>
      <c r="AV296">
        <v>719039.23529999994</v>
      </c>
      <c r="AW296">
        <v>721039.23910000001</v>
      </c>
    </row>
    <row r="297" spans="2:49" x14ac:dyDescent="0.25">
      <c r="B297" t="s">
        <v>539</v>
      </c>
      <c r="C297">
        <v>82711.5521017555</v>
      </c>
      <c r="D297">
        <v>84039.512824558697</v>
      </c>
      <c r="E297">
        <v>85388.792600000001</v>
      </c>
      <c r="F297">
        <v>93689.858619999999</v>
      </c>
      <c r="G297">
        <v>98525.392359999998</v>
      </c>
      <c r="H297">
        <v>106396.9813</v>
      </c>
      <c r="I297">
        <v>112095.4186</v>
      </c>
      <c r="J297">
        <v>123662.9369</v>
      </c>
      <c r="K297">
        <v>133190.8278</v>
      </c>
      <c r="L297">
        <v>142506.45699999999</v>
      </c>
      <c r="M297">
        <v>154768.04509999999</v>
      </c>
      <c r="N297">
        <v>163408.98120000001</v>
      </c>
      <c r="O297">
        <v>160882.40590000001</v>
      </c>
      <c r="P297">
        <v>161394.30729999999</v>
      </c>
      <c r="Q297">
        <v>164607.69510000001</v>
      </c>
      <c r="R297">
        <v>161701.18700000001</v>
      </c>
      <c r="S297">
        <v>160436.9265</v>
      </c>
      <c r="T297">
        <v>158577.18119999999</v>
      </c>
      <c r="U297">
        <v>158556.6856</v>
      </c>
      <c r="V297">
        <v>159290.0068</v>
      </c>
      <c r="W297">
        <v>159447.2611</v>
      </c>
      <c r="X297">
        <v>159424.70209999999</v>
      </c>
      <c r="Y297">
        <v>160888.4656</v>
      </c>
      <c r="Z297">
        <v>161530.44289999999</v>
      </c>
      <c r="AA297">
        <v>162056.4339</v>
      </c>
      <c r="AB297">
        <v>162458.8309</v>
      </c>
      <c r="AC297">
        <v>162753.77359999999</v>
      </c>
      <c r="AD297">
        <v>163031.3272</v>
      </c>
      <c r="AE297">
        <v>162493.26949999999</v>
      </c>
      <c r="AF297">
        <v>162317.44949999999</v>
      </c>
      <c r="AG297">
        <v>162279.92249999999</v>
      </c>
      <c r="AH297">
        <v>161463.5465</v>
      </c>
      <c r="AI297">
        <v>161974.641</v>
      </c>
      <c r="AJ297">
        <v>162306.65270000001</v>
      </c>
      <c r="AK297">
        <v>162536.32089999999</v>
      </c>
      <c r="AL297">
        <v>162735.8898</v>
      </c>
      <c r="AM297">
        <v>162898.3639</v>
      </c>
      <c r="AN297">
        <v>162991.43059999999</v>
      </c>
      <c r="AO297">
        <v>163160.3652</v>
      </c>
      <c r="AP297">
        <v>163377.37760000001</v>
      </c>
      <c r="AQ297">
        <v>163612.83540000001</v>
      </c>
      <c r="AR297">
        <v>163858.72949999999</v>
      </c>
      <c r="AS297">
        <v>164031.09580000001</v>
      </c>
      <c r="AT297">
        <v>164256.38889999999</v>
      </c>
      <c r="AU297">
        <v>164502.30420000001</v>
      </c>
      <c r="AV297">
        <v>164752.37330000001</v>
      </c>
      <c r="AW297">
        <v>165030.88889999999</v>
      </c>
    </row>
    <row r="298" spans="2:49" x14ac:dyDescent="0.25">
      <c r="B298" t="s">
        <v>540</v>
      </c>
      <c r="C298">
        <v>45689.201708803201</v>
      </c>
      <c r="D298">
        <v>46422.756620829103</v>
      </c>
      <c r="E298">
        <v>47168.088009999999</v>
      </c>
      <c r="F298">
        <v>48543.65653</v>
      </c>
      <c r="G298">
        <v>48452.152840000002</v>
      </c>
      <c r="H298">
        <v>49450.098599999998</v>
      </c>
      <c r="I298">
        <v>50052.596019999997</v>
      </c>
      <c r="J298">
        <v>51514.113290000001</v>
      </c>
      <c r="K298">
        <v>52007.67729</v>
      </c>
      <c r="L298">
        <v>53048.384639999997</v>
      </c>
      <c r="M298">
        <v>54980.101699999999</v>
      </c>
      <c r="N298">
        <v>56253.881390000002</v>
      </c>
      <c r="O298">
        <v>56474.126409999997</v>
      </c>
      <c r="P298">
        <v>57059.212699999996</v>
      </c>
      <c r="Q298">
        <v>57399.56609</v>
      </c>
      <c r="R298">
        <v>56826.888079999997</v>
      </c>
      <c r="S298">
        <v>56430.796029999998</v>
      </c>
      <c r="T298">
        <v>55747.730309999999</v>
      </c>
      <c r="U298">
        <v>55771.068030000002</v>
      </c>
      <c r="V298">
        <v>56036.84736</v>
      </c>
      <c r="W298">
        <v>56117.054530000001</v>
      </c>
      <c r="X298">
        <v>56129.790820000002</v>
      </c>
      <c r="Y298">
        <v>56600.768279999997</v>
      </c>
      <c r="Z298">
        <v>56828.529640000001</v>
      </c>
      <c r="AA298">
        <v>57026.430529999998</v>
      </c>
      <c r="AB298">
        <v>57184.286540000001</v>
      </c>
      <c r="AC298">
        <v>57303.752379999998</v>
      </c>
      <c r="AD298">
        <v>57415.700539999998</v>
      </c>
      <c r="AE298">
        <v>57270.762459999998</v>
      </c>
      <c r="AF298">
        <v>57241.98343</v>
      </c>
      <c r="AG298">
        <v>57255.748760000002</v>
      </c>
      <c r="AH298">
        <v>57037.382850000002</v>
      </c>
      <c r="AI298">
        <v>57226.332520000004</v>
      </c>
      <c r="AJ298">
        <v>57367.700819999998</v>
      </c>
      <c r="AK298">
        <v>57483.242429999998</v>
      </c>
      <c r="AL298">
        <v>57593.278989999999</v>
      </c>
      <c r="AM298">
        <v>57692.899060000003</v>
      </c>
      <c r="AN298">
        <v>57775.782059999998</v>
      </c>
      <c r="AO298">
        <v>57882.507319999997</v>
      </c>
      <c r="AP298">
        <v>58003.316440000002</v>
      </c>
      <c r="AQ298">
        <v>58129.579010000001</v>
      </c>
      <c r="AR298">
        <v>58259.001980000001</v>
      </c>
      <c r="AS298">
        <v>58370.647770000003</v>
      </c>
      <c r="AT298">
        <v>58498.793100000003</v>
      </c>
      <c r="AU298">
        <v>58631.838109999997</v>
      </c>
      <c r="AV298">
        <v>58760.586459999999</v>
      </c>
      <c r="AW298">
        <v>58897.124000000003</v>
      </c>
    </row>
    <row r="299" spans="2:49" x14ac:dyDescent="0.25">
      <c r="B299" t="s">
        <v>541</v>
      </c>
      <c r="C299">
        <v>562444.78102118801</v>
      </c>
      <c r="D299">
        <v>571475.01390840299</v>
      </c>
      <c r="E299">
        <v>580650.23010000004</v>
      </c>
      <c r="F299">
        <v>597817.77859999996</v>
      </c>
      <c r="G299">
        <v>602009.49340000004</v>
      </c>
      <c r="H299">
        <v>613860.41980000003</v>
      </c>
      <c r="I299">
        <v>623022.58149999997</v>
      </c>
      <c r="J299">
        <v>639574.62239999999</v>
      </c>
      <c r="K299">
        <v>654854.10380000004</v>
      </c>
      <c r="L299">
        <v>674113.35479999997</v>
      </c>
      <c r="M299">
        <v>700309.85349999997</v>
      </c>
      <c r="N299">
        <v>726811.30189999996</v>
      </c>
      <c r="O299">
        <v>730579.3371</v>
      </c>
      <c r="P299">
        <v>730930.60919999995</v>
      </c>
      <c r="Q299">
        <v>728506.53969999996</v>
      </c>
      <c r="R299">
        <v>725082.38619999995</v>
      </c>
      <c r="S299">
        <v>729846.65910000005</v>
      </c>
      <c r="T299">
        <v>733217.74399999995</v>
      </c>
      <c r="U299">
        <v>735477.67440000002</v>
      </c>
      <c r="V299">
        <v>738160.50789999997</v>
      </c>
      <c r="W299">
        <v>740146.98019999999</v>
      </c>
      <c r="X299">
        <v>741645.23470000003</v>
      </c>
      <c r="Y299">
        <v>741883.2</v>
      </c>
      <c r="Z299">
        <v>742510.51410000003</v>
      </c>
      <c r="AA299">
        <v>743818.54760000005</v>
      </c>
      <c r="AB299">
        <v>745395.23930000002</v>
      </c>
      <c r="AC299">
        <v>747017.48149999999</v>
      </c>
      <c r="AD299">
        <v>748782.05709999998</v>
      </c>
      <c r="AE299">
        <v>751237.09050000005</v>
      </c>
      <c r="AF299">
        <v>753662.79119999998</v>
      </c>
      <c r="AG299">
        <v>756064.29240000003</v>
      </c>
      <c r="AH299">
        <v>759104.80839999998</v>
      </c>
      <c r="AI299">
        <v>761599.13029999996</v>
      </c>
      <c r="AJ299">
        <v>764335.48589999997</v>
      </c>
      <c r="AK299">
        <v>767196.92189999996</v>
      </c>
      <c r="AL299">
        <v>770185.20539999998</v>
      </c>
      <c r="AM299">
        <v>773214.92310000001</v>
      </c>
      <c r="AN299">
        <v>776372.40220000001</v>
      </c>
      <c r="AO299">
        <v>779452.57770000002</v>
      </c>
      <c r="AP299">
        <v>782503.5135</v>
      </c>
      <c r="AQ299">
        <v>785522.39679999999</v>
      </c>
      <c r="AR299">
        <v>788514.53850000002</v>
      </c>
      <c r="AS299">
        <v>791545.929</v>
      </c>
      <c r="AT299">
        <v>794559.65179999999</v>
      </c>
      <c r="AU299">
        <v>797543.62340000004</v>
      </c>
      <c r="AV299">
        <v>800464.88410000002</v>
      </c>
      <c r="AW299">
        <v>803406.04610000004</v>
      </c>
    </row>
    <row r="300" spans="2:49" x14ac:dyDescent="0.25">
      <c r="B300" t="s">
        <v>542</v>
      </c>
      <c r="C300">
        <v>241047.76327865999</v>
      </c>
      <c r="D300">
        <v>244917.86308720699</v>
      </c>
      <c r="E300">
        <v>248850.0986</v>
      </c>
      <c r="F300">
        <v>266931.54960000003</v>
      </c>
      <c r="G300">
        <v>279010.91340000002</v>
      </c>
      <c r="H300">
        <v>295035.89880000002</v>
      </c>
      <c r="I300">
        <v>308744.22149999999</v>
      </c>
      <c r="J300">
        <v>330162.05089999997</v>
      </c>
      <c r="K300">
        <v>355210.85920000001</v>
      </c>
      <c r="L300">
        <v>380667.45069999999</v>
      </c>
      <c r="M300">
        <v>410196.43550000002</v>
      </c>
      <c r="N300">
        <v>441858.39939999999</v>
      </c>
      <c r="O300">
        <v>440844.30099999998</v>
      </c>
      <c r="P300">
        <v>436493.58020000003</v>
      </c>
      <c r="Q300">
        <v>434389.52529999998</v>
      </c>
      <c r="R300">
        <v>431638.3309</v>
      </c>
      <c r="S300">
        <v>438380.65409999999</v>
      </c>
      <c r="T300">
        <v>444622.17629999999</v>
      </c>
      <c r="U300">
        <v>446706.93729999999</v>
      </c>
      <c r="V300">
        <v>447974.54940000002</v>
      </c>
      <c r="W300">
        <v>449489.3431</v>
      </c>
      <c r="X300">
        <v>450889.54619999998</v>
      </c>
      <c r="Y300">
        <v>448682.5466</v>
      </c>
      <c r="Z300">
        <v>448065.78950000001</v>
      </c>
      <c r="AA300">
        <v>448280.97110000002</v>
      </c>
      <c r="AB300">
        <v>448972.46610000002</v>
      </c>
      <c r="AC300">
        <v>449914.87089999998</v>
      </c>
      <c r="AD300">
        <v>451045.5735</v>
      </c>
      <c r="AE300">
        <v>454172.60060000001</v>
      </c>
      <c r="AF300">
        <v>456679.23019999999</v>
      </c>
      <c r="AG300">
        <v>458946.16529999999</v>
      </c>
      <c r="AH300">
        <v>463016.09379999997</v>
      </c>
      <c r="AI300">
        <v>464474.77110000001</v>
      </c>
      <c r="AJ300">
        <v>466391.2022</v>
      </c>
      <c r="AK300">
        <v>468550.44179999997</v>
      </c>
      <c r="AL300">
        <v>470853.76809999999</v>
      </c>
      <c r="AM300">
        <v>473247.69099999999</v>
      </c>
      <c r="AN300">
        <v>475848.77789999999</v>
      </c>
      <c r="AO300">
        <v>478249.02600000001</v>
      </c>
      <c r="AP300">
        <v>480551.16869999998</v>
      </c>
      <c r="AQ300">
        <v>482794.98</v>
      </c>
      <c r="AR300">
        <v>484996.12609999999</v>
      </c>
      <c r="AS300">
        <v>487314.3786</v>
      </c>
      <c r="AT300">
        <v>489529.4866</v>
      </c>
      <c r="AU300">
        <v>491692.91230000003</v>
      </c>
      <c r="AV300">
        <v>493831.28139999998</v>
      </c>
      <c r="AW300">
        <v>495954.56050000002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>
    <tabColor rgb="FF0070C0"/>
  </sheetPr>
  <dimension ref="A1:BV376"/>
  <sheetViews>
    <sheetView topLeftCell="A34" zoomScale="80" zoomScaleNormal="80" workbookViewId="0">
      <selection activeCell="F10" sqref="F10"/>
    </sheetView>
  </sheetViews>
  <sheetFormatPr baseColWidth="10" defaultRowHeight="15" x14ac:dyDescent="0.25"/>
  <cols>
    <col min="1" max="2" width="29.85546875" customWidth="1"/>
    <col min="6" max="7" width="11.42578125" customWidth="1"/>
    <col min="9" max="9" width="13.140625" customWidth="1"/>
    <col min="10" max="12" width="11.42578125" style="3"/>
    <col min="13" max="13" width="11.42578125" style="3" customWidth="1"/>
    <col min="14" max="15" width="11.42578125" style="3"/>
    <col min="16" max="16" width="13.42578125" style="3" customWidth="1"/>
    <col min="17" max="19" width="11.42578125" style="3"/>
    <col min="20" max="20" width="11.42578125" style="3" customWidth="1"/>
    <col min="21" max="74" width="11.42578125" style="3"/>
  </cols>
  <sheetData>
    <row r="1" spans="1:28" ht="23.25" x14ac:dyDescent="0.35">
      <c r="A1" s="1" t="s">
        <v>86</v>
      </c>
      <c r="B1" s="46"/>
      <c r="C1" s="3"/>
      <c r="D1" s="3"/>
      <c r="E1" s="3"/>
      <c r="F1" s="3"/>
      <c r="G1" s="3"/>
      <c r="H1" s="3"/>
      <c r="I1" s="3"/>
    </row>
    <row r="2" spans="1:28" ht="18.75" x14ac:dyDescent="0.3">
      <c r="A2" s="41"/>
      <c r="B2" s="41"/>
      <c r="C2" s="3"/>
      <c r="D2" s="3"/>
      <c r="E2" s="3"/>
      <c r="F2" s="3"/>
      <c r="G2" s="3"/>
      <c r="H2" s="3"/>
      <c r="I2" s="3"/>
      <c r="R2" s="41"/>
      <c r="V2" s="45"/>
      <c r="W2" s="45"/>
    </row>
    <row r="3" spans="1:28" ht="23.25" x14ac:dyDescent="0.35">
      <c r="A3" s="161" t="str">
        <f>Résultats!B1</f>
        <v>SNBC3</v>
      </c>
      <c r="B3" s="161"/>
      <c r="C3" s="3"/>
      <c r="D3" s="3"/>
      <c r="E3" s="3"/>
      <c r="F3" s="3"/>
      <c r="G3" s="3"/>
      <c r="H3" s="3"/>
      <c r="I3" s="3"/>
      <c r="R3" s="41"/>
      <c r="V3" s="45"/>
      <c r="W3" s="45"/>
    </row>
    <row r="4" spans="1:28" x14ac:dyDescent="0.25">
      <c r="A4" s="3"/>
      <c r="B4" s="3"/>
      <c r="C4" s="43"/>
      <c r="D4" s="43"/>
      <c r="E4" s="43"/>
      <c r="F4" s="43"/>
      <c r="G4" s="44"/>
      <c r="H4" s="3"/>
      <c r="I4" s="3"/>
      <c r="J4" s="44"/>
      <c r="K4" s="44"/>
      <c r="L4" s="44"/>
      <c r="M4" s="44"/>
      <c r="O4" s="42"/>
      <c r="Q4" s="44"/>
      <c r="R4" s="44"/>
      <c r="S4" s="44"/>
      <c r="T4" s="44"/>
      <c r="X4" s="44"/>
      <c r="Y4" s="44"/>
      <c r="Z4" s="44"/>
      <c r="AA4" s="44"/>
    </row>
    <row r="5" spans="1:28" ht="21" x14ac:dyDescent="0.35">
      <c r="A5" s="145">
        <v>2015</v>
      </c>
      <c r="B5" s="186"/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93" t="s">
        <v>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5">
      <c r="A6" s="162" t="s">
        <v>18</v>
      </c>
      <c r="B6" s="187"/>
      <c r="C6" s="36">
        <f>C7+C8</f>
        <v>0</v>
      </c>
      <c r="D6" s="36">
        <f>D7+D8</f>
        <v>130.10436022208455</v>
      </c>
      <c r="E6" s="36">
        <f>E7+E8</f>
        <v>0.6038834584774293</v>
      </c>
      <c r="F6" s="36">
        <f>F7+F8</f>
        <v>0.3853749796469027</v>
      </c>
      <c r="G6" s="36">
        <f>G7+G8</f>
        <v>0</v>
      </c>
      <c r="H6" s="163">
        <f t="shared" ref="H6:H15" si="0">SUM(C6:G6)</f>
        <v>131.0936186602089</v>
      </c>
      <c r="I6" s="166"/>
      <c r="J6" s="166"/>
      <c r="K6" s="166" t="s">
        <v>89</v>
      </c>
      <c r="L6" s="166"/>
      <c r="M6" s="166"/>
      <c r="N6" s="38"/>
      <c r="O6" s="206"/>
      <c r="P6" s="206"/>
      <c r="Q6" s="206"/>
      <c r="R6" s="206"/>
      <c r="S6" s="206"/>
      <c r="T6" s="207"/>
      <c r="U6" s="38"/>
      <c r="V6" s="45"/>
      <c r="W6" s="82"/>
      <c r="X6" s="208"/>
      <c r="Y6" s="208"/>
      <c r="Z6" s="208"/>
      <c r="AA6" s="208"/>
      <c r="AB6" s="208"/>
    </row>
    <row r="7" spans="1:28" x14ac:dyDescent="0.25">
      <c r="A7" s="148" t="s">
        <v>19</v>
      </c>
      <c r="B7" s="35"/>
      <c r="C7" s="16">
        <v>0</v>
      </c>
      <c r="D7" s="16">
        <f>'T energie usages'!I12*3.2*Résultats!L283</f>
        <v>74.627347992884566</v>
      </c>
      <c r="E7" s="16">
        <f>'T energie usages'!J12/'T energie usages'!J$20*(Résultats!N$192+Résultats!N$193+Résultats!N$194)/1000000</f>
        <v>1.4334855612441319E-2</v>
      </c>
      <c r="F7" s="16">
        <f>'T energie usages'!K12*2.394*Résultats!L284</f>
        <v>1.8594526902751439E-5</v>
      </c>
      <c r="G7" s="16">
        <v>0</v>
      </c>
      <c r="H7" s="95">
        <f t="shared" si="0"/>
        <v>74.641701443023919</v>
      </c>
      <c r="I7" s="166"/>
      <c r="J7" s="166"/>
      <c r="K7" s="194"/>
      <c r="L7" s="195">
        <v>2020</v>
      </c>
      <c r="M7" s="195">
        <v>2030</v>
      </c>
      <c r="N7" s="196">
        <v>2050</v>
      </c>
      <c r="O7" s="206"/>
      <c r="P7" s="206"/>
      <c r="Q7" s="206"/>
      <c r="R7" s="206"/>
      <c r="S7" s="206"/>
      <c r="T7" s="207"/>
      <c r="U7" s="38"/>
      <c r="V7" s="45"/>
      <c r="W7" s="30"/>
      <c r="X7" s="208"/>
      <c r="Y7" s="208"/>
      <c r="Z7" s="208"/>
      <c r="AA7" s="208"/>
      <c r="AB7" s="208"/>
    </row>
    <row r="8" spans="1:28" x14ac:dyDescent="0.25">
      <c r="A8" s="149" t="s">
        <v>20</v>
      </c>
      <c r="B8" s="35"/>
      <c r="C8" s="16">
        <v>0</v>
      </c>
      <c r="D8" s="16">
        <f>(Résultats!N$183+Résultats!N$184+Résultats!N$185+Résultats!N$186+Résultats!N$187)/1000000</f>
        <v>55.4770122292</v>
      </c>
      <c r="E8" s="16">
        <f>'T energie usages'!J13/'T energie usages'!J$20*(Résultats!N$192+Résultats!N$193+Résultats!N$194)/1000000</f>
        <v>0.589548602864988</v>
      </c>
      <c r="F8" s="16">
        <f>(Résultats!N$209+Résultats!N$210+Résultats!N$211+Résultats!N$212+Résultats!N$213)/1000000</f>
        <v>0.38535638511999998</v>
      </c>
      <c r="G8" s="16">
        <v>0</v>
      </c>
      <c r="H8" s="95">
        <f t="shared" si="0"/>
        <v>56.451917217184985</v>
      </c>
      <c r="I8" s="166"/>
      <c r="J8" s="166"/>
      <c r="K8" s="197" t="s">
        <v>18</v>
      </c>
      <c r="L8" s="45">
        <f>H19</f>
        <v>126.95564612256405</v>
      </c>
      <c r="M8" s="45">
        <f>H45</f>
        <v>97.741445347365428</v>
      </c>
      <c r="N8" s="86">
        <f>H71</f>
        <v>10.29249655159639</v>
      </c>
      <c r="O8" s="206"/>
      <c r="P8" s="206"/>
      <c r="Q8" s="206"/>
      <c r="R8" s="206"/>
      <c r="S8" s="206"/>
      <c r="T8" s="207"/>
      <c r="U8" s="38"/>
      <c r="V8" s="45"/>
      <c r="W8" s="30"/>
      <c r="X8" s="208"/>
      <c r="Y8" s="208"/>
      <c r="Z8" s="208"/>
      <c r="AA8" s="208"/>
      <c r="AB8" s="208"/>
    </row>
    <row r="9" spans="1:28" x14ac:dyDescent="0.25">
      <c r="A9" s="162" t="s">
        <v>21</v>
      </c>
      <c r="B9" s="187"/>
      <c r="C9" s="36">
        <f>Résultats!N$135/1000000</f>
        <v>0.90043686140000001</v>
      </c>
      <c r="D9" s="36">
        <f>'T energie usages'!I14*3.2*Résultats!L283</f>
        <v>22.123012816712368</v>
      </c>
      <c r="E9" s="36">
        <f>'T energie usages'!J14/'T energie usages'!J$20*(Résultats!N$192+Résultats!N$193+Résultats!N$194)/1000000</f>
        <v>6.9660181601042597</v>
      </c>
      <c r="F9" s="36">
        <f>('T energie usages'!K14-8)*2.394*Résultats!L284</f>
        <v>23.315405821253808</v>
      </c>
      <c r="G9" s="36">
        <v>0</v>
      </c>
      <c r="H9" s="163">
        <f t="shared" si="0"/>
        <v>53.304873659470431</v>
      </c>
      <c r="I9" s="166"/>
      <c r="J9" s="166"/>
      <c r="K9" s="197" t="s">
        <v>87</v>
      </c>
      <c r="L9" s="45">
        <f>H22</f>
        <v>45.730064290910278</v>
      </c>
      <c r="M9" s="45">
        <f>H48</f>
        <v>26.911950726749723</v>
      </c>
      <c r="N9" s="86">
        <f>H74</f>
        <v>4.4342210908561759</v>
      </c>
      <c r="O9" s="206"/>
      <c r="P9" s="206"/>
      <c r="Q9" s="206"/>
      <c r="R9" s="206"/>
      <c r="S9" s="206"/>
      <c r="T9" s="207"/>
      <c r="U9" s="38"/>
      <c r="V9" s="45"/>
      <c r="W9" s="82"/>
      <c r="X9" s="208"/>
      <c r="Y9" s="208"/>
      <c r="Z9" s="208"/>
      <c r="AA9" s="208"/>
      <c r="AB9" s="208"/>
    </row>
    <row r="10" spans="1:28" x14ac:dyDescent="0.25">
      <c r="A10" s="162" t="s">
        <v>22</v>
      </c>
      <c r="B10" s="187"/>
      <c r="C10" s="36">
        <f>(Résultats!N$168+Résultats!N$169)/1000000</f>
        <v>0</v>
      </c>
      <c r="D10" s="36">
        <f>(Résultats!N$188+Résultats!N$189)/1000000</f>
        <v>12.462402564200001</v>
      </c>
      <c r="E10" s="36">
        <f>'T energie usages'!J15/'T energie usages'!J$20*(Résultats!N$192+Résultats!N$193+Résultats!N$194)/1000000</f>
        <v>6.6120428696815337</v>
      </c>
      <c r="F10" s="36">
        <f>(Résultats!N$214+Résultats!N$215)/1000000</f>
        <v>16.321584764000001</v>
      </c>
      <c r="G10" s="36">
        <v>0</v>
      </c>
      <c r="H10" s="163">
        <f t="shared" si="0"/>
        <v>35.396030197881537</v>
      </c>
      <c r="I10" s="166"/>
      <c r="J10" s="166"/>
      <c r="K10" s="157" t="s">
        <v>22</v>
      </c>
      <c r="L10" s="45">
        <f>H23</f>
        <v>26.808207262582762</v>
      </c>
      <c r="M10" s="45">
        <f>H49</f>
        <v>18.750752850525878</v>
      </c>
      <c r="N10" s="86">
        <f>H75</f>
        <v>3.9057571656679544</v>
      </c>
      <c r="O10" s="206"/>
      <c r="P10" s="206"/>
      <c r="Q10" s="206"/>
      <c r="R10" s="206"/>
      <c r="S10" s="206"/>
      <c r="T10" s="207"/>
      <c r="U10" s="38"/>
      <c r="V10" s="45"/>
      <c r="W10" s="82"/>
      <c r="X10" s="208"/>
      <c r="Y10" s="208"/>
      <c r="Z10" s="208"/>
      <c r="AA10" s="208"/>
      <c r="AB10" s="208"/>
    </row>
    <row r="11" spans="1:28" x14ac:dyDescent="0.25">
      <c r="A11" s="162" t="s">
        <v>23</v>
      </c>
      <c r="B11" s="187"/>
      <c r="C11" s="36">
        <f>C12+C13</f>
        <v>19.550145682900002</v>
      </c>
      <c r="D11" s="36">
        <f>D12+D13</f>
        <v>62.829798116731737</v>
      </c>
      <c r="E11" s="36">
        <f>E12+E13</f>
        <v>5.6260478437367771</v>
      </c>
      <c r="F11" s="36">
        <f>F12+F13</f>
        <v>24.348839165357798</v>
      </c>
      <c r="G11" s="36">
        <f>G12+G13</f>
        <v>12.05881789</v>
      </c>
      <c r="H11" s="163">
        <f t="shared" si="0"/>
        <v>124.41364869872632</v>
      </c>
      <c r="I11" s="166"/>
      <c r="J11" s="166"/>
      <c r="K11" s="198" t="s">
        <v>88</v>
      </c>
      <c r="L11" s="199">
        <f>H24</f>
        <v>96.100582190644872</v>
      </c>
      <c r="M11" s="199">
        <f>H50</f>
        <v>65.572292126251853</v>
      </c>
      <c r="N11" s="89">
        <f>H76</f>
        <v>41.167276077306042</v>
      </c>
      <c r="O11" s="206"/>
      <c r="P11" s="206"/>
      <c r="Q11" s="206"/>
      <c r="R11" s="206"/>
      <c r="S11" s="206"/>
      <c r="T11" s="207"/>
      <c r="U11" s="38"/>
      <c r="V11" s="45"/>
      <c r="W11" s="82"/>
      <c r="X11" s="208"/>
      <c r="Y11" s="208"/>
      <c r="Z11" s="208"/>
      <c r="AA11" s="208"/>
      <c r="AB11" s="208"/>
    </row>
    <row r="12" spans="1:28" x14ac:dyDescent="0.25">
      <c r="A12" s="149" t="s">
        <v>24</v>
      </c>
      <c r="B12" s="35"/>
      <c r="C12" s="16">
        <f>(Résultats!N$162+Résultats!N$163+Résultats!N$164+Résultats!N$165+Résultats!N$166+Résultats!N$167)/1000000</f>
        <v>19.550145682900002</v>
      </c>
      <c r="D12" s="16">
        <f>(Résultats!N$171+Résultats!N$173+Résultats!N$174+Résultats!N$175+Résultats!N$176+Résultats!N$177+Résultats!N$178+Résultats!N$179+Résultats!N$180+Résultats!N$181+Résultats!N$182)/1000000</f>
        <v>55.739318580731741</v>
      </c>
      <c r="E12" s="16">
        <f>'T energie usages'!J17/'T energie usages'!J$20*(Résultats!N$192+Résultats!N$193+Résultats!N$194)/1000000</f>
        <v>5.4691951985562044</v>
      </c>
      <c r="F12" s="16">
        <f>(Résultats!N$197+Résultats!N$198+Résultats!N$199+Résultats!N$200+Résultats!N$201+Résultats!N$202+Résultats!N$203+Résultats!N$204+Résultats!N$205+Résultats!N$206+Résultats!N$207+Résultats!N$208+Résultats!N$216+Résultats!N$218)/1000000</f>
        <v>23.736805077757797</v>
      </c>
      <c r="G12" s="16">
        <f>Résultats!N$133/1000000</f>
        <v>12.05881789</v>
      </c>
      <c r="H12" s="95">
        <f t="shared" si="0"/>
        <v>116.55428242994574</v>
      </c>
      <c r="I12" s="166"/>
      <c r="J12" s="166"/>
      <c r="K12" s="200" t="s">
        <v>1</v>
      </c>
      <c r="L12" s="188">
        <f>SUM(L8:L11)</f>
        <v>295.59449986670199</v>
      </c>
      <c r="M12" s="188">
        <f t="shared" ref="M12:N12" si="1">SUM(M8:M11)</f>
        <v>208.97644105089287</v>
      </c>
      <c r="N12" s="188">
        <f t="shared" si="1"/>
        <v>59.799750885426562</v>
      </c>
      <c r="O12" s="206"/>
      <c r="P12" s="206"/>
      <c r="Q12" s="206"/>
      <c r="R12" s="206"/>
      <c r="S12" s="206"/>
      <c r="T12" s="207"/>
      <c r="U12" s="38"/>
      <c r="V12" s="45"/>
      <c r="W12" s="30"/>
      <c r="X12" s="208"/>
      <c r="Y12" s="208"/>
      <c r="Z12" s="208"/>
      <c r="AA12" s="208"/>
      <c r="AB12" s="208"/>
    </row>
    <row r="13" spans="1:28" x14ac:dyDescent="0.25">
      <c r="A13" s="149" t="s">
        <v>25</v>
      </c>
      <c r="B13" s="35"/>
      <c r="C13" s="16">
        <v>0</v>
      </c>
      <c r="D13" s="16">
        <f>(Résultats!N$172)/1000000</f>
        <v>7.0904795360000001</v>
      </c>
      <c r="E13" s="16">
        <f>'T energie usages'!J19/'T energie usages'!J$20*(Résultats!N$192+Résultats!N$193+Résultats!N$194)/1000000</f>
        <v>0.15685264518057304</v>
      </c>
      <c r="F13" s="16">
        <f>(Résultats!N$196)/1000000</f>
        <v>0.6120340876</v>
      </c>
      <c r="G13" s="16">
        <v>0</v>
      </c>
      <c r="H13" s="95">
        <f t="shared" si="0"/>
        <v>7.8593662687805725</v>
      </c>
      <c r="I13" s="166"/>
      <c r="J13" s="166"/>
      <c r="K13" s="166"/>
      <c r="L13" s="166"/>
      <c r="M13" s="166"/>
      <c r="N13" s="38"/>
      <c r="O13" s="206"/>
      <c r="P13" s="206"/>
      <c r="Q13" s="206"/>
      <c r="R13" s="206"/>
      <c r="S13" s="206"/>
      <c r="T13" s="207"/>
      <c r="U13" s="38"/>
      <c r="V13" s="45"/>
      <c r="W13" s="30"/>
      <c r="X13" s="208"/>
      <c r="Y13" s="208"/>
      <c r="Z13" s="208"/>
      <c r="AA13" s="208"/>
      <c r="AB13" s="208"/>
    </row>
    <row r="14" spans="1:28" x14ac:dyDescent="0.25">
      <c r="A14" s="48" t="s">
        <v>41</v>
      </c>
      <c r="B14" s="37"/>
      <c r="C14" s="37">
        <f>SUM(C9:C11)+C6</f>
        <v>20.450582544300001</v>
      </c>
      <c r="D14" s="37">
        <f>SUM(D9:D11)+D6</f>
        <v>227.51957371972867</v>
      </c>
      <c r="E14" s="37">
        <f>SUM(E9:E11)+E6</f>
        <v>19.807992332000001</v>
      </c>
      <c r="F14" s="37">
        <f>SUM(F9:F11)+F6</f>
        <v>64.371204730258512</v>
      </c>
      <c r="G14" s="37">
        <f>SUM(G9:G11)+G6</f>
        <v>12.05881789</v>
      </c>
      <c r="H14" s="167">
        <f t="shared" si="0"/>
        <v>344.20817121628721</v>
      </c>
      <c r="I14" s="166"/>
      <c r="J14" s="166"/>
      <c r="K14" s="166"/>
      <c r="L14" s="166"/>
      <c r="M14" s="166"/>
      <c r="N14" s="38"/>
      <c r="O14" s="206"/>
      <c r="P14" s="206"/>
      <c r="Q14" s="206"/>
      <c r="R14" s="206"/>
      <c r="S14" s="206"/>
      <c r="T14" s="207"/>
      <c r="U14" s="38"/>
      <c r="V14" s="45"/>
      <c r="W14" s="80"/>
      <c r="X14" s="208"/>
      <c r="Y14" s="208"/>
      <c r="Z14" s="208"/>
      <c r="AA14" s="208"/>
      <c r="AB14" s="208"/>
    </row>
    <row r="15" spans="1:28" x14ac:dyDescent="0.25">
      <c r="A15" s="164" t="s">
        <v>43</v>
      </c>
      <c r="B15" s="164"/>
      <c r="C15" s="165">
        <f>(Résultats!N$135+Résultats!N$162+Résultats!N$163+Résultats!N$164+Résultats!N$165+Résultats!N$166+Résultats!N$167+Résultats!N$168+Résultats!N$169)/1000000</f>
        <v>20.450582544300001</v>
      </c>
      <c r="D15" s="165">
        <f>(Résultats!N$137+Résultats!N$171+Résultats!N$172+Résultats!N$173+Résultats!N$174+Résultats!N$175+Résultats!N$176+Résultats!N$177+Résultats!N$178+Résultats!N$179+Résultats!N$180+Résultats!N$181+Résultats!N$182+Résultats!N$183+Résultats!N$184+Résultats!N$185+Résultats!N$186+Résultats!N$187+Résultats!N$188+Résultats!N$189)/1000000</f>
        <v>226.78486286013174</v>
      </c>
      <c r="E15" s="165">
        <f>(Résultats!N$192+Résultats!N$193+Résultats!N$194)/1000000</f>
        <v>19.807992332000001</v>
      </c>
      <c r="F15" s="165">
        <f>(Résultats!N$139+Résultats!N$196+Résultats!N$197+Résultats!N$198+Résultats!N$199+Résultats!N$200+Résultats!N$201+Résultats!N$202+Résultats!N$203+Résultats!N$204+Résultats!N$205+Résultats!N$206+Résultats!N$207+Résultats!N$208+Résultats!N$209+Résultats!N$210+Résultats!N$211+Résultats!N$212+Résultats!N$213+Résultats!N$214+Résultats!N$215+Résultats!N$216+Résultats!N$218)/1000000</f>
        <v>68.206643064477802</v>
      </c>
      <c r="G15" s="165">
        <f>Résultats!N$133/1000000</f>
        <v>12.05881789</v>
      </c>
      <c r="H15" s="188">
        <f t="shared" si="0"/>
        <v>347.30889869090959</v>
      </c>
      <c r="I15" s="166"/>
      <c r="J15" s="166"/>
      <c r="K15" s="166"/>
      <c r="L15" s="166"/>
      <c r="M15" s="207"/>
      <c r="N15" s="45"/>
      <c r="O15" s="166"/>
      <c r="P15" s="166"/>
      <c r="Q15" s="166"/>
      <c r="R15" s="166"/>
      <c r="S15" s="207"/>
      <c r="T15" s="207"/>
      <c r="U15" s="45"/>
      <c r="V15" s="45"/>
      <c r="W15" s="79"/>
      <c r="X15" s="208"/>
      <c r="Y15" s="208"/>
      <c r="Z15" s="208"/>
      <c r="AA15" s="208"/>
      <c r="AB15" s="208"/>
    </row>
    <row r="16" spans="1:28" x14ac:dyDescent="0.25">
      <c r="A16" s="164"/>
      <c r="B16" s="164"/>
      <c r="C16" s="189"/>
      <c r="D16" s="189"/>
      <c r="E16" s="189"/>
      <c r="F16" s="189"/>
      <c r="G16" s="189"/>
      <c r="H16" s="165">
        <f>Résultats!N227/1000000</f>
        <v>347.308898</v>
      </c>
      <c r="I16" s="166"/>
      <c r="J16" s="166"/>
      <c r="K16" s="166"/>
      <c r="L16" s="166"/>
      <c r="M16" s="207"/>
      <c r="N16" s="209"/>
      <c r="O16" s="166"/>
      <c r="P16" s="166"/>
      <c r="Q16" s="166"/>
      <c r="R16" s="166"/>
      <c r="S16" s="207"/>
      <c r="T16" s="207"/>
      <c r="U16" s="209"/>
      <c r="V16" s="209"/>
      <c r="W16" s="210"/>
      <c r="X16" s="208"/>
      <c r="Y16" s="208"/>
      <c r="Z16" s="208"/>
      <c r="AA16" s="208"/>
      <c r="AB16" s="208"/>
    </row>
    <row r="17" spans="1:28" x14ac:dyDescent="0.25">
      <c r="A17" s="3"/>
      <c r="B17" s="3"/>
      <c r="C17" s="75"/>
      <c r="D17" s="75"/>
      <c r="E17" s="75"/>
      <c r="F17" s="75"/>
      <c r="G17" s="75"/>
      <c r="H17" s="45"/>
      <c r="I17" s="166"/>
      <c r="J17" s="166"/>
      <c r="K17" s="166"/>
      <c r="L17" s="166"/>
      <c r="M17" s="207"/>
      <c r="O17" s="166"/>
      <c r="P17" s="166"/>
      <c r="Q17" s="166"/>
      <c r="R17" s="166"/>
      <c r="S17" s="207"/>
      <c r="T17" s="207"/>
      <c r="X17" s="208"/>
      <c r="Y17" s="208"/>
      <c r="Z17" s="208"/>
      <c r="AA17" s="208"/>
      <c r="AB17" s="208"/>
    </row>
    <row r="18" spans="1:28" ht="21" x14ac:dyDescent="0.35">
      <c r="A18" s="145">
        <v>2020</v>
      </c>
      <c r="B18" s="186"/>
      <c r="C18" s="27" t="s">
        <v>36</v>
      </c>
      <c r="D18" s="27" t="s">
        <v>37</v>
      </c>
      <c r="E18" s="27" t="s">
        <v>38</v>
      </c>
      <c r="F18" s="27" t="s">
        <v>39</v>
      </c>
      <c r="G18" s="27" t="s">
        <v>40</v>
      </c>
      <c r="H18" s="190" t="s">
        <v>1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W18" s="19"/>
      <c r="X18" s="19"/>
      <c r="Y18" s="19"/>
      <c r="Z18" s="19"/>
      <c r="AA18" s="19"/>
      <c r="AB18" s="208"/>
    </row>
    <row r="19" spans="1:28" x14ac:dyDescent="0.25">
      <c r="A19" s="162" t="s">
        <v>18</v>
      </c>
      <c r="B19" s="187"/>
      <c r="C19" s="36">
        <f>C20+C21</f>
        <v>0</v>
      </c>
      <c r="D19" s="36">
        <f>D20+D21</f>
        <v>126.0161072294961</v>
      </c>
      <c r="E19" s="36">
        <f>E20+E21</f>
        <v>0.52019736206596778</v>
      </c>
      <c r="F19" s="36">
        <f>F20+F21</f>
        <v>0.41934153100197896</v>
      </c>
      <c r="G19" s="36">
        <f>G20+G21</f>
        <v>0</v>
      </c>
      <c r="H19" s="163">
        <f>SUM(C19:G19)</f>
        <v>126.95564612256405</v>
      </c>
      <c r="I19" s="166"/>
      <c r="J19" s="166"/>
      <c r="K19" s="166"/>
      <c r="L19" s="166"/>
      <c r="M19" s="166"/>
      <c r="N19" s="38"/>
      <c r="O19" s="206"/>
      <c r="P19" s="206"/>
      <c r="Q19" s="206"/>
      <c r="R19" s="206"/>
      <c r="S19" s="206"/>
      <c r="T19" s="207"/>
      <c r="U19" s="75"/>
      <c r="W19" s="82"/>
      <c r="X19" s="208"/>
      <c r="Y19" s="208"/>
      <c r="Z19" s="208"/>
      <c r="AA19" s="208"/>
      <c r="AB19" s="208"/>
    </row>
    <row r="20" spans="1:28" x14ac:dyDescent="0.25">
      <c r="A20" s="148" t="s">
        <v>19</v>
      </c>
      <c r="B20" s="35"/>
      <c r="C20" s="16">
        <v>0</v>
      </c>
      <c r="D20" s="16">
        <f>'T energie usages'!I25*3.2*Résultats!S283</f>
        <v>72.167009267996093</v>
      </c>
      <c r="E20" s="16">
        <f>'T energie usages'!J25/'T energie usages'!J$33*(Résultats!S$192+Résultats!S$193+Résultats!S$194)/1000000</f>
        <v>3.9832283015663633E-2</v>
      </c>
      <c r="F20" s="16">
        <f>'T energie usages'!K25*2.394*Résultats!S284</f>
        <v>2.628264197900127E-5</v>
      </c>
      <c r="G20" s="16">
        <v>0</v>
      </c>
      <c r="H20" s="95">
        <f>SUM(C20:G20)</f>
        <v>72.206867833653746</v>
      </c>
      <c r="I20" s="166"/>
      <c r="J20" s="166"/>
      <c r="K20" s="166"/>
      <c r="L20" s="166"/>
      <c r="M20" s="166"/>
      <c r="N20" s="38"/>
      <c r="O20" s="206"/>
      <c r="P20" s="206"/>
      <c r="Q20" s="206"/>
      <c r="R20" s="206"/>
      <c r="S20" s="206"/>
      <c r="T20" s="207"/>
      <c r="U20" s="16"/>
      <c r="W20" s="30"/>
      <c r="X20" s="208"/>
      <c r="Y20" s="208"/>
      <c r="Z20" s="208"/>
      <c r="AA20" s="208"/>
      <c r="AB20" s="208"/>
    </row>
    <row r="21" spans="1:28" x14ac:dyDescent="0.25">
      <c r="A21" s="149" t="s">
        <v>20</v>
      </c>
      <c r="B21" s="35"/>
      <c r="C21" s="16">
        <v>0</v>
      </c>
      <c r="D21" s="16">
        <f>(Résultats!S$183+Résultats!S$184+Résultats!S$185+Résultats!S$186+Résultats!S$187)/1000000</f>
        <v>53.849097961500007</v>
      </c>
      <c r="E21" s="16">
        <f>'T energie usages'!J26/'T energie usages'!J$33*(Résultats!S$192+Résultats!S$193+Résultats!S$194)/1000000</f>
        <v>0.48036507905030418</v>
      </c>
      <c r="F21" s="16">
        <f>(Résultats!S$209+Résultats!S$210+Résultats!S$211+Résultats!S$212+Résultats!S$213)/1000000</f>
        <v>0.41931524835999995</v>
      </c>
      <c r="G21" s="16">
        <v>0</v>
      </c>
      <c r="H21" s="95">
        <f>SUM(C21:G21)</f>
        <v>54.748778288910309</v>
      </c>
      <c r="I21" s="166"/>
      <c r="J21" s="166"/>
      <c r="K21" s="166"/>
      <c r="L21" s="166"/>
      <c r="M21" s="166"/>
      <c r="N21" s="38"/>
      <c r="O21" s="206"/>
      <c r="P21" s="206"/>
      <c r="Q21" s="206"/>
      <c r="R21" s="206"/>
      <c r="S21" s="206"/>
      <c r="T21" s="207"/>
      <c r="U21" s="16"/>
      <c r="W21" s="30"/>
      <c r="X21" s="208"/>
      <c r="Y21" s="208"/>
      <c r="Z21" s="208"/>
      <c r="AA21" s="208"/>
      <c r="AB21" s="208"/>
    </row>
    <row r="22" spans="1:28" x14ac:dyDescent="0.25">
      <c r="A22" s="162" t="s">
        <v>21</v>
      </c>
      <c r="B22" s="187"/>
      <c r="C22" s="36">
        <f>Résultats!S$135/1000000</f>
        <v>0.80611178319999999</v>
      </c>
      <c r="D22" s="36">
        <f>'T energie usages'!I27*3.2*Résultats!S283</f>
        <v>19.097652289486813</v>
      </c>
      <c r="E22" s="36">
        <f>'T energie usages'!J27/'T energie usages'!J$33*(Résultats!S$192+Résultats!S$193+Résultats!S$194)/1000000</f>
        <v>5.3516057719096839</v>
      </c>
      <c r="F22" s="36">
        <f>('T energie usages'!K27-8)*2.394*Résultats!S284</f>
        <v>20.474694446313787</v>
      </c>
      <c r="G22" s="36">
        <v>0</v>
      </c>
      <c r="H22" s="163">
        <f>SUM(C22:G22)</f>
        <v>45.730064290910278</v>
      </c>
      <c r="I22" s="166"/>
      <c r="J22" s="166"/>
      <c r="K22" s="166"/>
      <c r="L22" s="166"/>
      <c r="M22" s="166"/>
      <c r="N22" s="38"/>
      <c r="O22" s="206"/>
      <c r="P22" s="206"/>
      <c r="Q22" s="206"/>
      <c r="R22" s="206"/>
      <c r="S22" s="206"/>
      <c r="T22" s="207"/>
      <c r="U22" s="75"/>
      <c r="W22" s="82"/>
      <c r="X22" s="208"/>
      <c r="Y22" s="208"/>
      <c r="Z22" s="208"/>
      <c r="AA22" s="208"/>
      <c r="AB22" s="208"/>
    </row>
    <row r="23" spans="1:28" x14ac:dyDescent="0.25">
      <c r="A23" s="162" t="s">
        <v>22</v>
      </c>
      <c r="B23" s="187"/>
      <c r="C23" s="36">
        <f>(Résultats!S$168+Résultats!S$169)/1000000</f>
        <v>0</v>
      </c>
      <c r="D23" s="36">
        <f>(Résultats!S$188+Résultats!S$189)/1000000</f>
        <v>9.0478276494000003</v>
      </c>
      <c r="E23" s="36">
        <f>'T energie usages'!J28/'T energie usages'!J$33*(Résultats!S$192+Résultats!S$193+Résultats!S$194)/1000000</f>
        <v>4.7251646081827756</v>
      </c>
      <c r="F23" s="36">
        <f>(Résultats!S$214+Résultats!S$215)/1000000</f>
        <v>13.035215004999989</v>
      </c>
      <c r="G23" s="36">
        <v>0</v>
      </c>
      <c r="H23" s="163">
        <f t="shared" ref="H23:H28" si="2">SUM(C23:G23)</f>
        <v>26.808207262582762</v>
      </c>
      <c r="I23" s="166"/>
      <c r="J23" s="166"/>
      <c r="K23" s="166"/>
      <c r="L23" s="166"/>
      <c r="M23" s="166"/>
      <c r="N23" s="38"/>
      <c r="O23" s="206"/>
      <c r="P23" s="206"/>
      <c r="Q23" s="206"/>
      <c r="R23" s="206"/>
      <c r="S23" s="206"/>
      <c r="T23" s="207"/>
      <c r="U23" s="75"/>
      <c r="W23" s="82"/>
      <c r="X23" s="208"/>
      <c r="Y23" s="208"/>
      <c r="Z23" s="208"/>
      <c r="AA23" s="208"/>
      <c r="AB23" s="208"/>
    </row>
    <row r="24" spans="1:28" x14ac:dyDescent="0.25">
      <c r="A24" s="162" t="s">
        <v>23</v>
      </c>
      <c r="B24" s="187"/>
      <c r="C24" s="36">
        <f>C25+C26</f>
        <v>10.631844943700001</v>
      </c>
      <c r="D24" s="36">
        <f>D25+D26</f>
        <v>44.30342327977629</v>
      </c>
      <c r="E24" s="36">
        <f>E25+E26</f>
        <v>3.5127789008415742</v>
      </c>
      <c r="F24" s="36">
        <f>F25+F26</f>
        <v>24.160874496327018</v>
      </c>
      <c r="G24" s="36">
        <f>G25+G26</f>
        <v>13.491660570000001</v>
      </c>
      <c r="H24" s="163">
        <f t="shared" si="2"/>
        <v>96.100582190644872</v>
      </c>
      <c r="I24" s="166"/>
      <c r="J24" s="166"/>
      <c r="K24" s="166"/>
      <c r="L24" s="166"/>
      <c r="M24" s="166"/>
      <c r="N24" s="38"/>
      <c r="O24" s="206"/>
      <c r="P24" s="206"/>
      <c r="Q24" s="206"/>
      <c r="R24" s="206"/>
      <c r="S24" s="206"/>
      <c r="T24" s="207"/>
      <c r="U24" s="75"/>
      <c r="W24" s="82"/>
      <c r="X24" s="208"/>
      <c r="Y24" s="208"/>
      <c r="Z24" s="208"/>
      <c r="AA24" s="208"/>
      <c r="AB24" s="208"/>
    </row>
    <row r="25" spans="1:28" x14ac:dyDescent="0.25">
      <c r="A25" s="149" t="s">
        <v>24</v>
      </c>
      <c r="B25" s="35"/>
      <c r="C25" s="16">
        <f>(Résultats!S$162+Résultats!S$163+Résultats!S$164+Résultats!S$165+Résultats!S$166+Résultats!S$167)/1000000</f>
        <v>10.631844943700001</v>
      </c>
      <c r="D25" s="16">
        <f>(Résultats!S$171+Résultats!S$173+Résultats!S$174+Résultats!S$175+Résultats!S$176+Résultats!S$177+Résultats!S$178+Résultats!S$179+Résultats!S$180+Résultats!S$181+Résultats!S$182)/1000000</f>
        <v>37.392595013776287</v>
      </c>
      <c r="E25" s="16">
        <f>'T energie usages'!J30/'T energie usages'!J$33*(Résultats!S$192+Résultats!S$193+Résultats!S$194)/1000000</f>
        <v>3.399346361277539</v>
      </c>
      <c r="F25" s="16">
        <f>(Résultats!S$197+Résultats!S$198+Résultats!S$199+Résultats!S$200+Résultats!S$201+Résultats!S$202+Résultats!S$203+Résultats!S$204+Résultats!S$205+Résultats!S$206+Résultats!S$207+Résultats!S$208+Résultats!S$216+Résultats!S$218)/1000000</f>
        <v>23.618014059327017</v>
      </c>
      <c r="G25" s="16">
        <f>Résultats!S$133/1000000</f>
        <v>13.491660570000001</v>
      </c>
      <c r="H25" s="95">
        <f t="shared" si="2"/>
        <v>88.53346094808083</v>
      </c>
      <c r="I25" s="166"/>
      <c r="J25" s="166"/>
      <c r="K25" s="166"/>
      <c r="L25" s="166"/>
      <c r="M25" s="166"/>
      <c r="N25" s="38"/>
      <c r="O25" s="206"/>
      <c r="P25" s="206"/>
      <c r="Q25" s="206"/>
      <c r="R25" s="206"/>
      <c r="S25" s="206"/>
      <c r="T25" s="207"/>
      <c r="U25" s="16"/>
      <c r="W25" s="30"/>
      <c r="X25" s="208"/>
      <c r="Y25" s="208"/>
      <c r="Z25" s="208"/>
      <c r="AA25" s="208"/>
      <c r="AB25" s="208"/>
    </row>
    <row r="26" spans="1:28" x14ac:dyDescent="0.25">
      <c r="A26" s="149" t="s">
        <v>25</v>
      </c>
      <c r="B26" s="35"/>
      <c r="C26" s="16">
        <v>0</v>
      </c>
      <c r="D26" s="16">
        <f>(Résultats!S$172)/1000000</f>
        <v>6.9108282660000002</v>
      </c>
      <c r="E26" s="16">
        <f>'T energie usages'!J32/'T energie usages'!J$33*(Résultats!S$192+Résultats!S$193+Résultats!S$194)/1000000</f>
        <v>0.11343253956403501</v>
      </c>
      <c r="F26" s="16">
        <f>(Résultats!S$196)/1000000</f>
        <v>0.54286043700000008</v>
      </c>
      <c r="G26" s="16">
        <v>0</v>
      </c>
      <c r="H26" s="95">
        <f t="shared" si="2"/>
        <v>7.5671212425640348</v>
      </c>
      <c r="I26" s="166"/>
      <c r="J26" s="166"/>
      <c r="K26" s="166"/>
      <c r="L26" s="166"/>
      <c r="M26" s="166"/>
      <c r="N26" s="38"/>
      <c r="O26" s="206"/>
      <c r="P26" s="206"/>
      <c r="Q26" s="206"/>
      <c r="R26" s="206"/>
      <c r="S26" s="206"/>
      <c r="T26" s="207"/>
      <c r="U26" s="16"/>
      <c r="W26" s="30"/>
      <c r="X26" s="208"/>
      <c r="Y26" s="208"/>
      <c r="Z26" s="208"/>
      <c r="AA26" s="208"/>
      <c r="AB26" s="208"/>
    </row>
    <row r="27" spans="1:28" x14ac:dyDescent="0.25">
      <c r="A27" s="48" t="s">
        <v>41</v>
      </c>
      <c r="B27" s="37"/>
      <c r="C27" s="37">
        <f>SUM(C22:C24)+C19</f>
        <v>11.437956726900001</v>
      </c>
      <c r="D27" s="37">
        <f>SUM(D22:D24)+D19</f>
        <v>198.46501044815921</v>
      </c>
      <c r="E27" s="37">
        <f>SUM(E22:E24)+E19</f>
        <v>14.109746643000001</v>
      </c>
      <c r="F27" s="37">
        <f>SUM(F22:F24)+F19</f>
        <v>58.090125478642769</v>
      </c>
      <c r="G27" s="37">
        <f>SUM(G22:G24)+G19</f>
        <v>13.491660570000001</v>
      </c>
      <c r="H27" s="167">
        <f t="shared" si="2"/>
        <v>295.59449986670199</v>
      </c>
      <c r="I27" s="166"/>
      <c r="J27" s="166"/>
      <c r="K27" s="166"/>
      <c r="L27" s="166"/>
      <c r="M27" s="166"/>
      <c r="N27" s="38"/>
      <c r="O27" s="206"/>
      <c r="P27" s="206"/>
      <c r="Q27" s="206"/>
      <c r="R27" s="206"/>
      <c r="S27" s="206"/>
      <c r="T27" s="207"/>
      <c r="U27" s="79"/>
      <c r="W27" s="80"/>
      <c r="X27" s="208"/>
      <c r="Y27" s="208"/>
      <c r="Z27" s="208"/>
      <c r="AA27" s="208"/>
      <c r="AB27" s="208"/>
    </row>
    <row r="28" spans="1:28" x14ac:dyDescent="0.25">
      <c r="A28" s="164" t="s">
        <v>43</v>
      </c>
      <c r="B28" s="164"/>
      <c r="C28" s="165">
        <f>(Résultats!S$135+Résultats!S$162+Résultats!S$163+Résultats!S$164+Résultats!S$165+Résultats!S$166+Résultats!S$167+Résultats!S$168+Résultats!S$169)/1000000</f>
        <v>11.4379567269</v>
      </c>
      <c r="D28" s="165">
        <f>(Résultats!S$137+Résultats!S$171+Résultats!S$172+Résultats!S$173+Résultats!S$174+Résultats!S$175+Résultats!S$176+Résultats!S$177+Résultats!S$178+Résultats!S$179+Résultats!S$180+Résultats!S$181+Résultats!S$182+Résultats!S$183+Résultats!S$184+Résultats!S$185+Résultats!S$186+Résultats!S$187+Résultats!S$188+Résultats!S$189)/1000000</f>
        <v>198.52016184067631</v>
      </c>
      <c r="E28" s="165">
        <f>(Résultats!S$192+Résultats!S$193+Résultats!S$194)/1000000</f>
        <v>14.109746643000001</v>
      </c>
      <c r="F28" s="165">
        <f>(Résultats!S$139+Résultats!S$196+Résultats!S$197+Résultats!S$198+Résultats!S$199+Résultats!S$200+Résultats!S$201+Résultats!S$202+Résultats!S$203+Résultats!S$204+Résultats!S$205+Résultats!S$206+Résultats!S$207+Résultats!S$208+Résultats!S$209+Résultats!S$210+Résultats!S$211+Résultats!S$212+Résultats!S$213+Résultats!S$214+Résultats!S$215+Résultats!S$216+Résultats!S$218)/1000000</f>
        <v>61.534812289687011</v>
      </c>
      <c r="G28" s="165">
        <f>Résultats!S$133/1000000</f>
        <v>13.491660570000001</v>
      </c>
      <c r="H28" s="188">
        <f t="shared" si="2"/>
        <v>299.09433807026335</v>
      </c>
      <c r="I28" s="166"/>
      <c r="J28" s="166"/>
      <c r="K28" s="166"/>
      <c r="L28" s="166"/>
      <c r="M28" s="166"/>
      <c r="N28" s="45"/>
      <c r="O28" s="166"/>
      <c r="P28" s="166"/>
      <c r="Q28" s="166"/>
      <c r="R28" s="166"/>
      <c r="S28" s="166"/>
      <c r="T28" s="207"/>
      <c r="U28" s="45"/>
      <c r="V28" s="45"/>
      <c r="W28" s="45"/>
      <c r="X28" s="208"/>
      <c r="Y28" s="208"/>
      <c r="Z28" s="208"/>
      <c r="AA28" s="208"/>
      <c r="AB28" s="208"/>
    </row>
    <row r="29" spans="1:28" x14ac:dyDescent="0.25">
      <c r="A29" s="164"/>
      <c r="B29" s="164"/>
      <c r="C29" s="189"/>
      <c r="D29" s="189"/>
      <c r="E29" s="189"/>
      <c r="F29" s="189"/>
      <c r="G29" s="189"/>
      <c r="H29" s="165">
        <f>Résultats!S227/1000000</f>
        <v>299.09433749999999</v>
      </c>
      <c r="I29" s="166"/>
      <c r="J29" s="166"/>
      <c r="K29" s="166"/>
      <c r="L29" s="166"/>
      <c r="M29" s="166"/>
      <c r="N29" s="45"/>
      <c r="O29" s="166"/>
      <c r="P29" s="166"/>
      <c r="Q29" s="166"/>
      <c r="R29" s="166"/>
      <c r="S29" s="166"/>
      <c r="T29" s="207"/>
      <c r="U29" s="45"/>
      <c r="V29" s="45"/>
      <c r="W29" s="45"/>
      <c r="X29" s="208"/>
      <c r="Y29" s="208"/>
      <c r="Z29" s="208"/>
      <c r="AA29" s="208"/>
      <c r="AB29" s="208"/>
    </row>
    <row r="30" spans="1:28" x14ac:dyDescent="0.25">
      <c r="A30" s="3"/>
      <c r="B30" s="3"/>
      <c r="C30" s="191"/>
      <c r="D30" s="191"/>
      <c r="E30" s="191"/>
      <c r="F30" s="191"/>
      <c r="G30" s="75"/>
      <c r="H30" s="45"/>
      <c r="I30" s="166"/>
      <c r="J30" s="166"/>
      <c r="K30" s="166"/>
      <c r="L30" s="166"/>
      <c r="N30" s="45"/>
      <c r="O30" s="166"/>
      <c r="P30" s="166"/>
      <c r="Q30" s="166"/>
      <c r="R30" s="166"/>
      <c r="S30" s="166"/>
      <c r="T30" s="207"/>
      <c r="U30" s="45"/>
      <c r="V30" s="45"/>
      <c r="W30" s="45"/>
      <c r="X30" s="208"/>
      <c r="Y30" s="208"/>
      <c r="Z30" s="208"/>
      <c r="AA30" s="208"/>
      <c r="AB30" s="208"/>
    </row>
    <row r="31" spans="1:28" ht="21" x14ac:dyDescent="0.35">
      <c r="A31" s="145">
        <v>2025</v>
      </c>
      <c r="B31" s="186"/>
      <c r="C31" s="27" t="s">
        <v>36</v>
      </c>
      <c r="D31" s="27" t="s">
        <v>37</v>
      </c>
      <c r="E31" s="27" t="s">
        <v>38</v>
      </c>
      <c r="F31" s="27" t="s">
        <v>39</v>
      </c>
      <c r="G31" s="27" t="s">
        <v>40</v>
      </c>
      <c r="H31" s="190" t="s">
        <v>1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45"/>
      <c r="W31" s="19"/>
      <c r="X31" s="19"/>
      <c r="Y31" s="19"/>
      <c r="Z31" s="19"/>
      <c r="AA31" s="19"/>
      <c r="AB31" s="208"/>
    </row>
    <row r="32" spans="1:28" x14ac:dyDescent="0.25">
      <c r="A32" s="162" t="s">
        <v>18</v>
      </c>
      <c r="B32" s="187"/>
      <c r="C32" s="36">
        <f>C33+C34</f>
        <v>0</v>
      </c>
      <c r="D32" s="36">
        <f>D33+D34</f>
        <v>116.20450833626286</v>
      </c>
      <c r="E32" s="36">
        <f>E33+E34</f>
        <v>0.45082129280749533</v>
      </c>
      <c r="F32" s="36">
        <f>F33+F34</f>
        <v>0.5944099140636897</v>
      </c>
      <c r="G32" s="36">
        <f>G33+G34</f>
        <v>0</v>
      </c>
      <c r="H32" s="163">
        <f>SUM(C32:G32)</f>
        <v>117.24973954313404</v>
      </c>
      <c r="I32" s="166"/>
      <c r="J32" s="166"/>
      <c r="K32" s="166"/>
      <c r="L32" s="166"/>
      <c r="M32" s="166"/>
      <c r="N32" s="38"/>
      <c r="O32" s="206"/>
      <c r="P32" s="206"/>
      <c r="Q32" s="206"/>
      <c r="R32" s="206"/>
      <c r="S32" s="206"/>
      <c r="T32" s="207"/>
      <c r="U32" s="75"/>
      <c r="V32" s="45"/>
      <c r="W32" s="82"/>
      <c r="X32" s="208"/>
      <c r="Y32" s="208"/>
      <c r="Z32" s="208"/>
      <c r="AA32" s="208"/>
      <c r="AB32" s="208"/>
    </row>
    <row r="33" spans="1:28" x14ac:dyDescent="0.25">
      <c r="A33" s="148" t="s">
        <v>19</v>
      </c>
      <c r="B33" s="35"/>
      <c r="C33" s="16">
        <v>0</v>
      </c>
      <c r="D33" s="16">
        <f>'T energie usages'!I64*3.2*Résultats!X283</f>
        <v>63.196589213662861</v>
      </c>
      <c r="E33" s="16">
        <f>'T energie usages'!J64/'T energie usages'!J$72*(Résultats!X$192+Résultats!X$193+Résultats!X$194)/1000000</f>
        <v>7.6143835038929242E-2</v>
      </c>
      <c r="F33" s="16">
        <f>'T energie usages'!K64*2.394*Résultats!X284</f>
        <v>3.7286433689740975E-5</v>
      </c>
      <c r="G33" s="16">
        <v>0</v>
      </c>
      <c r="H33" s="95">
        <f>SUM(C33:G33)</f>
        <v>63.272770335135476</v>
      </c>
      <c r="I33" s="166"/>
      <c r="J33" s="166"/>
      <c r="K33" s="166"/>
      <c r="L33" s="166"/>
      <c r="M33" s="166"/>
      <c r="N33" s="38"/>
      <c r="O33" s="206"/>
      <c r="P33" s="206"/>
      <c r="Q33" s="206"/>
      <c r="R33" s="206"/>
      <c r="S33" s="206"/>
      <c r="T33" s="207"/>
      <c r="U33" s="16"/>
      <c r="V33" s="45"/>
      <c r="W33" s="30"/>
      <c r="X33" s="208"/>
      <c r="Y33" s="208"/>
      <c r="Z33" s="208"/>
      <c r="AA33" s="208"/>
      <c r="AB33" s="208"/>
    </row>
    <row r="34" spans="1:28" x14ac:dyDescent="0.25">
      <c r="A34" s="149" t="s">
        <v>20</v>
      </c>
      <c r="B34" s="35"/>
      <c r="C34" s="16">
        <v>0</v>
      </c>
      <c r="D34" s="16">
        <f>(Résultats!X$183+Résultats!X$184+Résultats!X$185+Résultats!X$186+Résultats!X$187)/1000000</f>
        <v>53.007919122600001</v>
      </c>
      <c r="E34" s="16">
        <f>'T energie usages'!J65/'T energie usages'!J$72*(Résultats!X$192+Résultats!X$193+Résultats!X$194)/1000000</f>
        <v>0.37467745776856609</v>
      </c>
      <c r="F34" s="16">
        <f>(Résultats!X$209+Résultats!X$210+Résultats!X$211+Résultats!X$212+Résultats!X$213)/1000000</f>
        <v>0.59437262762999998</v>
      </c>
      <c r="G34" s="16">
        <v>0</v>
      </c>
      <c r="H34" s="95">
        <f>SUM(C34:G34)</f>
        <v>53.976969207998565</v>
      </c>
      <c r="I34" s="166"/>
      <c r="J34" s="166"/>
      <c r="K34" s="166"/>
      <c r="L34" s="166"/>
      <c r="M34" s="166"/>
      <c r="N34" s="38"/>
      <c r="O34" s="206"/>
      <c r="P34" s="206"/>
      <c r="Q34" s="206"/>
      <c r="R34" s="206"/>
      <c r="S34" s="206"/>
      <c r="T34" s="207"/>
      <c r="U34" s="16"/>
      <c r="V34" s="45"/>
      <c r="W34" s="30"/>
      <c r="X34" s="208"/>
      <c r="Y34" s="208"/>
      <c r="Z34" s="208"/>
      <c r="AA34" s="208"/>
      <c r="AB34" s="208"/>
    </row>
    <row r="35" spans="1:28" x14ac:dyDescent="0.25">
      <c r="A35" s="162" t="s">
        <v>21</v>
      </c>
      <c r="B35" s="187"/>
      <c r="C35" s="36">
        <f>Résultats!X$135/1000000</f>
        <v>0.6646433625</v>
      </c>
      <c r="D35" s="36">
        <f>'T energie usages'!I66*3.2*Résultats!X283</f>
        <v>15.574837066535649</v>
      </c>
      <c r="E35" s="36">
        <f>'T energie usages'!J66/'T energie usages'!J$72*(Résultats!X$192+Résultats!X$193+Résultats!X$194)/1000000</f>
        <v>3.572125008659524</v>
      </c>
      <c r="F35" s="36">
        <f>('T energie usages'!K66-8)*2.394*Résultats!X284</f>
        <v>17.912653840121127</v>
      </c>
      <c r="G35" s="36">
        <v>0</v>
      </c>
      <c r="H35" s="163">
        <f>SUM(C35:G35)</f>
        <v>37.724259277816302</v>
      </c>
      <c r="I35" s="166"/>
      <c r="J35" s="166"/>
      <c r="K35" s="166"/>
      <c r="L35" s="166"/>
      <c r="M35" s="166"/>
      <c r="N35" s="38"/>
      <c r="O35" s="206"/>
      <c r="P35" s="206"/>
      <c r="Q35" s="206"/>
      <c r="R35" s="206"/>
      <c r="S35" s="206"/>
      <c r="T35" s="207"/>
      <c r="U35" s="75"/>
      <c r="V35" s="45"/>
      <c r="W35" s="82"/>
      <c r="X35" s="208"/>
      <c r="Y35" s="208"/>
      <c r="Z35" s="208"/>
      <c r="AA35" s="208"/>
      <c r="AB35" s="208"/>
    </row>
    <row r="36" spans="1:28" x14ac:dyDescent="0.25">
      <c r="A36" s="162" t="s">
        <v>22</v>
      </c>
      <c r="B36" s="187"/>
      <c r="C36" s="36">
        <f>(Résultats!X$168+Résultats!X$169)/1000000</f>
        <v>0</v>
      </c>
      <c r="D36" s="36">
        <f>(Résultats!X$188+Résultats!X$189)/1000000</f>
        <v>6.4248537395000005</v>
      </c>
      <c r="E36" s="36">
        <f>'T energie usages'!J67/'T energie usages'!J$72*(Résultats!X$192+Résultats!X$193+Résultats!X$194)/1000000</f>
        <v>3.1330342287082669</v>
      </c>
      <c r="F36" s="36">
        <f>(Résultats!X$214+Résultats!X$215)/1000000</f>
        <v>14.697209837999999</v>
      </c>
      <c r="G36" s="36">
        <v>0</v>
      </c>
      <c r="H36" s="163">
        <f t="shared" ref="H36:H41" si="3">SUM(C36:G36)</f>
        <v>24.255097806208266</v>
      </c>
      <c r="I36" s="166"/>
      <c r="J36" s="166"/>
      <c r="K36" s="166"/>
      <c r="L36" s="166"/>
      <c r="M36" s="166"/>
      <c r="N36" s="38"/>
      <c r="O36" s="206"/>
      <c r="P36" s="206"/>
      <c r="Q36" s="206"/>
      <c r="R36" s="206"/>
      <c r="S36" s="206"/>
      <c r="T36" s="207"/>
      <c r="U36" s="75"/>
      <c r="V36" s="45"/>
      <c r="W36" s="82"/>
      <c r="X36" s="208"/>
      <c r="Y36" s="208"/>
      <c r="Z36" s="208"/>
      <c r="AA36" s="208"/>
      <c r="AB36" s="208"/>
    </row>
    <row r="37" spans="1:28" x14ac:dyDescent="0.25">
      <c r="A37" s="162" t="s">
        <v>23</v>
      </c>
      <c r="B37" s="187"/>
      <c r="C37" s="36">
        <f>C38+C39</f>
        <v>9.088535574689999</v>
      </c>
      <c r="D37" s="36">
        <f>D38+D39</f>
        <v>39.369030747999076</v>
      </c>
      <c r="E37" s="36">
        <f>E38+E39</f>
        <v>3.1738100757247127</v>
      </c>
      <c r="F37" s="36">
        <f>F38+F39</f>
        <v>15.519747801768698</v>
      </c>
      <c r="G37" s="36">
        <f>G38+G39</f>
        <v>14.43036951</v>
      </c>
      <c r="H37" s="163">
        <f t="shared" si="3"/>
        <v>81.581493710182485</v>
      </c>
      <c r="I37" s="166"/>
      <c r="J37" s="166"/>
      <c r="K37" s="166"/>
      <c r="L37" s="166"/>
      <c r="M37" s="166"/>
      <c r="N37" s="38"/>
      <c r="O37" s="206"/>
      <c r="P37" s="206"/>
      <c r="Q37" s="206"/>
      <c r="R37" s="206"/>
      <c r="S37" s="206"/>
      <c r="T37" s="207"/>
      <c r="U37" s="75"/>
      <c r="V37" s="45"/>
      <c r="W37" s="82"/>
      <c r="X37" s="208"/>
      <c r="Y37" s="208"/>
      <c r="Z37" s="208"/>
      <c r="AA37" s="208"/>
      <c r="AB37" s="208"/>
    </row>
    <row r="38" spans="1:28" x14ac:dyDescent="0.25">
      <c r="A38" s="149" t="s">
        <v>24</v>
      </c>
      <c r="B38" s="35"/>
      <c r="C38" s="16">
        <f>(Résultats!X$162+Résultats!X$163+Résultats!X$164+Résultats!X$165+Résultats!X$166+Résultats!X$167)/1000000</f>
        <v>9.088535574689999</v>
      </c>
      <c r="D38" s="16">
        <f>(Résultats!X$171+Résultats!X$173+Résultats!X$174+Résultats!X$175+Résultats!X$176+Résultats!X$177+Résultats!X$178+Résultats!X$179+Résultats!X$180+Résultats!X$181+Résultats!X$182)/1000000</f>
        <v>32.527960133999073</v>
      </c>
      <c r="E38" s="16">
        <f>'T energie usages'!J69/'T energie usages'!J$72*(Résultats!X$192+Résultats!X$193+Résultats!X$194)/1000000</f>
        <v>3.0943941915653674</v>
      </c>
      <c r="F38" s="16">
        <f>(Résultats!X$197+Résultats!X$198+Résultats!X$199+Résultats!X$200+Résultats!X$201+Résultats!X$202+Résultats!X$203+Résultats!X$204+Résultats!X$205+Résultats!X$206+Résultats!X$207+Résultats!X$208+Résultats!X$216+Résultats!X$218)/1000000</f>
        <v>15.027809342368698</v>
      </c>
      <c r="G38" s="16">
        <f>Résultats!X$133/1000000</f>
        <v>14.43036951</v>
      </c>
      <c r="H38" s="95">
        <f t="shared" si="3"/>
        <v>74.169068752623147</v>
      </c>
      <c r="I38" s="166"/>
      <c r="J38" s="166"/>
      <c r="K38" s="166"/>
      <c r="L38" s="166"/>
      <c r="M38" s="166"/>
      <c r="N38" s="38"/>
      <c r="O38" s="206"/>
      <c r="P38" s="206"/>
      <c r="Q38" s="206"/>
      <c r="R38" s="206"/>
      <c r="S38" s="206"/>
      <c r="T38" s="207"/>
      <c r="U38" s="16"/>
      <c r="V38" s="45"/>
      <c r="W38" s="30"/>
      <c r="X38" s="208"/>
      <c r="Y38" s="208"/>
      <c r="Z38" s="208"/>
      <c r="AA38" s="208"/>
      <c r="AB38" s="208"/>
    </row>
    <row r="39" spans="1:28" x14ac:dyDescent="0.25">
      <c r="A39" s="149" t="s">
        <v>25</v>
      </c>
      <c r="B39" s="35"/>
      <c r="C39" s="16">
        <v>0</v>
      </c>
      <c r="D39" s="16">
        <f>(Résultats!X$172)/1000000</f>
        <v>6.8410706140000004</v>
      </c>
      <c r="E39" s="16">
        <f>'T energie usages'!J71/'T energie usages'!J$72*(Résultats!X$192+Résultats!X$193+Résultats!X$194)/1000000</f>
        <v>7.9415884159345515E-2</v>
      </c>
      <c r="F39" s="16">
        <f>(Résultats!X$196)/1000000</f>
        <v>0.49193845939999997</v>
      </c>
      <c r="G39" s="16">
        <v>0</v>
      </c>
      <c r="H39" s="95">
        <f t="shared" si="3"/>
        <v>7.4124249575593462</v>
      </c>
      <c r="I39" s="166"/>
      <c r="J39" s="166"/>
      <c r="K39" s="166"/>
      <c r="L39" s="166"/>
      <c r="M39" s="166"/>
      <c r="N39" s="38"/>
      <c r="O39" s="206"/>
      <c r="P39" s="206"/>
      <c r="Q39" s="206"/>
      <c r="R39" s="206"/>
      <c r="S39" s="206"/>
      <c r="T39" s="207"/>
      <c r="U39" s="16"/>
      <c r="V39" s="45"/>
      <c r="W39" s="30"/>
      <c r="X39" s="208"/>
      <c r="Y39" s="208"/>
      <c r="Z39" s="208"/>
      <c r="AA39" s="208"/>
      <c r="AB39" s="208"/>
    </row>
    <row r="40" spans="1:28" x14ac:dyDescent="0.25">
      <c r="A40" s="48" t="s">
        <v>41</v>
      </c>
      <c r="B40" s="37"/>
      <c r="C40" s="37">
        <f>SUM(C35:C37)+C32</f>
        <v>9.7531789371899986</v>
      </c>
      <c r="D40" s="37">
        <f>SUM(D35:D37)+D32</f>
        <v>177.57322989029757</v>
      </c>
      <c r="E40" s="37">
        <f>SUM(E35:E37)+E32</f>
        <v>10.3297906059</v>
      </c>
      <c r="F40" s="37">
        <f>SUM(F35:F37)+F32</f>
        <v>48.724021393953521</v>
      </c>
      <c r="G40" s="37">
        <f>SUM(G35:G37)+G32</f>
        <v>14.43036951</v>
      </c>
      <c r="H40" s="167">
        <f t="shared" si="3"/>
        <v>260.81059033734107</v>
      </c>
      <c r="I40" s="166"/>
      <c r="J40" s="166"/>
      <c r="K40" s="166"/>
      <c r="L40" s="166"/>
      <c r="M40" s="166"/>
      <c r="N40" s="38"/>
      <c r="O40" s="206"/>
      <c r="P40" s="206"/>
      <c r="Q40" s="206"/>
      <c r="R40" s="206"/>
      <c r="S40" s="206"/>
      <c r="T40" s="207"/>
      <c r="U40" s="79"/>
      <c r="V40" s="45"/>
      <c r="W40" s="80"/>
      <c r="X40" s="208"/>
      <c r="Y40" s="208"/>
      <c r="Z40" s="208"/>
      <c r="AA40" s="208"/>
      <c r="AB40" s="208"/>
    </row>
    <row r="41" spans="1:28" x14ac:dyDescent="0.25">
      <c r="A41" s="164" t="s">
        <v>43</v>
      </c>
      <c r="B41" s="164"/>
      <c r="C41" s="165">
        <f>(Résultats!X$135+Résultats!X$162+Résultats!X$163+Résultats!X$164+Résultats!X$165+Résultats!X$166+Résultats!X$167+Résultats!X$168+Résultats!X$169)/1000000</f>
        <v>9.7531789371900004</v>
      </c>
      <c r="D41" s="165">
        <f>+(Résultats!X$137+Résultats!X$171+Résultats!X$172+Résultats!X$173+Résultats!X$174+Résultats!X$175+Résultats!X$176+Résultats!X$177+Résultats!X$178+Résultats!X$179+Résultats!X$180+Résultats!X$181+Résultats!X$182+Résultats!X$183+Résultats!X$184+Résultats!X$185+Résultats!X$186+Résultats!X$187+Résultats!X$188+Résultats!X$189)/1000000</f>
        <v>177.62083161009906</v>
      </c>
      <c r="E41" s="165">
        <f>(Résultats!X$192+Résultats!X$193+Résultats!X$194)/1000000</f>
        <v>10.3297906059</v>
      </c>
      <c r="F41" s="165">
        <f>(Résultats!X$139+Résultats!X$196+Résultats!X$197+Résultats!X$198+Résultats!X$199+Résultats!X$200+Résultats!X$201+Résultats!X$202+Résultats!X$203+Résultats!X$204+Résultats!X$205+Résultats!X$206+Résultats!X$207+Résultats!X$208+Résultats!X$209+Résultats!X$210+Résultats!X$211+Résultats!X$212+Résultats!X$213+Résultats!X$214+Résultats!X$215+Résultats!X$216+Résultats!X$218)/1000000</f>
        <v>48.850473347398705</v>
      </c>
      <c r="G41" s="165">
        <f>Résultats!X$133/1000000</f>
        <v>14.43036951</v>
      </c>
      <c r="H41" s="188">
        <f t="shared" si="3"/>
        <v>260.98464401058777</v>
      </c>
      <c r="I41" s="166"/>
      <c r="J41" s="166"/>
      <c r="K41" s="166"/>
      <c r="L41" s="166"/>
      <c r="M41" s="207"/>
      <c r="N41" s="45"/>
      <c r="O41" s="166"/>
      <c r="P41" s="166"/>
      <c r="Q41" s="166"/>
      <c r="R41" s="166"/>
      <c r="S41" s="207"/>
      <c r="T41" s="207"/>
      <c r="U41" s="45"/>
      <c r="V41" s="45"/>
      <c r="W41" s="45"/>
      <c r="X41" s="208"/>
      <c r="Y41" s="208"/>
      <c r="Z41" s="208"/>
      <c r="AA41" s="208"/>
      <c r="AB41" s="208"/>
    </row>
    <row r="42" spans="1:28" x14ac:dyDescent="0.25">
      <c r="A42" s="164"/>
      <c r="B42" s="164"/>
      <c r="C42" s="189"/>
      <c r="D42" s="189"/>
      <c r="E42" s="189"/>
      <c r="F42" s="189"/>
      <c r="G42" s="189"/>
      <c r="H42" s="165">
        <f>Résultats!X227/1000000</f>
        <v>260.98464359999997</v>
      </c>
      <c r="I42" s="166"/>
      <c r="J42" s="166"/>
      <c r="K42" s="166"/>
      <c r="L42" s="166"/>
      <c r="M42" s="207"/>
      <c r="N42" s="45"/>
      <c r="O42" s="166"/>
      <c r="P42" s="166"/>
      <c r="Q42" s="166"/>
      <c r="R42" s="166"/>
      <c r="S42" s="207"/>
      <c r="T42" s="207"/>
      <c r="U42" s="45"/>
      <c r="V42" s="45"/>
      <c r="W42" s="45"/>
      <c r="X42" s="208"/>
      <c r="Y42" s="208"/>
      <c r="Z42" s="208"/>
      <c r="AA42" s="208"/>
      <c r="AB42" s="208"/>
    </row>
    <row r="43" spans="1:28" x14ac:dyDescent="0.25">
      <c r="A43" s="3"/>
      <c r="B43" s="3"/>
      <c r="C43" s="75"/>
      <c r="D43" s="75"/>
      <c r="E43" s="75"/>
      <c r="F43" s="75"/>
      <c r="G43" s="75"/>
      <c r="H43" s="45"/>
      <c r="I43" s="166"/>
      <c r="J43" s="166"/>
      <c r="K43" s="166"/>
      <c r="L43" s="166"/>
      <c r="M43" s="207"/>
      <c r="N43" s="45"/>
      <c r="O43" s="166"/>
      <c r="P43" s="166"/>
      <c r="Q43" s="166"/>
      <c r="R43" s="166"/>
      <c r="S43" s="207"/>
      <c r="T43" s="207"/>
      <c r="U43" s="45"/>
      <c r="V43" s="45"/>
      <c r="W43" s="79"/>
      <c r="X43" s="208"/>
      <c r="Y43" s="208"/>
      <c r="Z43" s="208"/>
      <c r="AA43" s="208"/>
      <c r="AB43" s="208"/>
    </row>
    <row r="44" spans="1:28" ht="21" x14ac:dyDescent="0.35">
      <c r="A44" s="145">
        <v>2030</v>
      </c>
      <c r="B44" s="186"/>
      <c r="C44" s="27" t="s">
        <v>36</v>
      </c>
      <c r="D44" s="27" t="s">
        <v>37</v>
      </c>
      <c r="E44" s="27" t="s">
        <v>38</v>
      </c>
      <c r="F44" s="27" t="s">
        <v>39</v>
      </c>
      <c r="G44" s="27" t="s">
        <v>40</v>
      </c>
      <c r="H44" s="190" t="s">
        <v>1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W44" s="19"/>
      <c r="X44" s="19"/>
      <c r="Y44" s="19"/>
      <c r="Z44" s="19"/>
      <c r="AA44" s="19"/>
      <c r="AB44" s="208"/>
    </row>
    <row r="45" spans="1:28" x14ac:dyDescent="0.25">
      <c r="A45" s="162" t="s">
        <v>18</v>
      </c>
      <c r="B45" s="187"/>
      <c r="C45" s="36">
        <f>C46+C47</f>
        <v>0</v>
      </c>
      <c r="D45" s="36">
        <f>D46+D47</f>
        <v>96.596833489758751</v>
      </c>
      <c r="E45" s="36">
        <f>E46+E47</f>
        <v>0.42196235999378751</v>
      </c>
      <c r="F45" s="36">
        <f>F46+F47</f>
        <v>0.72264949761289643</v>
      </c>
      <c r="G45" s="36">
        <f>G46+G47</f>
        <v>0</v>
      </c>
      <c r="H45" s="163">
        <f>SUM(C45:G45)</f>
        <v>97.741445347365428</v>
      </c>
      <c r="I45" s="166"/>
      <c r="J45" s="166"/>
      <c r="K45" s="166"/>
      <c r="L45" s="166"/>
      <c r="M45" s="166"/>
      <c r="N45" s="38"/>
      <c r="O45" s="206"/>
      <c r="P45" s="206"/>
      <c r="Q45" s="206"/>
      <c r="R45" s="206"/>
      <c r="S45" s="206"/>
      <c r="T45" s="207"/>
      <c r="U45" s="75"/>
      <c r="W45" s="82"/>
      <c r="X45" s="208"/>
      <c r="Y45" s="208"/>
      <c r="Z45" s="208"/>
      <c r="AA45" s="208"/>
      <c r="AB45" s="208"/>
    </row>
    <row r="46" spans="1:28" x14ac:dyDescent="0.25">
      <c r="A46" s="148" t="s">
        <v>19</v>
      </c>
      <c r="B46" s="35"/>
      <c r="C46" s="16">
        <v>0</v>
      </c>
      <c r="D46" s="16">
        <f>'T energie usages'!I77*3.2*Résultats!AC283</f>
        <v>49.659316902258759</v>
      </c>
      <c r="E46" s="16">
        <f>'T energie usages'!J77/'T energie usages'!J$85*(Résultats!AC$192+Résultats!AC$193+Résultats!AC$194)/1000000</f>
        <v>0.11263590013242461</v>
      </c>
      <c r="F46" s="16">
        <f>'T energie usages'!K77*2.394*Résultats!AC284</f>
        <v>3.4266232896321769E-5</v>
      </c>
      <c r="G46" s="16">
        <v>0</v>
      </c>
      <c r="H46" s="95">
        <f>SUM(C46:G46)</f>
        <v>49.771987068624078</v>
      </c>
      <c r="I46" s="166"/>
      <c r="J46" s="166"/>
      <c r="K46" s="166"/>
      <c r="L46" s="166"/>
      <c r="M46" s="166"/>
      <c r="N46" s="38"/>
      <c r="O46" s="206"/>
      <c r="P46" s="206"/>
      <c r="Q46" s="206"/>
      <c r="R46" s="206"/>
      <c r="S46" s="206"/>
      <c r="T46" s="207"/>
      <c r="U46" s="16"/>
      <c r="W46" s="30"/>
      <c r="X46" s="208"/>
      <c r="Y46" s="208"/>
      <c r="Z46" s="208"/>
      <c r="AA46" s="208"/>
      <c r="AB46" s="208"/>
    </row>
    <row r="47" spans="1:28" x14ac:dyDescent="0.25">
      <c r="A47" s="149" t="s">
        <v>20</v>
      </c>
      <c r="B47" s="35"/>
      <c r="C47" s="16">
        <v>0</v>
      </c>
      <c r="D47" s="16">
        <f>(Résultats!AC$183+Résultats!AC$184+Résultats!AC$185+Résultats!AC$186+Résultats!AC$187)/1000000</f>
        <v>46.937516587499999</v>
      </c>
      <c r="E47" s="16">
        <f>'T energie usages'!J78/'T energie usages'!J$85*(Résultats!AC$192+Résultats!AC$193+Résultats!AC$194)/1000000</f>
        <v>0.30932645986136287</v>
      </c>
      <c r="F47" s="16">
        <f>(Résultats!AC$209+Résultats!AC$210+Résultats!AC$211+Résultats!AC$212+Résultats!AC$213)/1000000</f>
        <v>0.72261523138000006</v>
      </c>
      <c r="G47" s="16">
        <v>0</v>
      </c>
      <c r="H47" s="95">
        <f>SUM(C47:G47)</f>
        <v>47.969458278741357</v>
      </c>
      <c r="I47" s="166"/>
      <c r="J47" s="166"/>
      <c r="K47" s="166"/>
      <c r="L47" s="166"/>
      <c r="M47" s="166"/>
      <c r="N47" s="38"/>
      <c r="O47" s="206"/>
      <c r="P47" s="206"/>
      <c r="Q47" s="206"/>
      <c r="R47" s="206"/>
      <c r="S47" s="206"/>
      <c r="T47" s="207"/>
      <c r="U47" s="16"/>
      <c r="W47" s="30"/>
      <c r="X47" s="208"/>
      <c r="Y47" s="208"/>
      <c r="Z47" s="208"/>
      <c r="AA47" s="208"/>
      <c r="AB47" s="208"/>
    </row>
    <row r="48" spans="1:28" x14ac:dyDescent="0.25">
      <c r="A48" s="162" t="s">
        <v>21</v>
      </c>
      <c r="B48" s="187"/>
      <c r="C48" s="36">
        <f>Résultats!AC$135/1000000</f>
        <v>0.52752870080000003</v>
      </c>
      <c r="D48" s="36">
        <f>'T energie usages'!I79*3.2*Résultats!AC283</f>
        <v>12.37328879503556</v>
      </c>
      <c r="E48" s="36">
        <f>'T energie usages'!J79/'T energie usages'!J$85*(Résultats!AC$192+Résultats!AC$193+Résultats!AC$194)/1000000</f>
        <v>1.9561003768265237</v>
      </c>
      <c r="F48" s="36">
        <f>('T energie usages'!K79-8)*2.394*Résultats!AC284</f>
        <v>12.05503285408764</v>
      </c>
      <c r="G48" s="36">
        <v>0</v>
      </c>
      <c r="H48" s="163">
        <f>SUM(C48:G48)</f>
        <v>26.911950726749723</v>
      </c>
      <c r="I48" s="166"/>
      <c r="J48" s="166"/>
      <c r="K48" s="166"/>
      <c r="L48" s="166"/>
      <c r="M48" s="166"/>
      <c r="N48" s="38"/>
      <c r="O48" s="206"/>
      <c r="P48" s="206"/>
      <c r="Q48" s="206"/>
      <c r="R48" s="206"/>
      <c r="S48" s="206"/>
      <c r="T48" s="207"/>
      <c r="U48" s="75"/>
      <c r="W48" s="82"/>
      <c r="X48" s="208"/>
      <c r="Y48" s="208"/>
      <c r="Z48" s="208"/>
      <c r="AA48" s="208"/>
      <c r="AB48" s="208"/>
    </row>
    <row r="49" spans="1:28" x14ac:dyDescent="0.25">
      <c r="A49" s="162" t="s">
        <v>22</v>
      </c>
      <c r="B49" s="187"/>
      <c r="C49" s="36">
        <f>(Résultats!AC$168+Résultats!AC$169)/1000000</f>
        <v>0</v>
      </c>
      <c r="D49" s="36">
        <f>(Résultats!AC$188+Résultats!AC$189)/1000000</f>
        <v>3.9363186743999998</v>
      </c>
      <c r="E49" s="36">
        <f>'T energie usages'!J80/'T energie usages'!J$85*(Résultats!AC$192+Résultats!AC$193+Résultats!AC$194)/1000000</f>
        <v>1.377156006125887</v>
      </c>
      <c r="F49" s="36">
        <f>(Résultats!AC$214+Résultats!AC$215)/1000000</f>
        <v>13.43727816999999</v>
      </c>
      <c r="G49" s="36">
        <v>0</v>
      </c>
      <c r="H49" s="163">
        <f t="shared" ref="H49:H54" si="4">SUM(C49:G49)</f>
        <v>18.750752850525878</v>
      </c>
      <c r="I49" s="166"/>
      <c r="J49" s="166"/>
      <c r="K49" s="166"/>
      <c r="L49" s="166"/>
      <c r="M49" s="166"/>
      <c r="N49" s="38"/>
      <c r="O49" s="206"/>
      <c r="P49" s="206"/>
      <c r="Q49" s="206"/>
      <c r="R49" s="206"/>
      <c r="S49" s="206"/>
      <c r="T49" s="207"/>
      <c r="U49" s="75"/>
      <c r="W49" s="82"/>
      <c r="X49" s="208"/>
      <c r="Y49" s="208"/>
      <c r="Z49" s="208"/>
      <c r="AA49" s="208"/>
      <c r="AB49" s="208"/>
    </row>
    <row r="50" spans="1:28" x14ac:dyDescent="0.25">
      <c r="A50" s="162" t="s">
        <v>23</v>
      </c>
      <c r="B50" s="187"/>
      <c r="C50" s="36">
        <f>C51+C52</f>
        <v>7.4703658858999997</v>
      </c>
      <c r="D50" s="36">
        <f>D51+D52</f>
        <v>31.923255598224284</v>
      </c>
      <c r="E50" s="36">
        <f>E51+E52</f>
        <v>2.3831065084538006</v>
      </c>
      <c r="F50" s="36">
        <f>F51+F52</f>
        <v>8.6127574036737755</v>
      </c>
      <c r="G50" s="36">
        <f>G51+G52</f>
        <v>15.182806730000001</v>
      </c>
      <c r="H50" s="163">
        <f t="shared" si="4"/>
        <v>65.572292126251853</v>
      </c>
      <c r="I50" s="166"/>
      <c r="J50" s="166"/>
      <c r="K50" s="166"/>
      <c r="L50" s="166"/>
      <c r="M50" s="166"/>
      <c r="N50" s="38"/>
      <c r="O50" s="206"/>
      <c r="P50" s="206"/>
      <c r="Q50" s="206"/>
      <c r="R50" s="206"/>
      <c r="S50" s="206"/>
      <c r="T50" s="207"/>
      <c r="U50" s="75"/>
      <c r="W50" s="82"/>
      <c r="X50" s="208"/>
      <c r="Y50" s="208"/>
      <c r="Z50" s="208"/>
      <c r="AA50" s="208"/>
      <c r="AB50" s="208"/>
    </row>
    <row r="51" spans="1:28" x14ac:dyDescent="0.25">
      <c r="A51" s="149" t="s">
        <v>24</v>
      </c>
      <c r="B51" s="35"/>
      <c r="C51" s="16">
        <f>(Résultats!AC$162+Résultats!AC$163+Résultats!AC$164+Résultats!AC$165+Résultats!AC$166+Résultats!AC$167)/1000000</f>
        <v>7.4703658858999997</v>
      </c>
      <c r="D51" s="16">
        <f>(Résultats!AC$171+Résultats!AC$173+Résultats!AC$174+Résultats!AC$175+Résultats!AC$176+Résultats!AC$177+Résultats!AC$178+Résultats!AC$179+Résultats!AC$180+Résultats!AC$181+Résultats!AC$182)/1000000</f>
        <v>24.965953837224284</v>
      </c>
      <c r="E51" s="16">
        <f>'T energie usages'!J82/'T energie usages'!J$85*(Résultats!AC$192+Résultats!AC$193+Résultats!AC$194)/1000000</f>
        <v>2.3369313711129984</v>
      </c>
      <c r="F51" s="16">
        <f>(Résultats!AC$197+Résultats!AC$198+Résultats!AC$199+Résultats!AC$200+Résultats!AC$201+Résultats!AC$202+Résultats!AC$203+Résultats!AC$204+Résultats!AC$205+Résultats!AC$206+Résultats!AC$207+Résultats!AC$208+Résultats!AC$216+Résultats!AC$218)/1000000</f>
        <v>8.2046326093737747</v>
      </c>
      <c r="G51" s="16">
        <f>Résultats!AC$133/1000000</f>
        <v>15.182806730000001</v>
      </c>
      <c r="H51" s="95">
        <f t="shared" si="4"/>
        <v>58.160690433611059</v>
      </c>
      <c r="I51" s="166"/>
      <c r="J51" s="166"/>
      <c r="K51" s="166"/>
      <c r="L51" s="166"/>
      <c r="M51" s="166"/>
      <c r="N51" s="38"/>
      <c r="O51" s="206"/>
      <c r="P51" s="206"/>
      <c r="Q51" s="206"/>
      <c r="R51" s="206"/>
      <c r="S51" s="206"/>
      <c r="T51" s="207"/>
      <c r="U51" s="16"/>
      <c r="W51" s="30"/>
      <c r="X51" s="208"/>
      <c r="Y51" s="208"/>
      <c r="Z51" s="208"/>
      <c r="AA51" s="208"/>
      <c r="AB51" s="208"/>
    </row>
    <row r="52" spans="1:28" x14ac:dyDescent="0.25">
      <c r="A52" s="149" t="s">
        <v>25</v>
      </c>
      <c r="B52" s="35"/>
      <c r="C52" s="16">
        <v>0</v>
      </c>
      <c r="D52" s="16">
        <f>(Résultats!AC$172)/1000000</f>
        <v>6.9573017610000001</v>
      </c>
      <c r="E52" s="16">
        <f>'T energie usages'!J84/'T energie usages'!J$85*(Résultats!AC$192+Résultats!AC$193+Résultats!AC$194)/1000000</f>
        <v>4.6175137340802093E-2</v>
      </c>
      <c r="F52" s="16">
        <f>(Résultats!AC$196)/1000000</f>
        <v>0.40812479429999998</v>
      </c>
      <c r="G52" s="16">
        <v>0</v>
      </c>
      <c r="H52" s="95">
        <f t="shared" si="4"/>
        <v>7.4116016926408017</v>
      </c>
      <c r="I52" s="166"/>
      <c r="J52" s="166"/>
      <c r="K52" s="166"/>
      <c r="L52" s="166"/>
      <c r="M52" s="166"/>
      <c r="N52" s="38"/>
      <c r="O52" s="206"/>
      <c r="P52" s="206"/>
      <c r="Q52" s="206"/>
      <c r="R52" s="206"/>
      <c r="S52" s="206"/>
      <c r="T52" s="207"/>
      <c r="U52" s="16"/>
      <c r="W52" s="30"/>
      <c r="X52" s="208"/>
      <c r="Y52" s="208"/>
      <c r="Z52" s="208"/>
      <c r="AA52" s="208"/>
      <c r="AB52" s="208"/>
    </row>
    <row r="53" spans="1:28" x14ac:dyDescent="0.25">
      <c r="A53" s="48" t="s">
        <v>41</v>
      </c>
      <c r="B53" s="37"/>
      <c r="C53" s="37">
        <f>SUM(C48:C50)+C45</f>
        <v>7.9978945866999993</v>
      </c>
      <c r="D53" s="37">
        <f>SUM(D48:D50)+D45</f>
        <v>144.8296965574186</v>
      </c>
      <c r="E53" s="37">
        <f>SUM(E48:E50)+E45</f>
        <v>6.1383252513999986</v>
      </c>
      <c r="F53" s="37">
        <f>SUM(F48:F50)+F45</f>
        <v>34.827717925374309</v>
      </c>
      <c r="G53" s="37">
        <f>SUM(G48:G50)+G45</f>
        <v>15.182806730000001</v>
      </c>
      <c r="H53" s="167">
        <f t="shared" si="4"/>
        <v>208.97644105089293</v>
      </c>
      <c r="I53" s="166"/>
      <c r="J53" s="166"/>
      <c r="K53" s="166"/>
      <c r="L53" s="166"/>
      <c r="M53" s="166"/>
      <c r="N53" s="38"/>
      <c r="O53" s="206"/>
      <c r="P53" s="206"/>
      <c r="Q53" s="206"/>
      <c r="R53" s="206"/>
      <c r="S53" s="206"/>
      <c r="T53" s="207"/>
      <c r="U53" s="79"/>
      <c r="W53" s="80"/>
      <c r="X53" s="208"/>
      <c r="Y53" s="208"/>
      <c r="Z53" s="208"/>
      <c r="AA53" s="208"/>
      <c r="AB53" s="208"/>
    </row>
    <row r="54" spans="1:28" x14ac:dyDescent="0.25">
      <c r="A54" s="164" t="s">
        <v>43</v>
      </c>
      <c r="B54" s="164"/>
      <c r="C54" s="165">
        <f>(Résultats!AC$135+Résultats!AC$162+Résultats!AC$163+Résultats!AC$164+Résultats!AC$165+Résultats!AC$166+Résultats!AC$167+Résultats!AC$168+Résultats!AC$169)/1000000</f>
        <v>7.9978945867000002</v>
      </c>
      <c r="D54" s="165">
        <f>(Résultats!AC$137+Résultats!AC$171+Résultats!AC$172+Résultats!AC$173+Résultats!AC$174+Résultats!AC$175+Résultats!AC$176+Résultats!AC$177+Résultats!AC$178+Résultats!AC$179+Résultats!AC$180+Résultats!AC$181+Résultats!AC$182+Résultats!AC$183+Résultats!AC$184+Résultats!AC$185+Résultats!AC$186+Résultats!AC$187+Résultats!AC$188+Résultats!AC$189)/1000000</f>
        <v>144.86718298012426</v>
      </c>
      <c r="E54" s="165">
        <f>(Résultats!AC$192+Résultats!AC$193+Résultats!AC$194)/1000000</f>
        <v>6.1383252513999995</v>
      </c>
      <c r="F54" s="165">
        <f>(Résultats!AC$139+Résultats!AC$196+Résultats!AC$197+Résultats!AC$198+Résultats!AC$199+Résultats!AC$200+Résultats!AC$201+Résultats!AC$202+Résultats!AC$203+Résultats!AC$204+Résultats!AC$205+Résultats!AC$206+Résultats!AC$207+Résultats!AC$208+Résultats!AC$209+Résultats!AC$210+Résultats!AC$211+Résultats!AC$212+Résultats!AC$213+Résultats!AC$214+Résultats!AC$215+Résultats!AC$216+Résultats!AC$218)/1000000</f>
        <v>34.912818865053765</v>
      </c>
      <c r="G54" s="165">
        <f>Résultats!AC$133/1000000</f>
        <v>15.182806730000001</v>
      </c>
      <c r="H54" s="188">
        <f t="shared" si="4"/>
        <v>209.09902841327803</v>
      </c>
      <c r="I54" s="166"/>
      <c r="J54" s="166"/>
      <c r="K54" s="166"/>
      <c r="L54" s="166"/>
      <c r="M54" s="207"/>
      <c r="O54" s="166"/>
      <c r="P54" s="166"/>
      <c r="Q54" s="166"/>
      <c r="R54" s="166"/>
      <c r="S54" s="207"/>
      <c r="T54" s="207"/>
      <c r="X54" s="208"/>
      <c r="Y54" s="208"/>
      <c r="Z54" s="208"/>
      <c r="AA54" s="208"/>
      <c r="AB54" s="208"/>
    </row>
    <row r="55" spans="1:28" x14ac:dyDescent="0.25">
      <c r="A55" s="164"/>
      <c r="B55" s="164"/>
      <c r="C55" s="189"/>
      <c r="D55" s="189"/>
      <c r="E55" s="189"/>
      <c r="F55" s="189"/>
      <c r="G55" s="189"/>
      <c r="H55" s="165">
        <f>Résultats!AC227/1000000</f>
        <v>209.0990281</v>
      </c>
      <c r="I55" s="166"/>
      <c r="J55" s="166"/>
      <c r="K55" s="166"/>
      <c r="L55" s="166"/>
      <c r="M55" s="207"/>
      <c r="O55" s="166"/>
      <c r="P55" s="166"/>
      <c r="Q55" s="166"/>
      <c r="R55" s="166"/>
      <c r="S55" s="207"/>
      <c r="T55" s="207"/>
      <c r="W55" s="79"/>
      <c r="X55" s="208"/>
      <c r="Y55" s="208"/>
      <c r="Z55" s="208"/>
      <c r="AA55" s="208"/>
      <c r="AB55" s="208"/>
    </row>
    <row r="56" spans="1:28" x14ac:dyDescent="0.25">
      <c r="A56" s="3"/>
      <c r="B56" s="3"/>
      <c r="C56" s="75"/>
      <c r="D56" s="75"/>
      <c r="E56" s="75"/>
      <c r="F56" s="75"/>
      <c r="G56" s="75"/>
      <c r="H56" s="45"/>
      <c r="I56" s="166"/>
      <c r="J56" s="166"/>
      <c r="K56" s="166"/>
      <c r="L56" s="166"/>
      <c r="M56" s="207"/>
      <c r="O56" s="166"/>
      <c r="P56" s="166"/>
      <c r="Q56" s="166"/>
      <c r="R56" s="166"/>
      <c r="S56" s="207"/>
      <c r="T56" s="207"/>
      <c r="W56" s="210"/>
      <c r="X56" s="208"/>
      <c r="Y56" s="208"/>
      <c r="Z56" s="208"/>
      <c r="AA56" s="208"/>
      <c r="AB56" s="208"/>
    </row>
    <row r="57" spans="1:28" ht="21" x14ac:dyDescent="0.35">
      <c r="A57" s="145">
        <v>2035</v>
      </c>
      <c r="B57" s="186"/>
      <c r="C57" s="27" t="s">
        <v>36</v>
      </c>
      <c r="D57" s="27" t="s">
        <v>37</v>
      </c>
      <c r="E57" s="27" t="s">
        <v>38</v>
      </c>
      <c r="F57" s="27" t="s">
        <v>39</v>
      </c>
      <c r="G57" s="27" t="s">
        <v>40</v>
      </c>
      <c r="H57" s="190" t="s">
        <v>1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W57" s="19"/>
      <c r="X57" s="19"/>
      <c r="Y57" s="19"/>
      <c r="Z57" s="19"/>
      <c r="AA57" s="19"/>
      <c r="AB57" s="208"/>
    </row>
    <row r="58" spans="1:28" x14ac:dyDescent="0.25">
      <c r="A58" s="162" t="s">
        <v>18</v>
      </c>
      <c r="B58" s="187"/>
      <c r="C58" s="36">
        <f>C59+C60</f>
        <v>0</v>
      </c>
      <c r="D58" s="36">
        <f>D59+D60</f>
        <v>63.451935830643862</v>
      </c>
      <c r="E58" s="36">
        <f>E59+E60</f>
        <v>0.29348391903505</v>
      </c>
      <c r="F58" s="36">
        <f>F59+F60</f>
        <v>0.65180828238578925</v>
      </c>
      <c r="G58" s="36">
        <f>G59+G60</f>
        <v>0</v>
      </c>
      <c r="H58" s="163">
        <f t="shared" ref="H58:H67" si="5">SUM(C58:G58)</f>
        <v>64.397228032064703</v>
      </c>
      <c r="I58" s="166"/>
      <c r="J58" s="166"/>
      <c r="K58" s="166"/>
      <c r="L58" s="166"/>
      <c r="M58" s="166"/>
      <c r="N58" s="38"/>
      <c r="O58" s="166"/>
      <c r="P58" s="166"/>
      <c r="Q58" s="166"/>
      <c r="R58" s="166"/>
      <c r="S58" s="166"/>
      <c r="T58" s="207"/>
      <c r="U58" s="75"/>
      <c r="W58" s="82"/>
      <c r="X58" s="208"/>
      <c r="Y58" s="208"/>
      <c r="Z58" s="208"/>
      <c r="AA58" s="208"/>
      <c r="AB58" s="208"/>
    </row>
    <row r="59" spans="1:28" x14ac:dyDescent="0.25">
      <c r="A59" s="148" t="s">
        <v>19</v>
      </c>
      <c r="B59" s="35"/>
      <c r="C59" s="16">
        <v>0</v>
      </c>
      <c r="D59" s="16">
        <f>'T energie usages'!I90*3.2*Résultats!AH283</f>
        <v>30.564778469543864</v>
      </c>
      <c r="E59" s="16">
        <f>'T energie usages'!J90/'T energie usages'!J$98*(Résultats!AH$192+Résultats!AH$193+Résultats!AH$194)/1000000</f>
        <v>9.410405222130469E-2</v>
      </c>
      <c r="F59" s="16">
        <f>'T energie usages'!K90*2.394*Résultats!AH284</f>
        <v>1.6175745789249178E-5</v>
      </c>
      <c r="G59" s="16">
        <v>0</v>
      </c>
      <c r="H59" s="95">
        <f t="shared" si="5"/>
        <v>30.658898697510956</v>
      </c>
      <c r="I59" s="166"/>
      <c r="J59" s="166"/>
      <c r="K59" s="166"/>
      <c r="L59" s="166"/>
      <c r="M59" s="166"/>
      <c r="N59" s="38"/>
      <c r="O59" s="166"/>
      <c r="P59" s="166"/>
      <c r="Q59" s="166"/>
      <c r="R59" s="166"/>
      <c r="S59" s="166"/>
      <c r="T59" s="207"/>
      <c r="U59" s="16"/>
      <c r="W59" s="30"/>
      <c r="X59" s="208"/>
      <c r="Y59" s="208"/>
      <c r="Z59" s="208"/>
      <c r="AA59" s="208"/>
      <c r="AB59" s="208"/>
    </row>
    <row r="60" spans="1:28" x14ac:dyDescent="0.25">
      <c r="A60" s="149" t="s">
        <v>20</v>
      </c>
      <c r="B60" s="35"/>
      <c r="C60" s="16">
        <v>0</v>
      </c>
      <c r="D60" s="16">
        <f>(Résultats!AH$183+Résultats!AH$184+Résultats!AH$185+Résultats!AH$186+Résultats!AH$187)/1000000</f>
        <v>32.887157361100002</v>
      </c>
      <c r="E60" s="16">
        <f>'T energie usages'!J91/'T energie usages'!J$98*(Résultats!AH$192+Résultats!AH$193+Résultats!AH$194)/1000000</f>
        <v>0.19937986681374531</v>
      </c>
      <c r="F60" s="16">
        <f>(Résultats!AH$209+Résultats!AH$210+Résultats!AH$211+Résultats!AH$212+Résultats!AH$213)/1000000</f>
        <v>0.65179210663999998</v>
      </c>
      <c r="G60" s="16">
        <v>0</v>
      </c>
      <c r="H60" s="95">
        <f t="shared" si="5"/>
        <v>33.738329334553747</v>
      </c>
      <c r="I60" s="166"/>
      <c r="J60" s="166"/>
      <c r="K60" s="166"/>
      <c r="L60" s="166"/>
      <c r="M60" s="166"/>
      <c r="N60" s="38"/>
      <c r="O60" s="166"/>
      <c r="P60" s="166"/>
      <c r="Q60" s="166"/>
      <c r="R60" s="166"/>
      <c r="S60" s="166"/>
      <c r="T60" s="207"/>
      <c r="U60" s="16"/>
      <c r="W60" s="30"/>
      <c r="X60" s="208"/>
      <c r="Y60" s="208"/>
      <c r="Z60" s="208"/>
      <c r="AA60" s="208"/>
      <c r="AB60" s="208"/>
    </row>
    <row r="61" spans="1:28" x14ac:dyDescent="0.25">
      <c r="A61" s="162" t="s">
        <v>21</v>
      </c>
      <c r="B61" s="187"/>
      <c r="C61" s="36">
        <f>Résultats!AH$135/1000000</f>
        <v>0.42208845299999997</v>
      </c>
      <c r="D61" s="36">
        <f>'T energie usages'!I92*3.2*Résultats!AH283</f>
        <v>8.5899128575025987</v>
      </c>
      <c r="E61" s="36">
        <f>'T energie usages'!J92/'T energie usages'!J$98*(Résultats!AH$192+Résultats!AH$193+Résultats!AH$194)/1000000</f>
        <v>0.75975294464626608</v>
      </c>
      <c r="F61" s="36">
        <f>('T energie usages'!K92-8)*2.394*Résultats!AH284</f>
        <v>6.1185282007512027</v>
      </c>
      <c r="G61" s="36">
        <v>0</v>
      </c>
      <c r="H61" s="163">
        <f t="shared" si="5"/>
        <v>15.890282455900067</v>
      </c>
      <c r="I61" s="166"/>
      <c r="J61" s="166"/>
      <c r="K61" s="166"/>
      <c r="L61" s="166"/>
      <c r="M61" s="166"/>
      <c r="N61" s="38"/>
      <c r="O61" s="166"/>
      <c r="P61" s="166"/>
      <c r="Q61" s="166"/>
      <c r="R61" s="166"/>
      <c r="S61" s="166"/>
      <c r="T61" s="207"/>
      <c r="U61" s="75"/>
      <c r="W61" s="82"/>
      <c r="X61" s="208"/>
      <c r="Y61" s="208"/>
      <c r="Z61" s="208"/>
      <c r="AA61" s="208"/>
      <c r="AB61" s="208"/>
    </row>
    <row r="62" spans="1:28" x14ac:dyDescent="0.25">
      <c r="A62" s="162" t="s">
        <v>22</v>
      </c>
      <c r="B62" s="187"/>
      <c r="C62" s="36">
        <f>(Résultats!AH$168+Résultats!AH$169)/1000000</f>
        <v>0</v>
      </c>
      <c r="D62" s="36">
        <f>(Résultats!AH$188+Résultats!AH$189)/1000000</f>
        <v>3.2199910707999999</v>
      </c>
      <c r="E62" s="36">
        <f>'T energie usages'!J93/'T energie usages'!J$98*(Résultats!AH$192+Résultats!AH$193+Résultats!AH$194)/1000000</f>
        <v>0.54412815431844674</v>
      </c>
      <c r="F62" s="36">
        <f>(Résultats!AH$214+Résultats!AH$215)/1000000</f>
        <v>7.1425983560000006</v>
      </c>
      <c r="G62" s="36">
        <v>0</v>
      </c>
      <c r="H62" s="163">
        <f t="shared" si="5"/>
        <v>10.906717581118446</v>
      </c>
      <c r="I62" s="166"/>
      <c r="J62" s="166"/>
      <c r="K62" s="166"/>
      <c r="L62" s="166"/>
      <c r="M62" s="166"/>
      <c r="N62" s="38"/>
      <c r="O62" s="166"/>
      <c r="P62" s="166"/>
      <c r="Q62" s="166"/>
      <c r="R62" s="166"/>
      <c r="S62" s="166"/>
      <c r="T62" s="207"/>
      <c r="U62" s="75"/>
      <c r="W62" s="82"/>
      <c r="X62" s="208"/>
      <c r="Y62" s="208"/>
      <c r="Z62" s="208"/>
      <c r="AA62" s="208"/>
      <c r="AB62" s="208"/>
    </row>
    <row r="63" spans="1:28" x14ac:dyDescent="0.25">
      <c r="A63" s="162" t="s">
        <v>23</v>
      </c>
      <c r="B63" s="187"/>
      <c r="C63" s="36">
        <f>C64+C65</f>
        <v>7.7665138991899996</v>
      </c>
      <c r="D63" s="36">
        <f>D64+D65</f>
        <v>27.708962697510344</v>
      </c>
      <c r="E63" s="36">
        <f>E64+E65</f>
        <v>1.0026522832002367</v>
      </c>
      <c r="F63" s="36">
        <f>F64+F65</f>
        <v>5.4179340553933599</v>
      </c>
      <c r="G63" s="36">
        <f>G64+G65</f>
        <v>15.591582630000001</v>
      </c>
      <c r="H63" s="163">
        <f t="shared" si="5"/>
        <v>57.487645565293946</v>
      </c>
      <c r="I63" s="166"/>
      <c r="J63" s="166"/>
      <c r="K63" s="166"/>
      <c r="L63" s="166"/>
      <c r="M63" s="166"/>
      <c r="N63" s="38"/>
      <c r="O63" s="166"/>
      <c r="P63" s="166"/>
      <c r="Q63" s="166"/>
      <c r="R63" s="166"/>
      <c r="S63" s="166"/>
      <c r="T63" s="207"/>
      <c r="U63" s="75"/>
      <c r="W63" s="82"/>
      <c r="X63" s="208"/>
      <c r="Y63" s="208"/>
      <c r="Z63" s="208"/>
      <c r="AA63" s="208"/>
      <c r="AB63" s="208"/>
    </row>
    <row r="64" spans="1:28" x14ac:dyDescent="0.25">
      <c r="A64" s="149" t="s">
        <v>24</v>
      </c>
      <c r="B64" s="35"/>
      <c r="C64" s="75">
        <f>(Résultats!AH$162+Résultats!AH$163+Résultats!AH$164+Résultats!AH$165+Résultats!AH$166+Résultats!AH$167)/1000000</f>
        <v>7.7665138991899996</v>
      </c>
      <c r="D64" s="16">
        <f>(Résultats!AH$171+Résultats!AH$173+Résultats!AH$174+Résultats!AH$175+Résultats!AH$176+Résultats!AH$177+Résultats!AH$178+Résultats!AH$179+Résultats!AH$180+Résultats!AH$181+Résultats!AH$182)/1000000</f>
        <v>21.550442996510345</v>
      </c>
      <c r="E64" s="16">
        <f>'T energie usages'!J95/'T energie usages'!J$98*(Résultats!AH$192+Résultats!AH$193+Résultats!AH$194)/1000000</f>
        <v>0.98286625949432072</v>
      </c>
      <c r="F64" s="16">
        <f>(Résultats!AH$197+Résultats!AH$198+Résultats!AH$199+Résultats!AH$200+Résultats!AH$201+Résultats!AH$202+Résultats!AH$203+Résultats!AH$204+Résultats!AH$205+Résultats!AH$206+Résultats!AH$207+Résultats!AH$208+Résultats!AH$216+Résultats!AH$218)/1000000</f>
        <v>5.1657567915933598</v>
      </c>
      <c r="G64" s="16">
        <f>Résultats!AH$133/1000000</f>
        <v>15.591582630000001</v>
      </c>
      <c r="H64" s="95">
        <f t="shared" si="5"/>
        <v>51.057162576788031</v>
      </c>
      <c r="I64" s="166"/>
      <c r="K64" s="166"/>
      <c r="L64" s="166"/>
      <c r="M64" s="166"/>
      <c r="N64" s="38"/>
      <c r="O64" s="166"/>
      <c r="P64" s="166"/>
      <c r="Q64" s="166"/>
      <c r="R64" s="166"/>
      <c r="S64" s="166"/>
      <c r="T64" s="207"/>
      <c r="U64" s="16"/>
      <c r="W64" s="30"/>
      <c r="X64" s="208"/>
      <c r="Y64" s="208"/>
      <c r="Z64" s="208"/>
      <c r="AA64" s="208"/>
      <c r="AB64" s="208"/>
    </row>
    <row r="65" spans="1:28" x14ac:dyDescent="0.25">
      <c r="A65" s="149" t="s">
        <v>25</v>
      </c>
      <c r="B65" s="35"/>
      <c r="C65" s="16">
        <v>0</v>
      </c>
      <c r="D65" s="16">
        <f>(Résultats!AH$172)/1000000</f>
        <v>6.1585197010000003</v>
      </c>
      <c r="E65" s="16">
        <f>'T energie usages'!J97/'T energie usages'!J$98*(Résultats!AH$192+Résultats!AH$193+Résultats!AH$194)/1000000</f>
        <v>1.9786023705916068E-2</v>
      </c>
      <c r="F65" s="16">
        <f>(Résultats!AH$196)/1000000</f>
        <v>0.2521772638</v>
      </c>
      <c r="G65" s="16">
        <v>0</v>
      </c>
      <c r="H65" s="95">
        <f t="shared" si="5"/>
        <v>6.4304829885059167</v>
      </c>
      <c r="I65" s="166"/>
      <c r="K65" s="166"/>
      <c r="L65" s="166"/>
      <c r="M65" s="166"/>
      <c r="N65" s="38"/>
      <c r="O65" s="166"/>
      <c r="P65" s="166"/>
      <c r="Q65" s="166"/>
      <c r="R65" s="166"/>
      <c r="S65" s="166"/>
      <c r="T65" s="207"/>
      <c r="U65" s="16"/>
      <c r="W65" s="30"/>
      <c r="X65" s="208"/>
      <c r="Y65" s="208"/>
      <c r="Z65" s="208"/>
      <c r="AA65" s="208"/>
      <c r="AB65" s="208"/>
    </row>
    <row r="66" spans="1:28" x14ac:dyDescent="0.25">
      <c r="A66" s="48" t="s">
        <v>41</v>
      </c>
      <c r="B66" s="37"/>
      <c r="C66" s="37">
        <f>SUM(C61:C63)+C58</f>
        <v>8.1886023521899993</v>
      </c>
      <c r="D66" s="37">
        <f>SUM(D61:D63)+D58</f>
        <v>102.97080245645681</v>
      </c>
      <c r="E66" s="37">
        <f>SUM(E61:E63)+E58</f>
        <v>2.6000173011999994</v>
      </c>
      <c r="F66" s="37">
        <f>SUM(F61:F63)+F58</f>
        <v>19.330868894530354</v>
      </c>
      <c r="G66" s="37">
        <f>SUM(G61:G63)+G58</f>
        <v>15.591582630000001</v>
      </c>
      <c r="H66" s="167">
        <f t="shared" si="5"/>
        <v>148.68187363437715</v>
      </c>
      <c r="I66" s="79"/>
      <c r="J66" s="211"/>
      <c r="K66" s="166"/>
      <c r="L66" s="166"/>
      <c r="M66" s="166"/>
      <c r="N66" s="38"/>
      <c r="O66" s="166"/>
      <c r="P66" s="166"/>
      <c r="Q66" s="166"/>
      <c r="R66" s="166"/>
      <c r="S66" s="166"/>
      <c r="T66" s="207"/>
      <c r="U66" s="79"/>
      <c r="W66" s="80"/>
      <c r="X66" s="208"/>
      <c r="Y66" s="208"/>
      <c r="Z66" s="208"/>
      <c r="AA66" s="208"/>
      <c r="AB66" s="208"/>
    </row>
    <row r="67" spans="1:28" x14ac:dyDescent="0.25">
      <c r="A67" s="164" t="s">
        <v>43</v>
      </c>
      <c r="B67" s="164"/>
      <c r="C67" s="165">
        <f>(Résultats!AH$135+Résultats!AH$162+Résultats!AH$163+Résultats!AH$164+Résultats!AH$165+Résultats!AH$166+Résultats!AH$167+Résultats!AH$168+Résultats!AH$169)/1000000</f>
        <v>8.1886023521899993</v>
      </c>
      <c r="D67" s="165">
        <f>(Résultats!AH$137+Résultats!AH$171+Résultats!AH$172+Résultats!AH$173+Résultats!AH$174+Résultats!AH$175+Résultats!AH$176+Résultats!AH$177+Résultats!AH$178+Résultats!AH$179+Résultats!AH$180+Résultats!AH$181+Résultats!AH$182+Résultats!AH$183+Résultats!AH$184+Résultats!AH$185+Résultats!AH$186+Résultats!AH$187+Résultats!AH$188+Résultats!AH$189)/1000000</f>
        <v>102.99446369941035</v>
      </c>
      <c r="E67" s="165">
        <f>(Résultats!AH$192+Résultats!AH$193+Résultats!AH$194)/1000000</f>
        <v>2.6000173012000003</v>
      </c>
      <c r="F67" s="165">
        <f>(Résultats!AH$139+Résultats!AH$196+Résultats!AH$197+Résultats!AH$198+Résultats!AH$199+Résultats!AH$200+Résultats!AH$201+Résultats!AH$202+Résultats!AH$203+Résultats!AH$204+Résultats!AH$205+Résultats!AH$206+Résultats!AH$207+Résultats!AH$208+Résultats!AH$209+Résultats!AH$210+Résultats!AH$211+Résultats!AH$212+Résultats!AH$213+Résultats!AH$214+Résultats!AH$215+Résultats!AH$216+Résultats!AH$218)/1000000</f>
        <v>19.374061839033367</v>
      </c>
      <c r="G67" s="165">
        <f>Résultats!AH$133/1000000</f>
        <v>15.591582630000001</v>
      </c>
      <c r="H67" s="188">
        <f t="shared" si="5"/>
        <v>148.74872782183371</v>
      </c>
      <c r="I67" s="45"/>
      <c r="K67" s="45"/>
      <c r="L67" s="166"/>
    </row>
    <row r="68" spans="1:28" x14ac:dyDescent="0.25">
      <c r="A68" s="164"/>
      <c r="B68" s="164"/>
      <c r="C68" s="165"/>
      <c r="D68" s="165"/>
      <c r="E68" s="165"/>
      <c r="F68" s="165"/>
      <c r="G68" s="165"/>
      <c r="H68" s="165">
        <f>Résultats!AH227/1000000</f>
        <v>148.74872769999999</v>
      </c>
      <c r="I68" s="45"/>
      <c r="K68" s="45"/>
      <c r="L68" s="166"/>
    </row>
    <row r="69" spans="1:28" x14ac:dyDescent="0.25">
      <c r="A69" s="3"/>
      <c r="B69" s="3"/>
      <c r="C69" s="45"/>
      <c r="D69" s="45"/>
      <c r="E69" s="45"/>
      <c r="F69" s="45"/>
      <c r="G69" s="45"/>
      <c r="H69" s="45"/>
      <c r="I69" s="45"/>
      <c r="K69" s="45"/>
      <c r="L69" s="166"/>
    </row>
    <row r="70" spans="1:28" ht="21" x14ac:dyDescent="0.35">
      <c r="A70" s="145">
        <v>2050</v>
      </c>
      <c r="B70" s="186"/>
      <c r="C70" s="27" t="s">
        <v>36</v>
      </c>
      <c r="D70" s="27" t="s">
        <v>37</v>
      </c>
      <c r="E70" s="27" t="s">
        <v>38</v>
      </c>
      <c r="F70" s="27" t="s">
        <v>39</v>
      </c>
      <c r="G70" s="27" t="s">
        <v>40</v>
      </c>
      <c r="H70" s="190" t="s">
        <v>1</v>
      </c>
      <c r="I70" s="3"/>
    </row>
    <row r="71" spans="1:28" x14ac:dyDescent="0.25">
      <c r="A71" s="162" t="s">
        <v>18</v>
      </c>
      <c r="B71" s="187"/>
      <c r="C71" s="36">
        <f>C72+C73</f>
        <v>4.4122689892090496E-6</v>
      </c>
      <c r="D71" s="36">
        <f>D72+D73</f>
        <v>9.4524723477828907</v>
      </c>
      <c r="E71" s="36">
        <f>E72+E73</f>
        <v>7.6059254552156119E-2</v>
      </c>
      <c r="F71" s="36">
        <f>F72+F73</f>
        <v>0.76396053699235345</v>
      </c>
      <c r="G71" s="36">
        <f>G72+G73</f>
        <v>0</v>
      </c>
      <c r="H71" s="163">
        <f t="shared" ref="H71:H80" si="6">SUM(C71:G71)</f>
        <v>10.29249655159639</v>
      </c>
      <c r="I71" s="3"/>
    </row>
    <row r="72" spans="1:28" x14ac:dyDescent="0.25">
      <c r="A72" s="148" t="s">
        <v>19</v>
      </c>
      <c r="B72" s="35"/>
      <c r="C72" s="16">
        <f>Résultats!AF$118/1000000</f>
        <v>4.4122689892090496E-6</v>
      </c>
      <c r="D72" s="16">
        <f>'T energie usages'!I116*3.2*Résultats!AW283</f>
        <v>3.4277405380828903</v>
      </c>
      <c r="E72" s="16">
        <f>'T energie usages'!J116/'T energie usages'!J$124*(Résultats!AW$192+Résultats!AW$193+Résultats!AW$194)/1000000</f>
        <v>2.3276022322025983E-2</v>
      </c>
      <c r="F72" s="16">
        <f>'T energie usages'!K116*2.394*Résultats!AW284</f>
        <v>3.4664193534341728E-6</v>
      </c>
      <c r="G72" s="16">
        <v>0</v>
      </c>
      <c r="H72" s="95">
        <f t="shared" si="6"/>
        <v>3.451024439093259</v>
      </c>
      <c r="I72" s="3"/>
    </row>
    <row r="73" spans="1:28" x14ac:dyDescent="0.25">
      <c r="A73" s="149" t="s">
        <v>20</v>
      </c>
      <c r="B73" s="35"/>
      <c r="C73" s="16">
        <v>0</v>
      </c>
      <c r="D73" s="16">
        <f>(Résultats!AW$183+Résultats!AW$184+Résultats!AW$185+Résultats!AW$186+Résultats!AW$187)/1000000</f>
        <v>6.0247318097000004</v>
      </c>
      <c r="E73" s="16">
        <f>'T energie usages'!J117/'T energie usages'!J$124*(Résultats!AW$192+Résultats!AW$193+Résultats!AW$194)/1000000</f>
        <v>5.2783232230130137E-2</v>
      </c>
      <c r="F73" s="192">
        <f>(Résultats!AW$209+Résultats!AW$210+Résultats!AW$211+Résultats!AW$212+Résultats!AW$213)/1000000</f>
        <v>0.763957070573</v>
      </c>
      <c r="G73" s="16">
        <v>0</v>
      </c>
      <c r="H73" s="95">
        <f t="shared" si="6"/>
        <v>6.8414721125031308</v>
      </c>
      <c r="I73" s="3"/>
    </row>
    <row r="74" spans="1:28" x14ac:dyDescent="0.25">
      <c r="A74" s="162" t="s">
        <v>21</v>
      </c>
      <c r="B74" s="187"/>
      <c r="C74" s="36">
        <f>Résultats!AW$135/1000000</f>
        <v>0.24686944330000002</v>
      </c>
      <c r="D74" s="36">
        <f>'T energie usages'!I118*3.2*Résultats!AW283</f>
        <v>1.6947730440816466</v>
      </c>
      <c r="E74" s="36">
        <f>'T energie usages'!J118/'T energie usages'!J$124*(Résultats!AW$192+Résultats!AW$193+Résultats!AW$194)/1000000</f>
        <v>8.5724106914898124E-2</v>
      </c>
      <c r="F74" s="36">
        <f>('T energie usages'!K118-8)*2.394*Résultats!AW284</f>
        <v>2.4068544965596312</v>
      </c>
      <c r="G74" s="36">
        <v>0</v>
      </c>
      <c r="H74" s="163">
        <f t="shared" si="6"/>
        <v>4.4342210908561759</v>
      </c>
      <c r="I74" s="3"/>
    </row>
    <row r="75" spans="1:28" x14ac:dyDescent="0.25">
      <c r="A75" s="162" t="s">
        <v>22</v>
      </c>
      <c r="B75" s="187"/>
      <c r="C75" s="36">
        <f>(Résultats!AW$168+Résultats!AW$169)/1000000</f>
        <v>0</v>
      </c>
      <c r="D75" s="36">
        <f>(Résultats!AW$188+Résultats!AW$189)/1000000</f>
        <v>0.93623718090000008</v>
      </c>
      <c r="E75" s="36">
        <f>'T energie usages'!J119/'T energie usages'!J$124*(Résultats!AW$192+Résultats!AW$193+Résultats!AW$194)/1000000</f>
        <v>6.2624990267954581E-2</v>
      </c>
      <c r="F75" s="36">
        <f>(Résultats!AW$214+Résultats!AW$215)/1000000</f>
        <v>2.9068949945</v>
      </c>
      <c r="G75" s="36">
        <v>0</v>
      </c>
      <c r="H75" s="163">
        <f t="shared" si="6"/>
        <v>3.9057571656679544</v>
      </c>
      <c r="I75" s="3"/>
    </row>
    <row r="76" spans="1:28" x14ac:dyDescent="0.25">
      <c r="A76" s="162" t="s">
        <v>23</v>
      </c>
      <c r="B76" s="187"/>
      <c r="C76" s="36">
        <f>C77+C78</f>
        <v>8.8357452347599992</v>
      </c>
      <c r="D76" s="36">
        <f>D77+D78</f>
        <v>10.599376244316996</v>
      </c>
      <c r="E76" s="36">
        <f>E77+E78</f>
        <v>0.15037128392499116</v>
      </c>
      <c r="F76" s="36">
        <f>F77+F78</f>
        <v>3.9641091343040524</v>
      </c>
      <c r="G76" s="36">
        <f>G77+G78</f>
        <v>17.617674179999998</v>
      </c>
      <c r="H76" s="163">
        <f t="shared" si="6"/>
        <v>41.167276077306042</v>
      </c>
      <c r="I76" s="3"/>
    </row>
    <row r="77" spans="1:28" x14ac:dyDescent="0.25">
      <c r="A77" s="149" t="s">
        <v>24</v>
      </c>
      <c r="B77" s="35"/>
      <c r="C77" s="16">
        <f>(Résultats!AW$162+Résultats!AW$163+Résultats!AW$164+Résultats!AW$165+Résultats!AW$166+Résultats!AW$167)/1000000</f>
        <v>8.8357452347599992</v>
      </c>
      <c r="D77" s="16">
        <f>(Résultats!AW$171+Résultats!AW$173+Résultats!AW$174+Résultats!AW$175+Résultats!AW$176+Résultats!AW$177+Résultats!AW$178+Résultats!AW$179+Résultats!AW$180+Résultats!AW$181+Résultats!AW$182)/1000000</f>
        <v>8.2254566253169958</v>
      </c>
      <c r="E77" s="16">
        <f>'T energie usages'!J121/'T energie usages'!J$124*(Résultats!AW$192+Résultats!AW$193+Résultats!AW$194)/1000000</f>
        <v>0.14715983771914579</v>
      </c>
      <c r="F77" s="16">
        <f>(Résultats!AW$197+Résultats!AW$198+Résultats!AW$199+Résultats!AW$200+Résultats!AW$201+Résultats!AW$202+Résultats!AW$203+Résultats!AW$204+Résultats!AW$205+Résultats!AW$206+Résultats!AW$207+Résultats!AW$208+Résultats!AW$216+Résultats!AW$218)/1000000</f>
        <v>3.7898427869040523</v>
      </c>
      <c r="G77" s="16">
        <f>Résultats!AW$133/1000000</f>
        <v>17.617674179999998</v>
      </c>
      <c r="H77" s="95">
        <f t="shared" si="6"/>
        <v>38.61587866470019</v>
      </c>
      <c r="I77" s="3"/>
    </row>
    <row r="78" spans="1:28" x14ac:dyDescent="0.25">
      <c r="A78" s="149" t="s">
        <v>25</v>
      </c>
      <c r="B78" s="35"/>
      <c r="C78" s="16">
        <v>0</v>
      </c>
      <c r="D78" s="16">
        <f>(Résultats!AW$172)/1000000</f>
        <v>2.373919619</v>
      </c>
      <c r="E78" s="16">
        <f>'T energie usages'!J123/'T energie usages'!J$124*(Résultats!AW$192+Résultats!AW$193+Résultats!AW$194)/1000000</f>
        <v>3.2114462058453739E-3</v>
      </c>
      <c r="F78" s="16">
        <f>(Résultats!AW$196)/1000000</f>
        <v>0.17426634739999999</v>
      </c>
      <c r="G78" s="16">
        <v>0</v>
      </c>
      <c r="H78" s="95">
        <f t="shared" si="6"/>
        <v>2.5513974126058456</v>
      </c>
      <c r="I78" s="3"/>
    </row>
    <row r="79" spans="1:28" x14ac:dyDescent="0.25">
      <c r="A79" s="48" t="s">
        <v>41</v>
      </c>
      <c r="B79" s="37"/>
      <c r="C79" s="37">
        <f>SUM(C74:C76)+C71</f>
        <v>9.0826190903289881</v>
      </c>
      <c r="D79" s="37">
        <f>SUM(D74:D76)+D71</f>
        <v>22.682858817081534</v>
      </c>
      <c r="E79" s="37">
        <f>SUM(E74:E76)+E71</f>
        <v>0.37477963566</v>
      </c>
      <c r="F79" s="37">
        <f>SUM(F74:F76)+F71</f>
        <v>10.041819162356038</v>
      </c>
      <c r="G79" s="37">
        <f>SUM(G74:G76)+G71</f>
        <v>17.617674179999998</v>
      </c>
      <c r="H79" s="167">
        <f t="shared" si="6"/>
        <v>59.799750885426548</v>
      </c>
      <c r="I79" s="3"/>
    </row>
    <row r="80" spans="1:28" x14ac:dyDescent="0.25">
      <c r="A80" s="164" t="s">
        <v>43</v>
      </c>
      <c r="B80" s="164"/>
      <c r="C80" s="165">
        <f>(Résultats!AW$135+Résultats!AW$162+Résultats!AW$163+Résultats!AW$164+Résultats!AW$165+Résultats!AW$166+Résultats!AW$167+Résultats!AW$168+Résultats!AW$169)/1000000</f>
        <v>9.0826146780600006</v>
      </c>
      <c r="D80" s="165">
        <f>(Résultats!AW$137+Résultats!AW$171+Résultats!AW$172+Résultats!AW$173+Résultats!AW$174+Résultats!AW$175+Résultats!AW$176+Résultats!AW$177+Résultats!AW$178+Résultats!AW$179+Résultats!AW$180+Résultats!AW$181+Résultats!AW$182+Résultats!AW$183+Résultats!AW$184+Résultats!AW$185+Résultats!AW$186+Résultats!AW$187+Résultats!AW$188+Résultats!AW$189)/1000000</f>
        <v>22.685954360916995</v>
      </c>
      <c r="E80" s="165">
        <f>(Résultats!AW$192+Résultats!AW$193+Résultats!AW$194)/1000000</f>
        <v>0.37477963565999994</v>
      </c>
      <c r="F80" s="165">
        <f>(Résultats!AW$139+Résultats!AW$196+Résultats!AW$197+Résultats!AW$198+Résultats!AW$199+Résultats!AW$200+Résultats!AW$201+Résultats!AW$202+Résultats!AW$203+Résultats!AW$204+Résultats!AW$205+Résultats!AW$206+Résultats!AW$207+Résultats!AW$208+Résultats!AW$209+Résultats!AW$210+Résultats!AW$211+Résultats!AW$212+Résultats!AW$213+Résultats!AW$214+Résultats!AW$215+Résultats!AW$216+Résultats!AW$218)/1000000</f>
        <v>10.05881001537705</v>
      </c>
      <c r="G80" s="165">
        <f>Résultats!AW133/1000000</f>
        <v>17.617674179999998</v>
      </c>
      <c r="H80" s="188">
        <f t="shared" si="6"/>
        <v>59.819832870014039</v>
      </c>
      <c r="I80" s="47"/>
    </row>
    <row r="81" spans="1:9" x14ac:dyDescent="0.25">
      <c r="A81" s="164"/>
      <c r="B81" s="164"/>
      <c r="C81" s="165"/>
      <c r="D81" s="165"/>
      <c r="E81" s="165"/>
      <c r="F81" s="165"/>
      <c r="G81" s="165"/>
      <c r="H81" s="165">
        <f>Résultats!AW227/1000000</f>
        <v>59.819832829999996</v>
      </c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s="3" customFormat="1" x14ac:dyDescent="0.25"/>
    <row r="85" spans="1:9" s="3" customFormat="1" x14ac:dyDescent="0.25">
      <c r="G85" s="45"/>
    </row>
    <row r="86" spans="1:9" s="3" customFormat="1" x14ac:dyDescent="0.25">
      <c r="H86" s="47"/>
    </row>
    <row r="87" spans="1:9" s="3" customFormat="1" x14ac:dyDescent="0.25">
      <c r="C87" s="45"/>
      <c r="H87" s="47"/>
    </row>
    <row r="88" spans="1:9" s="3" customFormat="1" x14ac:dyDescent="0.25">
      <c r="C88" s="45"/>
      <c r="H88" s="47"/>
    </row>
    <row r="89" spans="1:9" s="3" customFormat="1" x14ac:dyDescent="0.25">
      <c r="C89" s="45"/>
      <c r="H89" s="47"/>
    </row>
    <row r="90" spans="1:9" s="3" customFormat="1" x14ac:dyDescent="0.25">
      <c r="C90" s="45"/>
      <c r="H90" s="47"/>
    </row>
    <row r="91" spans="1:9" s="3" customFormat="1" x14ac:dyDescent="0.25">
      <c r="C91" s="45"/>
      <c r="H91" s="47"/>
    </row>
    <row r="92" spans="1:9" s="3" customFormat="1" x14ac:dyDescent="0.25">
      <c r="C92" s="45"/>
    </row>
    <row r="93" spans="1:9" s="3" customFormat="1" x14ac:dyDescent="0.25">
      <c r="C93" s="45"/>
    </row>
    <row r="94" spans="1:9" s="3" customFormat="1" x14ac:dyDescent="0.25">
      <c r="C94" s="45"/>
    </row>
    <row r="95" spans="1:9" s="3" customFormat="1" x14ac:dyDescent="0.25">
      <c r="C95" s="45"/>
    </row>
    <row r="96" spans="1:9" s="3" customFormat="1" x14ac:dyDescent="0.25">
      <c r="C96" s="45"/>
    </row>
    <row r="97" spans="3:5" s="3" customFormat="1" x14ac:dyDescent="0.25">
      <c r="C97" s="45"/>
    </row>
    <row r="98" spans="3:5" s="3" customFormat="1" x14ac:dyDescent="0.25">
      <c r="C98" s="45"/>
    </row>
    <row r="99" spans="3:5" s="3" customFormat="1" x14ac:dyDescent="0.25">
      <c r="C99" s="45"/>
    </row>
    <row r="100" spans="3:5" s="3" customFormat="1" x14ac:dyDescent="0.25">
      <c r="C100" s="45"/>
    </row>
    <row r="101" spans="3:5" s="3" customFormat="1" x14ac:dyDescent="0.25">
      <c r="C101" s="45"/>
    </row>
    <row r="102" spans="3:5" s="3" customFormat="1" x14ac:dyDescent="0.25">
      <c r="C102" s="45"/>
    </row>
    <row r="103" spans="3:5" s="3" customFormat="1" x14ac:dyDescent="0.25"/>
    <row r="104" spans="3:5" s="3" customFormat="1" x14ac:dyDescent="0.25">
      <c r="C104" s="45"/>
    </row>
    <row r="105" spans="3:5" s="3" customFormat="1" x14ac:dyDescent="0.25">
      <c r="C105" s="45"/>
    </row>
    <row r="106" spans="3:5" s="3" customFormat="1" x14ac:dyDescent="0.25">
      <c r="C106" s="45"/>
    </row>
    <row r="107" spans="3:5" s="3" customFormat="1" x14ac:dyDescent="0.25">
      <c r="C107" s="45"/>
    </row>
    <row r="108" spans="3:5" s="3" customFormat="1" x14ac:dyDescent="0.25">
      <c r="C108" s="45"/>
    </row>
    <row r="109" spans="3:5" s="3" customFormat="1" x14ac:dyDescent="0.25">
      <c r="C109" s="45"/>
    </row>
    <row r="110" spans="3:5" s="3" customFormat="1" x14ac:dyDescent="0.25">
      <c r="C110" s="45"/>
    </row>
    <row r="111" spans="3:5" s="3" customFormat="1" x14ac:dyDescent="0.25">
      <c r="C111" s="45"/>
    </row>
    <row r="112" spans="3:5" s="3" customFormat="1" x14ac:dyDescent="0.25">
      <c r="C112" s="45"/>
      <c r="D112" s="212"/>
      <c r="E112" s="212"/>
    </row>
    <row r="113" spans="3:3" s="3" customFormat="1" x14ac:dyDescent="0.25">
      <c r="C113" s="45"/>
    </row>
    <row r="114" spans="3:3" s="3" customFormat="1" x14ac:dyDescent="0.25">
      <c r="C114" s="45"/>
    </row>
    <row r="115" spans="3:3" s="3" customFormat="1" x14ac:dyDescent="0.25">
      <c r="C115" s="45"/>
    </row>
    <row r="116" spans="3:3" s="3" customFormat="1" x14ac:dyDescent="0.25">
      <c r="C116" s="45"/>
    </row>
    <row r="117" spans="3:3" s="3" customFormat="1" x14ac:dyDescent="0.25">
      <c r="C117" s="45"/>
    </row>
    <row r="118" spans="3:3" s="3" customFormat="1" x14ac:dyDescent="0.25">
      <c r="C118" s="45"/>
    </row>
    <row r="119" spans="3:3" s="3" customFormat="1" x14ac:dyDescent="0.25">
      <c r="C119" s="45"/>
    </row>
    <row r="120" spans="3:3" s="3" customFormat="1" x14ac:dyDescent="0.25">
      <c r="C120" s="45"/>
    </row>
    <row r="121" spans="3:3" s="3" customFormat="1" x14ac:dyDescent="0.25">
      <c r="C121" s="45"/>
    </row>
    <row r="122" spans="3:3" s="3" customFormat="1" x14ac:dyDescent="0.25"/>
    <row r="123" spans="3:3" s="3" customFormat="1" x14ac:dyDescent="0.25"/>
    <row r="124" spans="3:3" s="3" customFormat="1" x14ac:dyDescent="0.25"/>
    <row r="125" spans="3:3" s="3" customFormat="1" x14ac:dyDescent="0.25"/>
    <row r="126" spans="3:3" s="3" customFormat="1" x14ac:dyDescent="0.25"/>
    <row r="127" spans="3:3" s="3" customFormat="1" x14ac:dyDescent="0.25"/>
    <row r="128" spans="3:3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6">
    <tabColor rgb="FF0070C0"/>
  </sheetPr>
  <dimension ref="A1:BD32"/>
  <sheetViews>
    <sheetView topLeftCell="A2" zoomScale="80" zoomScaleNormal="80" workbookViewId="0">
      <selection activeCell="G21" sqref="G21:G22"/>
    </sheetView>
  </sheetViews>
  <sheetFormatPr baseColWidth="10" defaultRowHeight="15" x14ac:dyDescent="0.25"/>
  <cols>
    <col min="2" max="2" width="19.7109375" customWidth="1"/>
    <col min="3" max="3" width="21.5703125" bestFit="1" customWidth="1"/>
    <col min="4" max="6" width="13.5703125" hidden="1" customWidth="1"/>
    <col min="7" max="8" width="7.140625" customWidth="1"/>
    <col min="9" max="18" width="7.140625" bestFit="1" customWidth="1"/>
    <col min="19" max="19" width="7.85546875" customWidth="1"/>
    <col min="20" max="22" width="7.140625" bestFit="1" customWidth="1"/>
    <col min="23" max="23" width="7.85546875" customWidth="1"/>
    <col min="30" max="30" width="19.7109375" hidden="1" customWidth="1"/>
    <col min="31" max="31" width="21.5703125" hidden="1" customWidth="1"/>
    <col min="32" max="34" width="13.5703125" hidden="1" customWidth="1"/>
    <col min="35" max="46" width="7.140625" hidden="1" customWidth="1"/>
    <col min="47" max="47" width="7.85546875" customWidth="1"/>
    <col min="48" max="50" width="7.140625" bestFit="1" customWidth="1"/>
    <col min="51" max="51" width="7.85546875" customWidth="1"/>
  </cols>
  <sheetData>
    <row r="1" spans="1:56" s="3" customFormat="1" ht="23.25" x14ac:dyDescent="0.35">
      <c r="A1" s="46" t="s">
        <v>99</v>
      </c>
      <c r="AC1" s="46" t="s">
        <v>99</v>
      </c>
    </row>
    <row r="2" spans="1:56" s="3" customFormat="1" ht="23.25" x14ac:dyDescent="0.35">
      <c r="A2" s="46"/>
      <c r="D2" s="7"/>
      <c r="E2" s="235">
        <f>'T energie vecteurs'!E5</f>
        <v>4</v>
      </c>
      <c r="F2" s="235">
        <f>E2+9</f>
        <v>13</v>
      </c>
      <c r="G2" s="235">
        <f>F2+3</f>
        <v>16</v>
      </c>
      <c r="H2" s="235">
        <f t="shared" ref="H2:S2" si="0">G2+1</f>
        <v>17</v>
      </c>
      <c r="I2" s="235">
        <f t="shared" si="0"/>
        <v>18</v>
      </c>
      <c r="J2" s="235">
        <f t="shared" si="0"/>
        <v>19</v>
      </c>
      <c r="K2" s="235">
        <f t="shared" si="0"/>
        <v>20</v>
      </c>
      <c r="L2" s="235">
        <f t="shared" si="0"/>
        <v>21</v>
      </c>
      <c r="M2" s="235">
        <f t="shared" si="0"/>
        <v>22</v>
      </c>
      <c r="N2" s="235">
        <f t="shared" si="0"/>
        <v>23</v>
      </c>
      <c r="O2" s="235">
        <f t="shared" si="0"/>
        <v>24</v>
      </c>
      <c r="P2" s="235">
        <f t="shared" si="0"/>
        <v>25</v>
      </c>
      <c r="Q2" s="235">
        <f t="shared" si="0"/>
        <v>26</v>
      </c>
      <c r="R2" s="235">
        <f t="shared" si="0"/>
        <v>27</v>
      </c>
      <c r="S2" s="235">
        <f t="shared" si="0"/>
        <v>28</v>
      </c>
      <c r="T2" s="235">
        <f>S2+5</f>
        <v>33</v>
      </c>
      <c r="U2" s="235">
        <f>T2+5</f>
        <v>38</v>
      </c>
      <c r="V2" s="235">
        <f>U2+5</f>
        <v>43</v>
      </c>
      <c r="W2" s="235">
        <f>V2+5</f>
        <v>48</v>
      </c>
      <c r="AC2" s="46"/>
      <c r="AF2" s="7"/>
      <c r="AG2" s="235">
        <v>3</v>
      </c>
      <c r="AH2" s="235">
        <v>12</v>
      </c>
      <c r="AI2" s="235">
        <v>15</v>
      </c>
      <c r="AJ2" s="235">
        <v>16</v>
      </c>
      <c r="AK2" s="235">
        <v>17</v>
      </c>
      <c r="AL2" s="235">
        <v>18</v>
      </c>
      <c r="AM2" s="235">
        <v>19</v>
      </c>
      <c r="AN2" s="235">
        <v>20</v>
      </c>
      <c r="AO2" s="235">
        <v>21</v>
      </c>
      <c r="AP2" s="235">
        <v>22</v>
      </c>
      <c r="AQ2" s="235">
        <v>23</v>
      </c>
      <c r="AR2" s="235">
        <v>24</v>
      </c>
      <c r="AS2" s="235">
        <v>25</v>
      </c>
      <c r="AT2" s="235">
        <v>26</v>
      </c>
      <c r="AU2" s="235">
        <v>27</v>
      </c>
      <c r="AV2" s="235">
        <v>32</v>
      </c>
      <c r="AW2" s="235">
        <v>37</v>
      </c>
      <c r="AX2" s="235">
        <v>42</v>
      </c>
      <c r="AY2" s="235">
        <v>47</v>
      </c>
    </row>
    <row r="3" spans="1:56" ht="23.25" x14ac:dyDescent="0.35">
      <c r="A3" s="228"/>
      <c r="B3" s="3"/>
      <c r="C3" s="42"/>
      <c r="D3" s="11"/>
      <c r="E3" s="238">
        <v>2006</v>
      </c>
      <c r="F3" s="49">
        <v>2015</v>
      </c>
      <c r="G3" s="20">
        <v>2018</v>
      </c>
      <c r="H3" s="4">
        <v>2019</v>
      </c>
      <c r="I3" s="190">
        <v>2020</v>
      </c>
      <c r="J3" s="91">
        <v>2021</v>
      </c>
      <c r="K3" s="27">
        <v>2022</v>
      </c>
      <c r="L3" s="4">
        <v>2023</v>
      </c>
      <c r="M3" s="27">
        <v>2024</v>
      </c>
      <c r="N3" s="83">
        <v>2025</v>
      </c>
      <c r="O3" s="91">
        <v>2026</v>
      </c>
      <c r="P3" s="4">
        <v>2027</v>
      </c>
      <c r="Q3" s="27">
        <v>2028</v>
      </c>
      <c r="R3" s="27">
        <v>2029</v>
      </c>
      <c r="S3" s="83">
        <v>2030</v>
      </c>
      <c r="T3" s="93">
        <v>2035</v>
      </c>
      <c r="U3" s="93">
        <v>2040</v>
      </c>
      <c r="V3" s="4">
        <v>2045</v>
      </c>
      <c r="W3" s="93">
        <v>2050</v>
      </c>
      <c r="X3" s="3"/>
      <c r="AC3" s="228"/>
      <c r="AD3" s="3"/>
      <c r="AE3" s="42"/>
      <c r="AF3" s="11"/>
      <c r="AG3" s="238">
        <v>2006</v>
      </c>
      <c r="AH3" s="49">
        <v>2015</v>
      </c>
      <c r="AI3" s="20">
        <v>2018</v>
      </c>
      <c r="AJ3" s="4">
        <v>2019</v>
      </c>
      <c r="AK3" s="190">
        <v>2020</v>
      </c>
      <c r="AL3" s="91">
        <v>2021</v>
      </c>
      <c r="AM3" s="27">
        <v>2022</v>
      </c>
      <c r="AN3" s="4">
        <v>2023</v>
      </c>
      <c r="AO3" s="27">
        <v>2024</v>
      </c>
      <c r="AP3" s="83">
        <v>2025</v>
      </c>
      <c r="AQ3" s="91">
        <v>2026</v>
      </c>
      <c r="AR3" s="4">
        <v>2027</v>
      </c>
      <c r="AS3" s="27">
        <v>2028</v>
      </c>
      <c r="AT3" s="27">
        <v>2029</v>
      </c>
      <c r="AU3" s="83">
        <v>2030</v>
      </c>
      <c r="AV3" s="93">
        <v>2035</v>
      </c>
      <c r="AW3" s="93">
        <v>2040</v>
      </c>
      <c r="AX3" s="4">
        <v>2045</v>
      </c>
      <c r="AY3" s="93">
        <v>2050</v>
      </c>
      <c r="AZ3" s="3"/>
    </row>
    <row r="4" spans="1:56" ht="23.25" x14ac:dyDescent="0.35">
      <c r="A4" s="161" t="str">
        <f>Résultats!B1</f>
        <v>SNBC3</v>
      </c>
      <c r="B4" s="229" t="s">
        <v>100</v>
      </c>
      <c r="C4" s="5" t="s">
        <v>92</v>
      </c>
      <c r="D4" s="12" t="s">
        <v>190</v>
      </c>
      <c r="E4" s="18">
        <f>VLOOKUP($D4,Résultats!$B$2:$AX$212,E$2,FALSE)</f>
        <v>2393165780</v>
      </c>
      <c r="F4" s="18">
        <f>VLOOKUP($D4,Résultats!$B$2:$AX$212,F$2,FALSE)</f>
        <v>2623669000</v>
      </c>
      <c r="G4" s="106">
        <f>VLOOKUP($D4,Résultats!$B$2:$AX$212,G$2,FALSE)/1000000</f>
        <v>2715.6825130000002</v>
      </c>
      <c r="H4" s="18">
        <f>VLOOKUP($D4,Résultats!$B$2:$AX$212,H$2,FALSE)/1000000</f>
        <v>2745.4671250000001</v>
      </c>
      <c r="I4" s="114">
        <f>VLOOKUP($D4,Résultats!$B$2:$AX$212,I$2,FALSE)/1000000</f>
        <v>2775.1517399999998</v>
      </c>
      <c r="J4" s="106">
        <f>VLOOKUP($D4,Résultats!$B$2:$AX$212,J$2,FALSE)/1000000</f>
        <v>2804.2295709999999</v>
      </c>
      <c r="K4" s="18">
        <f>VLOOKUP($D4,Résultats!$B$2:$AX$212,K$2,FALSE)/1000000</f>
        <v>2833.057577</v>
      </c>
      <c r="L4" s="18">
        <f>VLOOKUP($D4,Résultats!$B$2:$AX$212,L$2,FALSE)/1000000</f>
        <v>2863.7831890000002</v>
      </c>
      <c r="M4" s="18">
        <f>VLOOKUP($D4,Résultats!$B$2:$AX$212,M$2,FALSE)/1000000</f>
        <v>2893.2943919999998</v>
      </c>
      <c r="N4" s="107">
        <f>VLOOKUP($D4,Résultats!$B$2:$AX$212,N$2,FALSE)/1000000</f>
        <v>2920.6834960000001</v>
      </c>
      <c r="O4" s="106">
        <f>VLOOKUP($D4,Résultats!$B$2:$AX$212,O$2,FALSE)/1000000</f>
        <v>2946.0163050000001</v>
      </c>
      <c r="P4" s="18">
        <f>VLOOKUP($D4,Résultats!$B$2:$AX$212,P$2,FALSE)/1000000</f>
        <v>2969.1923109999998</v>
      </c>
      <c r="Q4" s="18">
        <f>VLOOKUP($D4,Résultats!$B$2:$AX$212,Q$2,FALSE)/1000000</f>
        <v>2990.3332730000002</v>
      </c>
      <c r="R4" s="18">
        <f>VLOOKUP($D4,Résultats!$B$2:$AX$212,R$2,FALSE)/1000000</f>
        <v>3009.2612450000001</v>
      </c>
      <c r="S4" s="107">
        <f>VLOOKUP($D4,Résultats!$B$2:$AX$212,S$2,FALSE)/1000000</f>
        <v>3025.8887220000001</v>
      </c>
      <c r="T4" s="114">
        <f>VLOOKUP($D4,Résultats!$B$2:$AX$212,T$2,FALSE)/1000000</f>
        <v>3096.9837219999999</v>
      </c>
      <c r="U4" s="114">
        <f>VLOOKUP($D4,Résultats!$B$2:$AX$212,U$2,FALSE)/1000000</f>
        <v>3145.2756850000001</v>
      </c>
      <c r="V4" s="18">
        <f>VLOOKUP($D4,Résultats!$B$2:$AX$212,V$2,FALSE)/1000000</f>
        <v>3179.3241320000002</v>
      </c>
      <c r="W4" s="114">
        <f>VLOOKUP($D4,Résultats!$B$2:$AX$212,W$2,FALSE)/1000000</f>
        <v>3207.035723</v>
      </c>
      <c r="X4" s="3"/>
      <c r="AC4" s="161" t="s">
        <v>464</v>
      </c>
      <c r="AD4" s="229" t="s">
        <v>100</v>
      </c>
      <c r="AE4" s="5" t="s">
        <v>92</v>
      </c>
      <c r="AF4" s="12" t="s">
        <v>190</v>
      </c>
      <c r="AG4" s="18">
        <v>2355349875.8831902</v>
      </c>
      <c r="AH4" s="18">
        <v>2596998398</v>
      </c>
      <c r="AI4" s="106">
        <v>2655.7572249999998</v>
      </c>
      <c r="AJ4" s="18">
        <v>2671.9482079999998</v>
      </c>
      <c r="AK4" s="114">
        <v>2688.2378990000002</v>
      </c>
      <c r="AL4" s="106">
        <v>2704.626902</v>
      </c>
      <c r="AM4" s="18">
        <v>2721.2510619999998</v>
      </c>
      <c r="AN4" s="18">
        <v>2733.314965</v>
      </c>
      <c r="AO4" s="18">
        <v>2745.2011419999999</v>
      </c>
      <c r="AP4" s="107">
        <v>2756.950288</v>
      </c>
      <c r="AQ4" s="106">
        <v>2768.561725</v>
      </c>
      <c r="AR4" s="18">
        <v>2779.993097</v>
      </c>
      <c r="AS4" s="18">
        <v>2791.5774529999999</v>
      </c>
      <c r="AT4" s="18">
        <v>2802.855591</v>
      </c>
      <c r="AU4" s="107">
        <v>2814.3284440000002</v>
      </c>
      <c r="AV4" s="114">
        <v>2869.6227979999999</v>
      </c>
      <c r="AW4" s="114">
        <v>2921.4190490000001</v>
      </c>
      <c r="AX4" s="18">
        <v>2966.1644070000002</v>
      </c>
      <c r="AY4" s="114">
        <v>3002.7028059999998</v>
      </c>
      <c r="AZ4" s="3"/>
    </row>
    <row r="5" spans="1:56" x14ac:dyDescent="0.25">
      <c r="A5" s="3"/>
      <c r="B5" s="230"/>
      <c r="C5" s="35" t="s">
        <v>27</v>
      </c>
      <c r="D5" s="13" t="s">
        <v>191</v>
      </c>
      <c r="E5" s="25">
        <f>VLOOKUP($D5,Résultats!$B$2:$AX$212,E$2,FALSE)</f>
        <v>661127</v>
      </c>
      <c r="F5" s="25">
        <f>VLOOKUP($D5,Résultats!$B$2:$AX$212,F$2,FALSE)</f>
        <v>82163611.590000004</v>
      </c>
      <c r="G5" s="101">
        <f>VLOOKUP($D5,Résultats!$B$2:$AX$212,G$2,FALSE)/1000000</f>
        <v>129.7712209</v>
      </c>
      <c r="H5" s="25">
        <f>VLOOKUP($D5,Résultats!$B$2:$AX$212,H$2,FALSE)/1000000</f>
        <v>149.005807</v>
      </c>
      <c r="I5" s="102">
        <f>VLOOKUP($D5,Résultats!$B$2:$AX$212,I$2,FALSE)/1000000</f>
        <v>171.83190740000001</v>
      </c>
      <c r="J5" s="101">
        <f>VLOOKUP($D5,Résultats!$B$2:$AX$212,J$2,FALSE)/1000000</f>
        <v>196.26216330000003</v>
      </c>
      <c r="K5" s="25">
        <f>VLOOKUP($D5,Résultats!$B$2:$AX$212,K$2,FALSE)/1000000</f>
        <v>223.9186101</v>
      </c>
      <c r="L5" s="25">
        <f>VLOOKUP($D5,Résultats!$B$2:$AX$212,L$2,FALSE)/1000000</f>
        <v>252.3239068</v>
      </c>
      <c r="M5" s="25">
        <f>VLOOKUP($D5,Résultats!$B$2:$AX$212,M$2,FALSE)/1000000</f>
        <v>282.84941600000002</v>
      </c>
      <c r="N5" s="102">
        <f>VLOOKUP($D5,Résultats!$B$2:$AX$212,N$2,FALSE)/1000000</f>
        <v>318.2890822</v>
      </c>
      <c r="O5" s="101">
        <f>VLOOKUP($D5,Résultats!$B$2:$AX$212,O$2,FALSE)/1000000</f>
        <v>357.69084229999999</v>
      </c>
      <c r="P5" s="25">
        <f>VLOOKUP($D5,Résultats!$B$2:$AX$212,P$2,FALSE)/1000000</f>
        <v>400.53934460000005</v>
      </c>
      <c r="Q5" s="25">
        <f>VLOOKUP($D5,Résultats!$B$2:$AX$212,Q$2,FALSE)/1000000</f>
        <v>445.46921950000001</v>
      </c>
      <c r="R5" s="25">
        <f>VLOOKUP($D5,Résultats!$B$2:$AX$212,R$2,FALSE)/1000000</f>
        <v>491.88791550000002</v>
      </c>
      <c r="S5" s="102">
        <f>VLOOKUP($D5,Résultats!$B$2:$AX$212,S$2,FALSE)/1000000</f>
        <v>538.80530939999994</v>
      </c>
      <c r="T5" s="105">
        <f>VLOOKUP($D5,Résultats!$B$2:$AX$212,T$2,FALSE)/1000000</f>
        <v>786.05532470000003</v>
      </c>
      <c r="U5" s="105">
        <f>VLOOKUP($D5,Résultats!$B$2:$AX$212,U$2,FALSE)/1000000</f>
        <v>1033.4412589999999</v>
      </c>
      <c r="V5" s="25">
        <f>VLOOKUP($D5,Résultats!$B$2:$AX$212,V$2,FALSE)/1000000</f>
        <v>1272.7880399999999</v>
      </c>
      <c r="W5" s="105">
        <f>VLOOKUP($D5,Résultats!$B$2:$AX$212,W$2,FALSE)/1000000</f>
        <v>1499.122699</v>
      </c>
      <c r="X5" s="3"/>
      <c r="AC5" s="3"/>
      <c r="AD5" s="230"/>
      <c r="AE5" s="35" t="s">
        <v>27</v>
      </c>
      <c r="AF5" s="13" t="s">
        <v>191</v>
      </c>
      <c r="AG5" s="25">
        <v>650680.12020171306</v>
      </c>
      <c r="AH5" s="25">
        <v>43187152.149999999</v>
      </c>
      <c r="AI5" s="101">
        <v>50.412683960000003</v>
      </c>
      <c r="AJ5" s="25">
        <v>52.585453389999998</v>
      </c>
      <c r="AK5" s="102">
        <v>55.248827470000002</v>
      </c>
      <c r="AL5" s="101">
        <v>58.446187070000001</v>
      </c>
      <c r="AM5" s="25">
        <v>61.862481409999994</v>
      </c>
      <c r="AN5" s="25">
        <v>65.420231920000006</v>
      </c>
      <c r="AO5" s="25">
        <v>69.449230379999989</v>
      </c>
      <c r="AP5" s="102">
        <v>74.034006009999999</v>
      </c>
      <c r="AQ5" s="101">
        <v>79.004304869999999</v>
      </c>
      <c r="AR5" s="25">
        <v>83.804995500000004</v>
      </c>
      <c r="AS5" s="25">
        <v>87.363160239999999</v>
      </c>
      <c r="AT5" s="25">
        <v>89.222456459999904</v>
      </c>
      <c r="AU5" s="102">
        <v>90.697099290000011</v>
      </c>
      <c r="AV5" s="105">
        <v>97.114109620000008</v>
      </c>
      <c r="AW5" s="105">
        <v>103.08508359999999</v>
      </c>
      <c r="AX5" s="25">
        <v>108.2989291</v>
      </c>
      <c r="AY5" s="105">
        <v>112.66037159999999</v>
      </c>
      <c r="AZ5" s="3"/>
    </row>
    <row r="6" spans="1:56" x14ac:dyDescent="0.25">
      <c r="A6" s="3"/>
      <c r="B6" s="230"/>
      <c r="C6" s="35" t="s">
        <v>28</v>
      </c>
      <c r="D6" s="13" t="s">
        <v>192</v>
      </c>
      <c r="E6" s="25">
        <f>VLOOKUP($D6,Résultats!$B$2:$AX$212,E$2,FALSE)</f>
        <v>42391824</v>
      </c>
      <c r="F6" s="25">
        <f>VLOOKUP($D6,Résultats!$B$2:$AX$212,F$2,FALSE)</f>
        <v>51589588.729999997</v>
      </c>
      <c r="G6" s="101">
        <f>VLOOKUP($D6,Résultats!$B$2:$AX$212,G$2,FALSE)/1000000</f>
        <v>54.658395390000003</v>
      </c>
      <c r="H6" s="25">
        <f>VLOOKUP($D6,Résultats!$B$2:$AX$212,H$2,FALSE)/1000000</f>
        <v>59.753383569999997</v>
      </c>
      <c r="I6" s="102">
        <f>VLOOKUP($D6,Résultats!$B$2:$AX$212,I$2,FALSE)/1000000</f>
        <v>64.165524649999995</v>
      </c>
      <c r="J6" s="101">
        <f>VLOOKUP($D6,Résultats!$B$2:$AX$212,J$2,FALSE)/1000000</f>
        <v>69.257488249999994</v>
      </c>
      <c r="K6" s="25">
        <f>VLOOKUP($D6,Résultats!$B$2:$AX$212,K$2,FALSE)/1000000</f>
        <v>72.512964019999998</v>
      </c>
      <c r="L6" s="25">
        <f>VLOOKUP($D6,Résultats!$B$2:$AX$212,L$2,FALSE)/1000000</f>
        <v>76.574835819999905</v>
      </c>
      <c r="M6" s="25">
        <f>VLOOKUP($D6,Résultats!$B$2:$AX$212,M$2,FALSE)/1000000</f>
        <v>83.387349629999989</v>
      </c>
      <c r="N6" s="102">
        <f>VLOOKUP($D6,Résultats!$B$2:$AX$212,N$2,FALSE)/1000000</f>
        <v>91.753349420000006</v>
      </c>
      <c r="O6" s="101">
        <f>VLOOKUP($D6,Résultats!$B$2:$AX$212,O$2,FALSE)/1000000</f>
        <v>100.1611924</v>
      </c>
      <c r="P6" s="25">
        <f>VLOOKUP($D6,Résultats!$B$2:$AX$212,P$2,FALSE)/1000000</f>
        <v>107.5945148</v>
      </c>
      <c r="Q6" s="25">
        <f>VLOOKUP($D6,Résultats!$B$2:$AX$212,Q$2,FALSE)/1000000</f>
        <v>113.51826240000001</v>
      </c>
      <c r="R6" s="25">
        <f>VLOOKUP($D6,Résultats!$B$2:$AX$212,R$2,FALSE)/1000000</f>
        <v>117.73157520000001</v>
      </c>
      <c r="S6" s="102">
        <f>VLOOKUP($D6,Résultats!$B$2:$AX$212,S$2,FALSE)/1000000</f>
        <v>121.30646350000001</v>
      </c>
      <c r="T6" s="105">
        <f>VLOOKUP($D6,Résultats!$B$2:$AX$212,T$2,FALSE)/1000000</f>
        <v>135.55077299999999</v>
      </c>
      <c r="U6" s="105">
        <f>VLOOKUP($D6,Résultats!$B$2:$AX$212,U$2,FALSE)/1000000</f>
        <v>136.9735317</v>
      </c>
      <c r="V6" s="25">
        <f>VLOOKUP($D6,Résultats!$B$2:$AX$212,V$2,FALSE)/1000000</f>
        <v>134.71927959999999</v>
      </c>
      <c r="W6" s="105">
        <f>VLOOKUP($D6,Résultats!$B$2:$AX$212,W$2,FALSE)/1000000</f>
        <v>128.5504196</v>
      </c>
      <c r="X6" s="3"/>
      <c r="AC6" s="3"/>
      <c r="AD6" s="230"/>
      <c r="AE6" s="35" t="s">
        <v>28</v>
      </c>
      <c r="AF6" s="13" t="s">
        <v>192</v>
      </c>
      <c r="AG6" s="25">
        <v>41721964.366740197</v>
      </c>
      <c r="AH6" s="25">
        <v>181120567.69999999</v>
      </c>
      <c r="AI6" s="101">
        <v>215.590058</v>
      </c>
      <c r="AJ6" s="25">
        <v>228.76262990000001</v>
      </c>
      <c r="AK6" s="102">
        <v>245.54528809999999</v>
      </c>
      <c r="AL6" s="101">
        <v>266.69365629999999</v>
      </c>
      <c r="AM6" s="25">
        <v>288.86536289999998</v>
      </c>
      <c r="AN6" s="25">
        <v>307.95133449999997</v>
      </c>
      <c r="AO6" s="25">
        <v>327.0308915</v>
      </c>
      <c r="AP6" s="102">
        <v>345.91796049999999</v>
      </c>
      <c r="AQ6" s="101">
        <v>364.40862630000004</v>
      </c>
      <c r="AR6" s="25">
        <v>382.0194525</v>
      </c>
      <c r="AS6" s="25">
        <v>398.17266369999999</v>
      </c>
      <c r="AT6" s="25">
        <v>412.14001530000002</v>
      </c>
      <c r="AU6" s="102">
        <v>424.70792360000002</v>
      </c>
      <c r="AV6" s="105">
        <v>482.66274469999996</v>
      </c>
      <c r="AW6" s="105">
        <v>537.15071260000002</v>
      </c>
      <c r="AX6" s="25">
        <v>585.07997970000008</v>
      </c>
      <c r="AY6" s="105">
        <v>625.4614967</v>
      </c>
      <c r="AZ6" s="3"/>
    </row>
    <row r="7" spans="1:56" x14ac:dyDescent="0.25">
      <c r="A7" s="3"/>
      <c r="B7" s="230"/>
      <c r="C7" s="35" t="s">
        <v>29</v>
      </c>
      <c r="D7" s="13" t="s">
        <v>193</v>
      </c>
      <c r="E7" s="25">
        <f>VLOOKUP($D7,Résultats!$B$2:$AX$212,E$2,FALSE)</f>
        <v>300942006</v>
      </c>
      <c r="F7" s="25">
        <f>VLOOKUP($D7,Résultats!$B$2:$AX$212,F$2,FALSE)</f>
        <v>490687426.89999998</v>
      </c>
      <c r="G7" s="101">
        <f>VLOOKUP($D7,Résultats!$B$2:$AX$212,G$2,FALSE)/1000000</f>
        <v>533.77904530000001</v>
      </c>
      <c r="H7" s="25">
        <f>VLOOKUP($D7,Résultats!$B$2:$AX$212,H$2,FALSE)/1000000</f>
        <v>554.00172220000002</v>
      </c>
      <c r="I7" s="102">
        <f>VLOOKUP($D7,Résultats!$B$2:$AX$212,I$2,FALSE)/1000000</f>
        <v>575.6173976</v>
      </c>
      <c r="J7" s="101">
        <f>VLOOKUP($D7,Résultats!$B$2:$AX$212,J$2,FALSE)/1000000</f>
        <v>600.12487120000003</v>
      </c>
      <c r="K7" s="25">
        <f>VLOOKUP($D7,Résultats!$B$2:$AX$212,K$2,FALSE)/1000000</f>
        <v>623.64963539999997</v>
      </c>
      <c r="L7" s="25">
        <f>VLOOKUP($D7,Résultats!$B$2:$AX$212,L$2,FALSE)/1000000</f>
        <v>649.0553463</v>
      </c>
      <c r="M7" s="25">
        <f>VLOOKUP($D7,Résultats!$B$2:$AX$212,M$2,FALSE)/1000000</f>
        <v>675.40980579999996</v>
      </c>
      <c r="N7" s="102">
        <f>VLOOKUP($D7,Résultats!$B$2:$AX$212,N$2,FALSE)/1000000</f>
        <v>700.46349579999992</v>
      </c>
      <c r="O7" s="101">
        <f>VLOOKUP($D7,Résultats!$B$2:$AX$212,O$2,FALSE)/1000000</f>
        <v>724.3782933</v>
      </c>
      <c r="P7" s="25">
        <f>VLOOKUP($D7,Résultats!$B$2:$AX$212,P$2,FALSE)/1000000</f>
        <v>745.80347849999998</v>
      </c>
      <c r="Q7" s="25">
        <f>VLOOKUP($D7,Résultats!$B$2:$AX$212,Q$2,FALSE)/1000000</f>
        <v>764.4492156</v>
      </c>
      <c r="R7" s="25">
        <f>VLOOKUP($D7,Résultats!$B$2:$AX$212,R$2,FALSE)/1000000</f>
        <v>779.75060529999996</v>
      </c>
      <c r="S7" s="102">
        <f>VLOOKUP($D7,Résultats!$B$2:$AX$212,S$2,FALSE)/1000000</f>
        <v>792.60931960000005</v>
      </c>
      <c r="T7" s="105">
        <f>VLOOKUP($D7,Résultats!$B$2:$AX$212,T$2,FALSE)/1000000</f>
        <v>824.90028640000003</v>
      </c>
      <c r="U7" s="105">
        <f>VLOOKUP($D7,Résultats!$B$2:$AX$212,U$2,FALSE)/1000000</f>
        <v>810.34336429999996</v>
      </c>
      <c r="V7" s="25">
        <f>VLOOKUP($D7,Résultats!$B$2:$AX$212,V$2,FALSE)/1000000</f>
        <v>769.92497220000007</v>
      </c>
      <c r="W7" s="105">
        <f>VLOOKUP($D7,Résultats!$B$2:$AX$212,W$2,FALSE)/1000000</f>
        <v>719.75238620000005</v>
      </c>
      <c r="X7" s="3"/>
      <c r="AC7" s="3"/>
      <c r="AD7" s="230"/>
      <c r="AE7" s="35" t="s">
        <v>29</v>
      </c>
      <c r="AF7" s="13" t="s">
        <v>193</v>
      </c>
      <c r="AG7" s="25">
        <v>296186633.79021603</v>
      </c>
      <c r="AH7" s="25">
        <v>569035477.39999998</v>
      </c>
      <c r="AI7" s="101">
        <v>632.75076910000007</v>
      </c>
      <c r="AJ7" s="25">
        <v>645.57478270000001</v>
      </c>
      <c r="AK7" s="102">
        <v>657.42506470000001</v>
      </c>
      <c r="AL7" s="101">
        <v>667.32190209999999</v>
      </c>
      <c r="AM7" s="25">
        <v>679.26979920000008</v>
      </c>
      <c r="AN7" s="25">
        <v>692.50705210000001</v>
      </c>
      <c r="AO7" s="25">
        <v>704.80679639999994</v>
      </c>
      <c r="AP7" s="102">
        <v>715.45919620000006</v>
      </c>
      <c r="AQ7" s="101">
        <v>724.50526070000001</v>
      </c>
      <c r="AR7" s="25">
        <v>732.1551892</v>
      </c>
      <c r="AS7" s="25">
        <v>738.47130540000001</v>
      </c>
      <c r="AT7" s="25">
        <v>743.1869147000001</v>
      </c>
      <c r="AU7" s="102">
        <v>744.57653449999998</v>
      </c>
      <c r="AV7" s="105">
        <v>744.73285629999998</v>
      </c>
      <c r="AW7" s="105">
        <v>744.52864450000004</v>
      </c>
      <c r="AX7" s="25">
        <v>744.18700850000005</v>
      </c>
      <c r="AY7" s="105">
        <v>743.80258720000006</v>
      </c>
      <c r="AZ7" s="3"/>
    </row>
    <row r="8" spans="1:56" x14ac:dyDescent="0.25">
      <c r="A8" s="3"/>
      <c r="B8" s="230"/>
      <c r="C8" s="35" t="s">
        <v>30</v>
      </c>
      <c r="D8" s="13" t="s">
        <v>194</v>
      </c>
      <c r="E8" s="25">
        <f>VLOOKUP($D8,Résultats!$B$2:$AX$212,E$2,FALSE)</f>
        <v>661409532</v>
      </c>
      <c r="F8" s="25">
        <f>VLOOKUP($D8,Résultats!$B$2:$AX$212,F$2,FALSE)</f>
        <v>837870844.29999995</v>
      </c>
      <c r="G8" s="101">
        <f>VLOOKUP($D8,Résultats!$B$2:$AX$212,G$2,FALSE)/1000000</f>
        <v>876.87459369999999</v>
      </c>
      <c r="H8" s="25">
        <f>VLOOKUP($D8,Résultats!$B$2:$AX$212,H$2,FALSE)/1000000</f>
        <v>887.44467870000005</v>
      </c>
      <c r="I8" s="102">
        <f>VLOOKUP($D8,Résultats!$B$2:$AX$212,I$2,FALSE)/1000000</f>
        <v>897.11409420000007</v>
      </c>
      <c r="J8" s="101">
        <f>VLOOKUP($D8,Résultats!$B$2:$AX$212,J$2,FALSE)/1000000</f>
        <v>904.97005760000002</v>
      </c>
      <c r="K8" s="25">
        <f>VLOOKUP($D8,Résultats!$B$2:$AX$212,K$2,FALSE)/1000000</f>
        <v>911.8980626</v>
      </c>
      <c r="L8" s="25">
        <f>VLOOKUP($D8,Résultats!$B$2:$AX$212,L$2,FALSE)/1000000</f>
        <v>918.42999029999999</v>
      </c>
      <c r="M8" s="25">
        <f>VLOOKUP($D8,Résultats!$B$2:$AX$212,M$2,FALSE)/1000000</f>
        <v>921.06621299999995</v>
      </c>
      <c r="N8" s="102">
        <f>VLOOKUP($D8,Résultats!$B$2:$AX$212,N$2,FALSE)/1000000</f>
        <v>918.60470120000002</v>
      </c>
      <c r="O8" s="101">
        <f>VLOOKUP($D8,Résultats!$B$2:$AX$212,O$2,FALSE)/1000000</f>
        <v>911.83908370000006</v>
      </c>
      <c r="P8" s="25">
        <f>VLOOKUP($D8,Résultats!$B$2:$AX$212,P$2,FALSE)/1000000</f>
        <v>901.33330360000002</v>
      </c>
      <c r="Q8" s="25">
        <f>VLOOKUP($D8,Résultats!$B$2:$AX$212,Q$2,FALSE)/1000000</f>
        <v>888.43017050000003</v>
      </c>
      <c r="R8" s="25">
        <f>VLOOKUP($D8,Résultats!$B$2:$AX$212,R$2,FALSE)/1000000</f>
        <v>874.14049639999996</v>
      </c>
      <c r="S8" s="102">
        <f>VLOOKUP($D8,Résultats!$B$2:$AX$212,S$2,FALSE)/1000000</f>
        <v>858.87305200000003</v>
      </c>
      <c r="T8" s="105">
        <f>VLOOKUP($D8,Résultats!$B$2:$AX$212,T$2,FALSE)/1000000</f>
        <v>774.80933220000009</v>
      </c>
      <c r="U8" s="105">
        <f>VLOOKUP($D8,Résultats!$B$2:$AX$212,U$2,FALSE)/1000000</f>
        <v>685.2984032999999</v>
      </c>
      <c r="V8" s="25">
        <f>VLOOKUP($D8,Résultats!$B$2:$AX$212,V$2,FALSE)/1000000</f>
        <v>595.73332849999997</v>
      </c>
      <c r="W8" s="105">
        <f>VLOOKUP($D8,Résultats!$B$2:$AX$212,W$2,FALSE)/1000000</f>
        <v>514.57242099999996</v>
      </c>
      <c r="X8" s="3"/>
      <c r="AC8" s="3"/>
      <c r="AD8" s="230"/>
      <c r="AE8" s="35" t="s">
        <v>30</v>
      </c>
      <c r="AF8" s="13" t="s">
        <v>194</v>
      </c>
      <c r="AG8" s="25">
        <v>650958187.73748195</v>
      </c>
      <c r="AH8" s="25">
        <v>633667547</v>
      </c>
      <c r="AI8" s="101">
        <v>628.52988640000001</v>
      </c>
      <c r="AJ8" s="25">
        <v>627.05710270000009</v>
      </c>
      <c r="AK8" s="102">
        <v>626.0079624</v>
      </c>
      <c r="AL8" s="101">
        <v>625.30736860000002</v>
      </c>
      <c r="AM8" s="25">
        <v>624.74556860000007</v>
      </c>
      <c r="AN8" s="25">
        <v>623.84060450000004</v>
      </c>
      <c r="AO8" s="25">
        <v>622.26125309999998</v>
      </c>
      <c r="AP8" s="102">
        <v>619.89497360000007</v>
      </c>
      <c r="AQ8" s="101">
        <v>616.94481870000004</v>
      </c>
      <c r="AR8" s="25">
        <v>613.84423860000004</v>
      </c>
      <c r="AS8" s="25">
        <v>611.24747579999996</v>
      </c>
      <c r="AT8" s="25">
        <v>609.73983529999998</v>
      </c>
      <c r="AU8" s="102">
        <v>609.83384439999998</v>
      </c>
      <c r="AV8" s="105">
        <v>612.04639099999997</v>
      </c>
      <c r="AW8" s="105">
        <v>613.18375549999996</v>
      </c>
      <c r="AX8" s="25">
        <v>613.83096479999995</v>
      </c>
      <c r="AY8" s="105">
        <v>614.26554610000005</v>
      </c>
      <c r="AZ8" s="3"/>
    </row>
    <row r="9" spans="1:56" x14ac:dyDescent="0.25">
      <c r="A9" s="3"/>
      <c r="B9" s="230"/>
      <c r="C9" s="35" t="s">
        <v>31</v>
      </c>
      <c r="D9" s="13" t="s">
        <v>195</v>
      </c>
      <c r="E9" s="25">
        <f>VLOOKUP($D9,Résultats!$B$2:$AX$212,E$2,FALSE)</f>
        <v>786713699</v>
      </c>
      <c r="F9" s="25">
        <f>VLOOKUP($D9,Résultats!$B$2:$AX$212,F$2,FALSE)</f>
        <v>688091765</v>
      </c>
      <c r="G9" s="101">
        <f>VLOOKUP($D9,Résultats!$B$2:$AX$212,G$2,FALSE)/1000000</f>
        <v>672.61159079999993</v>
      </c>
      <c r="H9" s="25">
        <f>VLOOKUP($D9,Résultats!$B$2:$AX$212,H$2,FALSE)/1000000</f>
        <v>660.3238937000001</v>
      </c>
      <c r="I9" s="102">
        <f>VLOOKUP($D9,Résultats!$B$2:$AX$212,I$2,FALSE)/1000000</f>
        <v>645.94926910000004</v>
      </c>
      <c r="J9" s="101">
        <f>VLOOKUP($D9,Résultats!$B$2:$AX$212,J$2,FALSE)/1000000</f>
        <v>628.96239270000001</v>
      </c>
      <c r="K9" s="25">
        <f>VLOOKUP($D9,Résultats!$B$2:$AX$212,K$2,FALSE)/1000000</f>
        <v>612.0576198</v>
      </c>
      <c r="L9" s="25">
        <f>VLOOKUP($D9,Résultats!$B$2:$AX$212,L$2,FALSE)/1000000</f>
        <v>594.21048489999998</v>
      </c>
      <c r="M9" s="25">
        <f>VLOOKUP($D9,Résultats!$B$2:$AX$212,M$2,FALSE)/1000000</f>
        <v>574.24784350000004</v>
      </c>
      <c r="N9" s="102">
        <f>VLOOKUP($D9,Résultats!$B$2:$AX$212,N$2,FALSE)/1000000</f>
        <v>552.81307409999999</v>
      </c>
      <c r="O9" s="101">
        <f>VLOOKUP($D9,Résultats!$B$2:$AX$212,O$2,FALSE)/1000000</f>
        <v>530.77468429999999</v>
      </c>
      <c r="P9" s="25">
        <f>VLOOKUP($D9,Résultats!$B$2:$AX$212,P$2,FALSE)/1000000</f>
        <v>509.45697810000001</v>
      </c>
      <c r="Q9" s="25">
        <f>VLOOKUP($D9,Résultats!$B$2:$AX$212,Q$2,FALSE)/1000000</f>
        <v>489.45865210000005</v>
      </c>
      <c r="R9" s="25">
        <f>VLOOKUP($D9,Résultats!$B$2:$AX$212,R$2,FALSE)/1000000</f>
        <v>470.93952230000002</v>
      </c>
      <c r="S9" s="102">
        <f>VLOOKUP($D9,Résultats!$B$2:$AX$212,S$2,FALSE)/1000000</f>
        <v>453.02287819999998</v>
      </c>
      <c r="T9" s="105">
        <f>VLOOKUP($D9,Résultats!$B$2:$AX$212,T$2,FALSE)/1000000</f>
        <v>372.87356460000001</v>
      </c>
      <c r="U9" s="105">
        <f>VLOOKUP($D9,Résultats!$B$2:$AX$212,U$2,FALSE)/1000000</f>
        <v>316.2975108</v>
      </c>
      <c r="V9" s="25">
        <f>VLOOKUP($D9,Résultats!$B$2:$AX$212,V$2,FALSE)/1000000</f>
        <v>272.47411589999996</v>
      </c>
      <c r="W9" s="105">
        <f>VLOOKUP($D9,Résultats!$B$2:$AX$212,W$2,FALSE)/1000000</f>
        <v>235.40959769999998</v>
      </c>
      <c r="X9" s="3"/>
      <c r="AC9" s="3"/>
      <c r="AD9" s="230"/>
      <c r="AE9" s="35" t="s">
        <v>31</v>
      </c>
      <c r="AF9" s="13" t="s">
        <v>195</v>
      </c>
      <c r="AG9" s="25">
        <v>774282345.494367</v>
      </c>
      <c r="AH9" s="25">
        <v>688439089.5</v>
      </c>
      <c r="AI9" s="101">
        <v>670.45152770000004</v>
      </c>
      <c r="AJ9" s="25">
        <v>665.95475250000004</v>
      </c>
      <c r="AK9" s="102">
        <v>659.88800020000008</v>
      </c>
      <c r="AL9" s="101">
        <v>652.34777539999993</v>
      </c>
      <c r="AM9" s="25">
        <v>643.27403679999998</v>
      </c>
      <c r="AN9" s="25">
        <v>632.84907470000007</v>
      </c>
      <c r="AO9" s="25">
        <v>622.61724920000006</v>
      </c>
      <c r="AP9" s="102">
        <v>613.00283739999998</v>
      </c>
      <c r="AQ9" s="101">
        <v>604.12207049999995</v>
      </c>
      <c r="AR9" s="25">
        <v>596.24764210000001</v>
      </c>
      <c r="AS9" s="25">
        <v>590.12780510000005</v>
      </c>
      <c r="AT9" s="25">
        <v>586.09317070000009</v>
      </c>
      <c r="AU9" s="102">
        <v>584.34791289999998</v>
      </c>
      <c r="AV9" s="105">
        <v>581.87145939999994</v>
      </c>
      <c r="AW9" s="105">
        <v>578.55799479999996</v>
      </c>
      <c r="AX9" s="25">
        <v>574.87388099999998</v>
      </c>
      <c r="AY9" s="105">
        <v>571.04697310000006</v>
      </c>
      <c r="AZ9" s="3"/>
    </row>
    <row r="10" spans="1:56" x14ac:dyDescent="0.25">
      <c r="A10" s="3"/>
      <c r="B10" s="230"/>
      <c r="C10" s="35" t="s">
        <v>32</v>
      </c>
      <c r="D10" s="13" t="s">
        <v>196</v>
      </c>
      <c r="E10" s="25">
        <f>VLOOKUP($D10,Résultats!$B$2:$AX$212,E$2,FALSE)</f>
        <v>412154138</v>
      </c>
      <c r="F10" s="25">
        <f>VLOOKUP($D10,Résultats!$B$2:$AX$212,F$2,FALSE)</f>
        <v>352311583.80000001</v>
      </c>
      <c r="G10" s="101">
        <f>VLOOKUP($D10,Résultats!$B$2:$AX$212,G$2,FALSE)/1000000</f>
        <v>341.30784839999995</v>
      </c>
      <c r="H10" s="25">
        <f>VLOOKUP($D10,Résultats!$B$2:$AX$212,H$2,FALSE)/1000000</f>
        <v>333.90863960000001</v>
      </c>
      <c r="I10" s="102">
        <f>VLOOKUP($D10,Résultats!$B$2:$AX$212,I$2,FALSE)/1000000</f>
        <v>325.21377219999999</v>
      </c>
      <c r="J10" s="101">
        <f>VLOOKUP($D10,Résultats!$B$2:$AX$212,J$2,FALSE)/1000000</f>
        <v>315.30585539999998</v>
      </c>
      <c r="K10" s="25">
        <f>VLOOKUP($D10,Résultats!$B$2:$AX$212,K$2,FALSE)/1000000</f>
        <v>305.25228860000004</v>
      </c>
      <c r="L10" s="25">
        <f>VLOOKUP($D10,Résultats!$B$2:$AX$212,L$2,FALSE)/1000000</f>
        <v>294.84054510000004</v>
      </c>
      <c r="M10" s="25">
        <f>VLOOKUP($D10,Résultats!$B$2:$AX$212,M$2,FALSE)/1000000</f>
        <v>283.40303319999998</v>
      </c>
      <c r="N10" s="102">
        <f>VLOOKUP($D10,Résultats!$B$2:$AX$212,N$2,FALSE)/1000000</f>
        <v>271.12593289999995</v>
      </c>
      <c r="O10" s="101">
        <f>VLOOKUP($D10,Résultats!$B$2:$AX$212,O$2,FALSE)/1000000</f>
        <v>258.59577580000001</v>
      </c>
      <c r="P10" s="25">
        <f>VLOOKUP($D10,Résultats!$B$2:$AX$212,P$2,FALSE)/1000000</f>
        <v>246.5397571</v>
      </c>
      <c r="Q10" s="25">
        <f>VLOOKUP($D10,Résultats!$B$2:$AX$212,Q$2,FALSE)/1000000</f>
        <v>235.28804880000001</v>
      </c>
      <c r="R10" s="25">
        <f>VLOOKUP($D10,Résultats!$B$2:$AX$212,R$2,FALSE)/1000000</f>
        <v>224.875157</v>
      </c>
      <c r="S10" s="102">
        <f>VLOOKUP($D10,Résultats!$B$2:$AX$212,S$2,FALSE)/1000000</f>
        <v>214.85214540000001</v>
      </c>
      <c r="T10" s="105">
        <f>VLOOKUP($D10,Résultats!$B$2:$AX$212,T$2,FALSE)/1000000</f>
        <v>170.31349469999998</v>
      </c>
      <c r="U10" s="105">
        <f>VLOOKUP($D10,Résultats!$B$2:$AX$212,U$2,FALSE)/1000000</f>
        <v>138.8065053</v>
      </c>
      <c r="V10" s="25">
        <f>VLOOKUP($D10,Résultats!$B$2:$AX$212,V$2,FALSE)/1000000</f>
        <v>114.8611545</v>
      </c>
      <c r="W10" s="105">
        <f>VLOOKUP($D10,Résultats!$B$2:$AX$212,W$2,FALSE)/1000000</f>
        <v>95.111551239999997</v>
      </c>
      <c r="X10" s="3"/>
      <c r="Y10">
        <f>(K10+K11-S10-S11)*10</f>
        <v>1277.4898622000003</v>
      </c>
      <c r="AC10" s="3"/>
      <c r="AD10" s="230"/>
      <c r="AE10" s="35" t="s">
        <v>32</v>
      </c>
      <c r="AF10" s="13" t="s">
        <v>196</v>
      </c>
      <c r="AG10" s="25">
        <v>405641433.57550502</v>
      </c>
      <c r="AH10" s="25">
        <v>358699989.39999998</v>
      </c>
      <c r="AI10" s="101">
        <v>349.78984839999998</v>
      </c>
      <c r="AJ10" s="25">
        <v>347.84470189999996</v>
      </c>
      <c r="AK10" s="102">
        <v>344.37584369999996</v>
      </c>
      <c r="AL10" s="101">
        <v>339.4637755</v>
      </c>
      <c r="AM10" s="25">
        <v>333.12609300000003</v>
      </c>
      <c r="AN10" s="25">
        <v>325.73093399999999</v>
      </c>
      <c r="AO10" s="25">
        <v>318.93370930000003</v>
      </c>
      <c r="AP10" s="102">
        <v>313.19780250000002</v>
      </c>
      <c r="AQ10" s="101">
        <v>308.52180600000003</v>
      </c>
      <c r="AR10" s="25">
        <v>304.94413470000001</v>
      </c>
      <c r="AS10" s="25">
        <v>302.85805119999998</v>
      </c>
      <c r="AT10" s="25">
        <v>302.32541989999999</v>
      </c>
      <c r="AU10" s="102">
        <v>302.79875079999999</v>
      </c>
      <c r="AV10" s="105">
        <v>303.19194399999998</v>
      </c>
      <c r="AW10" s="105">
        <v>301.2874711</v>
      </c>
      <c r="AX10" s="25">
        <v>298.19526869999999</v>
      </c>
      <c r="AY10" s="105">
        <v>294.5149955</v>
      </c>
      <c r="AZ10" s="3"/>
    </row>
    <row r="11" spans="1:56" x14ac:dyDescent="0.25">
      <c r="A11" s="3"/>
      <c r="B11" s="230"/>
      <c r="C11" s="56" t="s">
        <v>33</v>
      </c>
      <c r="D11" s="26" t="s">
        <v>197</v>
      </c>
      <c r="E11" s="17">
        <f>VLOOKUP($D11,Résultats!$B$2:$AX$212,E$2,FALSE)</f>
        <v>188893454</v>
      </c>
      <c r="F11" s="17">
        <f>VLOOKUP($D11,Résultats!$B$2:$AX$212,F$2,FALSE)</f>
        <v>120954179.8</v>
      </c>
      <c r="G11" s="88">
        <f>VLOOKUP($D11,Résultats!$B$2:$AX$212,G$2,FALSE)/1000000</f>
        <v>106.67981829999999</v>
      </c>
      <c r="H11" s="17">
        <f>VLOOKUP($D11,Résultats!$B$2:$AX$212,H$2,FALSE)/1000000</f>
        <v>101.0290005</v>
      </c>
      <c r="I11" s="89">
        <f>VLOOKUP($D11,Résultats!$B$2:$AX$212,I$2,FALSE)/1000000</f>
        <v>95.259774459999903</v>
      </c>
      <c r="J11" s="88">
        <f>VLOOKUP($D11,Résultats!$B$2:$AX$212,J$2,FALSE)/1000000</f>
        <v>89.346742890000002</v>
      </c>
      <c r="K11" s="17">
        <f>VLOOKUP($D11,Résultats!$B$2:$AX$212,K$2,FALSE)/1000000</f>
        <v>83.768396440000004</v>
      </c>
      <c r="L11" s="17">
        <f>VLOOKUP($D11,Résultats!$B$2:$AX$212,L$2,FALSE)/1000000</f>
        <v>78.348080209999907</v>
      </c>
      <c r="M11" s="17">
        <f>VLOOKUP($D11,Résultats!$B$2:$AX$212,M$2,FALSE)/1000000</f>
        <v>72.930730650000001</v>
      </c>
      <c r="N11" s="89">
        <f>VLOOKUP($D11,Résultats!$B$2:$AX$212,N$2,FALSE)/1000000</f>
        <v>67.633860060000004</v>
      </c>
      <c r="O11" s="88">
        <f>VLOOKUP($D11,Résultats!$B$2:$AX$212,O$2,FALSE)/1000000</f>
        <v>62.576433840000007</v>
      </c>
      <c r="P11" s="17">
        <f>VLOOKUP($D11,Résultats!$B$2:$AX$212,P$2,FALSE)/1000000</f>
        <v>57.924934799999996</v>
      </c>
      <c r="Q11" s="17">
        <f>VLOOKUP($D11,Résultats!$B$2:$AX$212,Q$2,FALSE)/1000000</f>
        <v>53.719704110000002</v>
      </c>
      <c r="R11" s="17">
        <f>VLOOKUP($D11,Résultats!$B$2:$AX$212,R$2,FALSE)/1000000</f>
        <v>49.935973609999998</v>
      </c>
      <c r="S11" s="89">
        <f>VLOOKUP($D11,Résultats!$B$2:$AX$212,S$2,FALSE)/1000000</f>
        <v>46.41955342</v>
      </c>
      <c r="T11" s="97">
        <f>VLOOKUP($D11,Résultats!$B$2:$AX$212,T$2,FALSE)/1000000</f>
        <v>32.480946940000003</v>
      </c>
      <c r="U11" s="97">
        <f>VLOOKUP($D11,Résultats!$B$2:$AX$212,U$2,FALSE)/1000000</f>
        <v>24.115110789999999</v>
      </c>
      <c r="V11" s="17">
        <f>VLOOKUP($D11,Résultats!$B$2:$AX$212,V$2,FALSE)/1000000</f>
        <v>18.823241429999999</v>
      </c>
      <c r="W11" s="97">
        <f>VLOOKUP($D11,Résultats!$B$2:$AX$212,W$2,FALSE)/1000000</f>
        <v>15.132310439999999</v>
      </c>
      <c r="X11" s="3"/>
      <c r="AC11" s="3"/>
      <c r="AD11" s="230"/>
      <c r="AE11" s="56" t="s">
        <v>33</v>
      </c>
      <c r="AF11" s="26" t="s">
        <v>197</v>
      </c>
      <c r="AG11" s="17">
        <v>185908630.79867601</v>
      </c>
      <c r="AH11" s="17">
        <v>122848574.7</v>
      </c>
      <c r="AI11" s="88">
        <v>108.23245179999999</v>
      </c>
      <c r="AJ11" s="17">
        <v>104.1687845</v>
      </c>
      <c r="AK11" s="89">
        <v>99.74691254999999</v>
      </c>
      <c r="AL11" s="88">
        <v>95.046236530000002</v>
      </c>
      <c r="AM11" s="17">
        <v>90.107720040000004</v>
      </c>
      <c r="AN11" s="17">
        <v>85.015733400000002</v>
      </c>
      <c r="AO11" s="17">
        <v>80.102011930000003</v>
      </c>
      <c r="AP11" s="89">
        <v>75.443511400000006</v>
      </c>
      <c r="AQ11" s="88">
        <v>71.054838119999999</v>
      </c>
      <c r="AR11" s="17">
        <v>66.977444469999995</v>
      </c>
      <c r="AS11" s="17">
        <v>63.336991279999999</v>
      </c>
      <c r="AT11" s="17">
        <v>60.147778989999999</v>
      </c>
      <c r="AU11" s="89">
        <v>57.366378259999998</v>
      </c>
      <c r="AV11" s="97">
        <v>48.003292939999994</v>
      </c>
      <c r="AW11" s="97">
        <v>43.625386599999999</v>
      </c>
      <c r="AX11" s="17">
        <v>41.698375349999999</v>
      </c>
      <c r="AY11" s="97">
        <v>40.95083563</v>
      </c>
      <c r="AZ11" s="3"/>
    </row>
    <row r="12" spans="1:5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6" x14ac:dyDescent="0.25">
      <c r="A14" s="3"/>
      <c r="B14" s="3"/>
      <c r="C14" s="42"/>
      <c r="D14" s="11"/>
      <c r="E14" s="237">
        <v>2006</v>
      </c>
      <c r="F14" s="24">
        <v>2015</v>
      </c>
      <c r="G14" s="20">
        <v>2018</v>
      </c>
      <c r="H14" s="4">
        <v>2019</v>
      </c>
      <c r="I14" s="190">
        <v>2020</v>
      </c>
      <c r="J14" s="91">
        <v>2021</v>
      </c>
      <c r="K14" s="27">
        <v>2022</v>
      </c>
      <c r="L14" s="4">
        <v>2023</v>
      </c>
      <c r="M14" s="27">
        <v>2024</v>
      </c>
      <c r="N14" s="83">
        <v>2025</v>
      </c>
      <c r="O14" s="91">
        <v>2026</v>
      </c>
      <c r="P14" s="4">
        <v>2027</v>
      </c>
      <c r="Q14" s="27">
        <v>2028</v>
      </c>
      <c r="R14" s="27">
        <v>2029</v>
      </c>
      <c r="S14" s="83">
        <v>2030</v>
      </c>
      <c r="T14" s="4">
        <v>2035</v>
      </c>
      <c r="U14" s="93">
        <v>2040</v>
      </c>
      <c r="V14" s="4">
        <v>2045</v>
      </c>
      <c r="W14" s="93">
        <v>2050</v>
      </c>
      <c r="X14" s="3"/>
      <c r="AC14" s="3"/>
      <c r="AD14" s="3"/>
      <c r="AE14" s="42"/>
      <c r="AF14" s="11"/>
      <c r="AG14" s="237">
        <v>2006</v>
      </c>
      <c r="AH14" s="24">
        <v>2015</v>
      </c>
      <c r="AI14" s="20">
        <v>2018</v>
      </c>
      <c r="AJ14" s="4">
        <v>2019</v>
      </c>
      <c r="AK14" s="190">
        <v>2020</v>
      </c>
      <c r="AL14" s="91">
        <v>2021</v>
      </c>
      <c r="AM14" s="27">
        <v>2022</v>
      </c>
      <c r="AN14" s="4">
        <v>2023</v>
      </c>
      <c r="AO14" s="27">
        <v>2024</v>
      </c>
      <c r="AP14" s="83">
        <v>2025</v>
      </c>
      <c r="AQ14" s="91">
        <v>2026</v>
      </c>
      <c r="AR14" s="4">
        <v>2027</v>
      </c>
      <c r="AS14" s="27">
        <v>2028</v>
      </c>
      <c r="AT14" s="27">
        <v>2029</v>
      </c>
      <c r="AU14" s="83">
        <v>2030</v>
      </c>
      <c r="AV14" s="4">
        <v>2035</v>
      </c>
      <c r="AW14" s="93">
        <v>2040</v>
      </c>
      <c r="AX14" s="4">
        <v>2045</v>
      </c>
      <c r="AY14" s="93">
        <v>2050</v>
      </c>
      <c r="AZ14" s="3"/>
    </row>
    <row r="15" spans="1:56" ht="15.75" thickBot="1" x14ac:dyDescent="0.3">
      <c r="A15" s="3"/>
      <c r="B15" s="229" t="s">
        <v>101</v>
      </c>
      <c r="C15" s="5" t="s">
        <v>44</v>
      </c>
      <c r="D15" s="12" t="s">
        <v>190</v>
      </c>
      <c r="E15" s="18">
        <f>E4/100</f>
        <v>23931657.800000001</v>
      </c>
      <c r="F15" s="18">
        <f>F4/100</f>
        <v>26236690</v>
      </c>
      <c r="G15" s="106">
        <f>G4*1000/100</f>
        <v>27156.825130000001</v>
      </c>
      <c r="H15" s="18">
        <f t="shared" ref="H15:W15" si="1">H4*1000/100</f>
        <v>27454.671249999999</v>
      </c>
      <c r="I15" s="233">
        <f t="shared" si="1"/>
        <v>27751.517399999997</v>
      </c>
      <c r="J15" s="106">
        <f t="shared" si="1"/>
        <v>28042.295709999999</v>
      </c>
      <c r="K15" s="18">
        <f t="shared" si="1"/>
        <v>28330.575769999999</v>
      </c>
      <c r="L15" s="18">
        <f t="shared" si="1"/>
        <v>28637.831890000001</v>
      </c>
      <c r="M15" s="18">
        <f t="shared" si="1"/>
        <v>28932.943920000002</v>
      </c>
      <c r="N15" s="107">
        <f t="shared" si="1"/>
        <v>29206.834960000004</v>
      </c>
      <c r="O15" s="106">
        <f t="shared" si="1"/>
        <v>29460.163050000003</v>
      </c>
      <c r="P15" s="18">
        <f t="shared" si="1"/>
        <v>29691.923109999996</v>
      </c>
      <c r="Q15" s="18">
        <f t="shared" si="1"/>
        <v>29903.332730000002</v>
      </c>
      <c r="R15" s="18">
        <f t="shared" si="1"/>
        <v>30092.612450000001</v>
      </c>
      <c r="S15" s="107">
        <f t="shared" si="1"/>
        <v>30258.887220000001</v>
      </c>
      <c r="T15" s="18">
        <f t="shared" si="1"/>
        <v>30969.837220000001</v>
      </c>
      <c r="U15" s="114">
        <f t="shared" si="1"/>
        <v>31452.756850000002</v>
      </c>
      <c r="V15" s="18">
        <f t="shared" si="1"/>
        <v>31793.241320000001</v>
      </c>
      <c r="W15" s="114">
        <f t="shared" si="1"/>
        <v>32070.357229999998</v>
      </c>
      <c r="X15" s="3"/>
      <c r="Y15" s="33" t="s">
        <v>102</v>
      </c>
      <c r="AC15" s="3"/>
      <c r="AD15" s="229" t="s">
        <v>101</v>
      </c>
      <c r="AE15" s="5" t="s">
        <v>44</v>
      </c>
      <c r="AF15" s="12" t="s">
        <v>190</v>
      </c>
      <c r="AG15" s="18">
        <v>23553498.758831903</v>
      </c>
      <c r="AH15" s="18">
        <v>25969983.98</v>
      </c>
      <c r="AI15" s="106">
        <v>26557.572249999997</v>
      </c>
      <c r="AJ15" s="18">
        <v>26719.482079999998</v>
      </c>
      <c r="AK15" s="233">
        <v>26882.378990000001</v>
      </c>
      <c r="AL15" s="106">
        <v>27046.269019999996</v>
      </c>
      <c r="AM15" s="18">
        <v>27212.510620000001</v>
      </c>
      <c r="AN15" s="18">
        <v>27333.149649999999</v>
      </c>
      <c r="AO15" s="18">
        <v>27452.011419999999</v>
      </c>
      <c r="AP15" s="107">
        <v>27569.50288</v>
      </c>
      <c r="AQ15" s="106">
        <v>27685.617249999999</v>
      </c>
      <c r="AR15" s="18">
        <v>27799.930970000001</v>
      </c>
      <c r="AS15" s="18">
        <v>27915.774529999999</v>
      </c>
      <c r="AT15" s="18">
        <v>28028.555909999999</v>
      </c>
      <c r="AU15" s="107">
        <v>28143.284440000003</v>
      </c>
      <c r="AV15" s="18">
        <v>28696.22798</v>
      </c>
      <c r="AW15" s="114">
        <v>29214.190490000001</v>
      </c>
      <c r="AX15" s="18">
        <v>29661.644070000002</v>
      </c>
      <c r="AY15" s="114">
        <v>30027.028059999997</v>
      </c>
      <c r="AZ15" s="3"/>
      <c r="BA15" s="33" t="s">
        <v>102</v>
      </c>
    </row>
    <row r="16" spans="1:56" x14ac:dyDescent="0.25">
      <c r="A16" s="3"/>
      <c r="B16" s="230"/>
      <c r="C16" s="35" t="s">
        <v>27</v>
      </c>
      <c r="D16" s="13" t="s">
        <v>191</v>
      </c>
      <c r="E16" s="74">
        <f>E5/E$4</f>
        <v>2.7625624832392512E-4</v>
      </c>
      <c r="F16" s="74">
        <f>F5/F$4</f>
        <v>3.1316302319385564E-2</v>
      </c>
      <c r="G16" s="108">
        <f>G5/G$4</f>
        <v>4.778585872199119E-2</v>
      </c>
      <c r="H16" s="74">
        <f t="shared" ref="H16:W16" si="2">H5/H$4</f>
        <v>5.4273389633102964E-2</v>
      </c>
      <c r="I16" s="109">
        <f t="shared" si="2"/>
        <v>6.1918022327672802E-2</v>
      </c>
      <c r="J16" s="108">
        <f t="shared" si="2"/>
        <v>6.9987908739587296E-2</v>
      </c>
      <c r="K16" s="74">
        <f t="shared" si="2"/>
        <v>7.9037790095714669E-2</v>
      </c>
      <c r="L16" s="74">
        <f t="shared" si="2"/>
        <v>8.8108592776574179E-2</v>
      </c>
      <c r="M16" s="74">
        <f t="shared" si="2"/>
        <v>9.7760330501480489E-2</v>
      </c>
      <c r="N16" s="109">
        <f t="shared" si="2"/>
        <v>0.1089776015223527</v>
      </c>
      <c r="O16" s="108">
        <f t="shared" si="2"/>
        <v>0.12141509254138361</v>
      </c>
      <c r="P16" s="74">
        <f t="shared" si="2"/>
        <v>0.13489841769969479</v>
      </c>
      <c r="Q16" s="74">
        <f t="shared" si="2"/>
        <v>0.14896975648907879</v>
      </c>
      <c r="R16" s="74">
        <f t="shared" si="2"/>
        <v>0.16345803021166413</v>
      </c>
      <c r="S16" s="109">
        <f t="shared" si="2"/>
        <v>0.17806514346762548</v>
      </c>
      <c r="T16" s="74">
        <f t="shared" si="2"/>
        <v>0.25381319220895798</v>
      </c>
      <c r="U16" s="115">
        <f t="shared" si="2"/>
        <v>0.32856937276708065</v>
      </c>
      <c r="V16" s="74">
        <f t="shared" si="2"/>
        <v>0.40033289691646951</v>
      </c>
      <c r="W16" s="115">
        <f t="shared" si="2"/>
        <v>0.46744808242973229</v>
      </c>
      <c r="X16" s="3"/>
      <c r="Y16" s="133"/>
      <c r="Z16" s="134">
        <v>2020</v>
      </c>
      <c r="AA16" s="134">
        <v>2030</v>
      </c>
      <c r="AB16" s="135">
        <v>2050</v>
      </c>
      <c r="AC16" s="3"/>
      <c r="AD16" s="230"/>
      <c r="AE16" s="35" t="s">
        <v>27</v>
      </c>
      <c r="AF16" s="13" t="s">
        <v>191</v>
      </c>
      <c r="AG16" s="74">
        <v>2.7625624832392523E-4</v>
      </c>
      <c r="AH16" s="74">
        <v>1.6629641428835412E-2</v>
      </c>
      <c r="AI16" s="108">
        <v>1.898241431311554E-2</v>
      </c>
      <c r="AJ16" s="74">
        <v>1.9680566124955369E-2</v>
      </c>
      <c r="AK16" s="109">
        <v>2.055206032566986E-2</v>
      </c>
      <c r="AL16" s="108">
        <v>2.160970410624127E-2</v>
      </c>
      <c r="AM16" s="74">
        <v>2.2733103267779265E-2</v>
      </c>
      <c r="AN16" s="74">
        <v>2.393439203227719E-2</v>
      </c>
      <c r="AO16" s="74">
        <v>2.529841231575591E-2</v>
      </c>
      <c r="AP16" s="109">
        <v>2.6853587579088043E-2</v>
      </c>
      <c r="AQ16" s="108">
        <v>2.8536226646707685E-2</v>
      </c>
      <c r="AR16" s="74">
        <v>3.0145756689265623E-2</v>
      </c>
      <c r="AS16" s="74">
        <v>3.1295266461661024E-2</v>
      </c>
      <c r="AT16" s="74">
        <v>3.1832698318990882E-2</v>
      </c>
      <c r="AU16" s="109">
        <v>3.2226906380938385E-2</v>
      </c>
      <c r="AV16" s="74">
        <v>3.3842116701778453E-2</v>
      </c>
      <c r="AW16" s="115">
        <v>3.528596270202522E-2</v>
      </c>
      <c r="AX16" s="74">
        <v>3.6511438423446764E-2</v>
      </c>
      <c r="AY16" s="115">
        <v>3.7519654417640692E-2</v>
      </c>
      <c r="AZ16" s="3"/>
      <c r="BA16" s="133"/>
      <c r="BB16" s="134">
        <v>2020</v>
      </c>
      <c r="BC16" s="134">
        <v>2030</v>
      </c>
      <c r="BD16" s="135">
        <v>2050</v>
      </c>
    </row>
    <row r="17" spans="1:56" x14ac:dyDescent="0.25">
      <c r="A17" s="3"/>
      <c r="B17" s="230"/>
      <c r="C17" s="35" t="s">
        <v>28</v>
      </c>
      <c r="D17" s="13" t="s">
        <v>192</v>
      </c>
      <c r="E17" s="68">
        <f t="shared" ref="E17:G22" si="3">E6/E$4</f>
        <v>1.77137013884596E-2</v>
      </c>
      <c r="F17" s="68">
        <f t="shared" si="3"/>
        <v>1.9663146810821028E-2</v>
      </c>
      <c r="G17" s="110">
        <f t="shared" si="3"/>
        <v>2.0126946035977953E-2</v>
      </c>
      <c r="H17" s="68">
        <f t="shared" ref="H17:W17" si="4">H6/H$4</f>
        <v>2.1764377735901681E-2</v>
      </c>
      <c r="I17" s="111">
        <f t="shared" si="4"/>
        <v>2.3121447279852166E-2</v>
      </c>
      <c r="J17" s="110">
        <f t="shared" si="4"/>
        <v>2.4697510134772057E-2</v>
      </c>
      <c r="K17" s="68">
        <f t="shared" si="4"/>
        <v>2.5595301912919786E-2</v>
      </c>
      <c r="L17" s="68">
        <f t="shared" si="4"/>
        <v>2.6739047883977188E-2</v>
      </c>
      <c r="M17" s="68">
        <f t="shared" si="4"/>
        <v>2.8820900445031519E-2</v>
      </c>
      <c r="N17" s="111">
        <f t="shared" si="4"/>
        <v>3.1415026498304285E-2</v>
      </c>
      <c r="O17" s="110">
        <f t="shared" si="4"/>
        <v>3.3998858808081171E-2</v>
      </c>
      <c r="P17" s="68">
        <f t="shared" si="4"/>
        <v>3.6236963972119084E-2</v>
      </c>
      <c r="Q17" s="68">
        <f t="shared" si="4"/>
        <v>3.7961742734486173E-2</v>
      </c>
      <c r="R17" s="68">
        <f t="shared" si="4"/>
        <v>3.91230822500424E-2</v>
      </c>
      <c r="S17" s="111">
        <f t="shared" si="4"/>
        <v>4.0089532248172341E-2</v>
      </c>
      <c r="T17" s="68">
        <f t="shared" si="4"/>
        <v>4.3768642384875926E-2</v>
      </c>
      <c r="U17" s="116">
        <f t="shared" si="4"/>
        <v>4.3548974849242826E-2</v>
      </c>
      <c r="V17" s="68">
        <f t="shared" si="4"/>
        <v>4.2373559287034027E-2</v>
      </c>
      <c r="W17" s="116">
        <f t="shared" si="4"/>
        <v>4.0083875174221129E-2</v>
      </c>
      <c r="X17" s="3"/>
      <c r="Y17" s="136" t="s">
        <v>54</v>
      </c>
      <c r="Z17" s="137">
        <f>I16+I17</f>
        <v>8.5039469607524967E-2</v>
      </c>
      <c r="AA17" s="137">
        <f>S16+S17</f>
        <v>0.21815467571579783</v>
      </c>
      <c r="AB17" s="138">
        <f>W16+W17</f>
        <v>0.50753195760395342</v>
      </c>
      <c r="AC17" s="3"/>
      <c r="AD17" s="230"/>
      <c r="AE17" s="35" t="s">
        <v>28</v>
      </c>
      <c r="AF17" s="13" t="s">
        <v>192</v>
      </c>
      <c r="AG17" s="68">
        <v>1.7713701388459593E-2</v>
      </c>
      <c r="AH17" s="68">
        <v>6.9742271631543756E-2</v>
      </c>
      <c r="AI17" s="110">
        <v>8.1178375783200599E-2</v>
      </c>
      <c r="AJ17" s="68">
        <v>8.5616416222091693E-2</v>
      </c>
      <c r="AK17" s="111">
        <v>9.1340609471855363E-2</v>
      </c>
      <c r="AL17" s="110">
        <v>9.8606449600418852E-2</v>
      </c>
      <c r="AM17" s="68">
        <v>0.10615167668053996</v>
      </c>
      <c r="AN17" s="68">
        <v>0.1126658795064988</v>
      </c>
      <c r="AO17" s="68">
        <v>0.11912820758253932</v>
      </c>
      <c r="AP17" s="111">
        <v>0.12547123609941566</v>
      </c>
      <c r="AQ17" s="110">
        <v>0.13162380416134664</v>
      </c>
      <c r="AR17" s="68">
        <v>0.13741741046488648</v>
      </c>
      <c r="AS17" s="68">
        <v>0.14263357202290744</v>
      </c>
      <c r="AT17" s="68">
        <v>0.14704290032757525</v>
      </c>
      <c r="AU17" s="111">
        <v>0.15090915365811511</v>
      </c>
      <c r="AV17" s="68">
        <v>0.16819727841456883</v>
      </c>
      <c r="AW17" s="116">
        <v>0.18386636890858446</v>
      </c>
      <c r="AX17" s="68">
        <v>0.19725136554104705</v>
      </c>
      <c r="AY17" s="116">
        <v>0.20829950118613239</v>
      </c>
      <c r="AZ17" s="3"/>
      <c r="BA17" s="136" t="s">
        <v>54</v>
      </c>
      <c r="BB17" s="137">
        <v>0.11189266979752523</v>
      </c>
      <c r="BC17" s="137">
        <v>0.1831360600390535</v>
      </c>
      <c r="BD17" s="138">
        <v>0.24581915560377307</v>
      </c>
    </row>
    <row r="18" spans="1:56" x14ac:dyDescent="0.25">
      <c r="A18" s="3"/>
      <c r="B18" s="230"/>
      <c r="C18" s="35" t="s">
        <v>29</v>
      </c>
      <c r="D18" s="13" t="s">
        <v>193</v>
      </c>
      <c r="E18" s="68">
        <f t="shared" si="3"/>
        <v>0.12575058882882739</v>
      </c>
      <c r="F18" s="68">
        <f t="shared" si="3"/>
        <v>0.18702337333710919</v>
      </c>
      <c r="G18" s="110">
        <f t="shared" si="3"/>
        <v>0.19655428892913446</v>
      </c>
      <c r="H18" s="68">
        <f t="shared" ref="H18:W18" si="5">H7/H$4</f>
        <v>0.20178778217932586</v>
      </c>
      <c r="I18" s="111">
        <f t="shared" si="5"/>
        <v>0.20741835096916181</v>
      </c>
      <c r="J18" s="110">
        <f t="shared" si="5"/>
        <v>0.21400704043855903</v>
      </c>
      <c r="K18" s="68">
        <f t="shared" si="5"/>
        <v>0.22013306064199342</v>
      </c>
      <c r="L18" s="68">
        <f t="shared" si="5"/>
        <v>0.22664262741434787</v>
      </c>
      <c r="M18" s="68">
        <f t="shared" si="5"/>
        <v>0.23343971068672364</v>
      </c>
      <c r="N18" s="111">
        <f t="shared" si="5"/>
        <v>0.23982862119750886</v>
      </c>
      <c r="O18" s="110">
        <f t="shared" si="5"/>
        <v>0.24588400684360773</v>
      </c>
      <c r="P18" s="68">
        <f t="shared" si="5"/>
        <v>0.25118059067343451</v>
      </c>
      <c r="Q18" s="68">
        <f t="shared" si="5"/>
        <v>0.25564013968017668</v>
      </c>
      <c r="R18" s="68">
        <f t="shared" si="5"/>
        <v>0.25911695323747136</v>
      </c>
      <c r="S18" s="111">
        <f t="shared" si="5"/>
        <v>0.26194265302529524</v>
      </c>
      <c r="T18" s="68">
        <f t="shared" si="5"/>
        <v>0.26635602910669742</v>
      </c>
      <c r="U18" s="116">
        <f t="shared" si="5"/>
        <v>0.25763826305101772</v>
      </c>
      <c r="V18" s="68">
        <f t="shared" si="5"/>
        <v>0.24216624044421275</v>
      </c>
      <c r="W18" s="116">
        <f t="shared" si="5"/>
        <v>0.22442917646290281</v>
      </c>
      <c r="X18" s="3"/>
      <c r="Y18" s="136" t="s">
        <v>55</v>
      </c>
      <c r="Z18" s="137">
        <f>I18+I19+I20</f>
        <v>0.76344681638921852</v>
      </c>
      <c r="AA18" s="137">
        <f>S18+S19+S20</f>
        <v>0.69549988223261572</v>
      </c>
      <c r="AB18" s="138">
        <f>W18+W19+W20</f>
        <v>0.45828438840249242</v>
      </c>
      <c r="AC18" s="3"/>
      <c r="AD18" s="230"/>
      <c r="AE18" s="35" t="s">
        <v>29</v>
      </c>
      <c r="AF18" s="13" t="s">
        <v>193</v>
      </c>
      <c r="AG18" s="68">
        <v>0.12575058882882711</v>
      </c>
      <c r="AH18" s="68">
        <v>0.21911275641841962</v>
      </c>
      <c r="AI18" s="110">
        <v>0.23825625442852749</v>
      </c>
      <c r="AJ18" s="68">
        <v>0.24161201207684488</v>
      </c>
      <c r="AK18" s="111">
        <v>0.24455613282758795</v>
      </c>
      <c r="AL18" s="110">
        <v>0.24673344098091057</v>
      </c>
      <c r="AM18" s="68">
        <v>0.24961673279082403</v>
      </c>
      <c r="AN18" s="68">
        <v>0.25335794116943272</v>
      </c>
      <c r="AO18" s="68">
        <v>0.2567414043426039</v>
      </c>
      <c r="AP18" s="111">
        <v>0.25951109793823024</v>
      </c>
      <c r="AQ18" s="110">
        <v>0.26169012384941498</v>
      </c>
      <c r="AR18" s="68">
        <v>0.26336582993321006</v>
      </c>
      <c r="AS18" s="68">
        <v>0.264535488566292</v>
      </c>
      <c r="AT18" s="68">
        <v>0.2651534802885962</v>
      </c>
      <c r="AU18" s="111">
        <v>0.26456632525865909</v>
      </c>
      <c r="AV18" s="68">
        <v>0.25952290901056607</v>
      </c>
      <c r="AW18" s="116">
        <v>0.25485171144990371</v>
      </c>
      <c r="AX18" s="68">
        <v>0.25089202970130575</v>
      </c>
      <c r="AY18" s="116">
        <v>0.24771102411924817</v>
      </c>
      <c r="AZ18" s="3"/>
      <c r="BA18" s="136" t="s">
        <v>55</v>
      </c>
      <c r="BB18" s="137">
        <v>0.72289771229804389</v>
      </c>
      <c r="BC18" s="137">
        <v>0.68888842591678678</v>
      </c>
      <c r="BD18" s="138">
        <v>0.64245955428730506</v>
      </c>
    </row>
    <row r="19" spans="1:56" ht="15.75" thickBot="1" x14ac:dyDescent="0.3">
      <c r="A19" s="3"/>
      <c r="B19" s="230"/>
      <c r="C19" s="35" t="s">
        <v>30</v>
      </c>
      <c r="D19" s="13" t="s">
        <v>194</v>
      </c>
      <c r="E19" s="68">
        <f t="shared" si="3"/>
        <v>0.27637430617113368</v>
      </c>
      <c r="F19" s="68">
        <f t="shared" si="3"/>
        <v>0.31935081913915209</v>
      </c>
      <c r="G19" s="110">
        <f t="shared" si="3"/>
        <v>0.32289289690617085</v>
      </c>
      <c r="H19" s="68">
        <f t="shared" ref="H19:W19" si="6">H8/H$4</f>
        <v>0.32323995819108559</v>
      </c>
      <c r="I19" s="111">
        <f t="shared" si="6"/>
        <v>0.32326668169863754</v>
      </c>
      <c r="J19" s="110">
        <f t="shared" si="6"/>
        <v>0.32271610960770375</v>
      </c>
      <c r="K19" s="68">
        <f t="shared" si="6"/>
        <v>0.32187770202878585</v>
      </c>
      <c r="L19" s="68">
        <f t="shared" si="6"/>
        <v>0.32070514060832417</v>
      </c>
      <c r="M19" s="68">
        <f t="shared" si="6"/>
        <v>0.31834514163050992</v>
      </c>
      <c r="N19" s="111">
        <f t="shared" si="6"/>
        <v>0.3145170308450293</v>
      </c>
      <c r="O19" s="110">
        <f t="shared" si="6"/>
        <v>0.30951596640942558</v>
      </c>
      <c r="P19" s="68">
        <f t="shared" si="6"/>
        <v>0.30356178017194119</v>
      </c>
      <c r="Q19" s="68">
        <f t="shared" si="6"/>
        <v>0.29710072068612531</v>
      </c>
      <c r="R19" s="68">
        <f t="shared" si="6"/>
        <v>0.29048341942807959</v>
      </c>
      <c r="S19" s="111">
        <f t="shared" si="6"/>
        <v>0.28384158536812182</v>
      </c>
      <c r="T19" s="68">
        <f t="shared" si="6"/>
        <v>0.25018191949024399</v>
      </c>
      <c r="U19" s="116">
        <f t="shared" si="6"/>
        <v>0.21788182402204909</v>
      </c>
      <c r="V19" s="68">
        <f t="shared" si="6"/>
        <v>0.18737734932526218</v>
      </c>
      <c r="W19" s="116">
        <f t="shared" si="6"/>
        <v>0.16045110358753556</v>
      </c>
      <c r="X19" s="3"/>
      <c r="Y19" s="139" t="s">
        <v>60</v>
      </c>
      <c r="Z19" s="140">
        <f>I21+I22</f>
        <v>0.15151371386272375</v>
      </c>
      <c r="AA19" s="140">
        <f>S21+S22</f>
        <v>8.6345441892955385E-2</v>
      </c>
      <c r="AB19" s="272">
        <f>W21+W22</f>
        <v>3.4375626342220196E-2</v>
      </c>
      <c r="AC19" s="3"/>
      <c r="AD19" s="230"/>
      <c r="AE19" s="35" t="s">
        <v>30</v>
      </c>
      <c r="AF19" s="13" t="s">
        <v>194</v>
      </c>
      <c r="AG19" s="68">
        <v>0.27637430617113345</v>
      </c>
      <c r="AH19" s="68">
        <v>0.24399997608315813</v>
      </c>
      <c r="AI19" s="110">
        <v>0.2366669213900002</v>
      </c>
      <c r="AJ19" s="68">
        <v>0.23468160828213183</v>
      </c>
      <c r="AK19" s="111">
        <v>0.23286925708207196</v>
      </c>
      <c r="AL19" s="110">
        <v>0.23119912330148079</v>
      </c>
      <c r="AM19" s="68">
        <v>0.22958027552990262</v>
      </c>
      <c r="AN19" s="68">
        <v>0.22823590127309021</v>
      </c>
      <c r="AO19" s="68">
        <v>0.22667237149939959</v>
      </c>
      <c r="AP19" s="111">
        <v>0.22484807807314372</v>
      </c>
      <c r="AQ19" s="110">
        <v>0.22283946683543782</v>
      </c>
      <c r="AR19" s="68">
        <v>0.22080782835843135</v>
      </c>
      <c r="AS19" s="68">
        <v>0.21896131706577443</v>
      </c>
      <c r="AT19" s="68">
        <v>0.21754236545681527</v>
      </c>
      <c r="AU19" s="111">
        <v>0.21668893895456073</v>
      </c>
      <c r="AV19" s="68">
        <v>0.21328461407073057</v>
      </c>
      <c r="AW19" s="116">
        <v>0.20989243419559833</v>
      </c>
      <c r="AX19" s="68">
        <v>0.2069443498652298</v>
      </c>
      <c r="AY19" s="116">
        <v>0.20457087690216122</v>
      </c>
      <c r="AZ19" s="3"/>
      <c r="BA19" s="139" t="s">
        <v>60</v>
      </c>
      <c r="BB19" s="140">
        <v>0.16520961794906971</v>
      </c>
      <c r="BC19" s="140">
        <v>0.12797551395532852</v>
      </c>
      <c r="BD19" s="272">
        <v>0.11172129005230631</v>
      </c>
    </row>
    <row r="20" spans="1:56" x14ac:dyDescent="0.25">
      <c r="A20" s="3"/>
      <c r="B20" s="230"/>
      <c r="C20" s="35" t="s">
        <v>31</v>
      </c>
      <c r="D20" s="13" t="s">
        <v>195</v>
      </c>
      <c r="E20" s="68">
        <f t="shared" si="3"/>
        <v>0.32873347328240671</v>
      </c>
      <c r="F20" s="68">
        <f t="shared" si="3"/>
        <v>0.26226317610948635</v>
      </c>
      <c r="G20" s="110">
        <f t="shared" si="3"/>
        <v>0.24767681331680022</v>
      </c>
      <c r="H20" s="68">
        <f t="shared" ref="H20:W20" si="7">H9/H$4</f>
        <v>0.24051422349484519</v>
      </c>
      <c r="I20" s="111">
        <f t="shared" si="7"/>
        <v>0.23276178372141917</v>
      </c>
      <c r="J20" s="110">
        <f t="shared" si="7"/>
        <v>0.22429062128308896</v>
      </c>
      <c r="K20" s="68">
        <f t="shared" si="7"/>
        <v>0.21604136279084171</v>
      </c>
      <c r="L20" s="68">
        <f t="shared" si="7"/>
        <v>0.20749143551872423</v>
      </c>
      <c r="M20" s="68">
        <f t="shared" si="7"/>
        <v>0.198475428248091</v>
      </c>
      <c r="N20" s="111">
        <f t="shared" si="7"/>
        <v>0.18927524151696032</v>
      </c>
      <c r="O20" s="110">
        <f t="shared" si="7"/>
        <v>0.18016692012164542</v>
      </c>
      <c r="P20" s="68">
        <f t="shared" si="7"/>
        <v>0.17158099736841198</v>
      </c>
      <c r="Q20" s="68">
        <f t="shared" si="7"/>
        <v>0.16368030163037953</v>
      </c>
      <c r="R20" s="68">
        <f t="shared" si="7"/>
        <v>0.1564967226034242</v>
      </c>
      <c r="S20" s="111">
        <f t="shared" si="7"/>
        <v>0.14971564383919864</v>
      </c>
      <c r="T20" s="68">
        <f t="shared" si="7"/>
        <v>0.12039894234871927</v>
      </c>
      <c r="U20" s="116">
        <f t="shared" si="7"/>
        <v>0.10056273041769946</v>
      </c>
      <c r="V20" s="68">
        <f t="shared" si="7"/>
        <v>8.5701899078970648E-2</v>
      </c>
      <c r="W20" s="116">
        <f t="shared" si="7"/>
        <v>7.3404108352054048E-2</v>
      </c>
      <c r="X20" s="3"/>
      <c r="Y20" s="173" t="s">
        <v>92</v>
      </c>
      <c r="Z20" s="174">
        <f>SUM(Z17:Z19)</f>
        <v>0.99999999985946719</v>
      </c>
      <c r="AA20" s="174">
        <f t="shared" ref="AA20:AB20" si="8">SUM(AA17:AA19)</f>
        <v>0.99999999984136889</v>
      </c>
      <c r="AB20" s="174">
        <f t="shared" si="8"/>
        <v>1.0001919723486661</v>
      </c>
      <c r="AC20" s="3"/>
      <c r="AD20" s="230"/>
      <c r="AE20" s="35" t="s">
        <v>31</v>
      </c>
      <c r="AF20" s="13" t="s">
        <v>195</v>
      </c>
      <c r="AG20" s="68">
        <v>0.32873347328240687</v>
      </c>
      <c r="AH20" s="68">
        <v>0.26509030195404842</v>
      </c>
      <c r="AI20" s="110">
        <v>0.25245211474478813</v>
      </c>
      <c r="AJ20" s="68">
        <v>0.24923939412675924</v>
      </c>
      <c r="AK20" s="111">
        <v>0.24547232238838398</v>
      </c>
      <c r="AL20" s="110">
        <v>0.24119695582322501</v>
      </c>
      <c r="AM20" s="68">
        <v>0.23638908066322328</v>
      </c>
      <c r="AN20" s="68">
        <v>0.23153170520178237</v>
      </c>
      <c r="AO20" s="68">
        <v>0.22680205092235828</v>
      </c>
      <c r="AP20" s="111">
        <v>0.22234816495175047</v>
      </c>
      <c r="AQ20" s="110">
        <v>0.21820791100476547</v>
      </c>
      <c r="AR20" s="68">
        <v>0.21447810166990497</v>
      </c>
      <c r="AS20" s="68">
        <v>0.21139582011805283</v>
      </c>
      <c r="AT20" s="68">
        <v>0.20910573223320947</v>
      </c>
      <c r="AU20" s="111">
        <v>0.20763316170356694</v>
      </c>
      <c r="AV20" s="68">
        <v>0.20276931860366407</v>
      </c>
      <c r="AW20" s="116">
        <v>0.19804005693672738</v>
      </c>
      <c r="AX20" s="68">
        <v>0.19381052501450233</v>
      </c>
      <c r="AY20" s="116">
        <v>0.1901776532658957</v>
      </c>
      <c r="AZ20" s="3"/>
      <c r="BA20" s="173" t="s">
        <v>92</v>
      </c>
      <c r="BB20" s="174">
        <v>1.0000000000446387</v>
      </c>
      <c r="BC20" s="174">
        <v>0.99999999991116884</v>
      </c>
      <c r="BD20" s="174">
        <v>0.99999999994338451</v>
      </c>
    </row>
    <row r="21" spans="1:56" x14ac:dyDescent="0.25">
      <c r="A21" s="3"/>
      <c r="B21" s="230"/>
      <c r="C21" s="35" t="s">
        <v>32</v>
      </c>
      <c r="D21" s="13" t="s">
        <v>196</v>
      </c>
      <c r="E21" s="68">
        <f t="shared" si="3"/>
        <v>0.1722213067913749</v>
      </c>
      <c r="F21" s="68">
        <f t="shared" si="3"/>
        <v>0.13428202406629799</v>
      </c>
      <c r="G21" s="110">
        <f t="shared" si="3"/>
        <v>0.12568032042263991</v>
      </c>
      <c r="H21" s="68">
        <f t="shared" ref="H21:W21" si="9">H10/H$4</f>
        <v>0.12162179490675927</v>
      </c>
      <c r="I21" s="111">
        <f t="shared" si="9"/>
        <v>0.1171877441916023</v>
      </c>
      <c r="J21" s="110">
        <f t="shared" si="9"/>
        <v>0.11243938750976105</v>
      </c>
      <c r="K21" s="68">
        <f t="shared" si="9"/>
        <v>0.10774658837793187</v>
      </c>
      <c r="L21" s="68">
        <f t="shared" si="9"/>
        <v>0.10295491161220027</v>
      </c>
      <c r="M21" s="68">
        <f t="shared" si="9"/>
        <v>9.7951675427019602E-2</v>
      </c>
      <c r="N21" s="111">
        <f t="shared" si="9"/>
        <v>9.2829617886127827E-2</v>
      </c>
      <c r="O21" s="110">
        <f t="shared" si="9"/>
        <v>8.7778121037928203E-2</v>
      </c>
      <c r="P21" s="68">
        <f t="shared" si="9"/>
        <v>8.3032599871231447E-2</v>
      </c>
      <c r="Q21" s="68">
        <f t="shared" si="9"/>
        <v>7.8682884922706739E-2</v>
      </c>
      <c r="R21" s="68">
        <f t="shared" si="9"/>
        <v>7.4727695168918445E-2</v>
      </c>
      <c r="S21" s="111">
        <f t="shared" si="9"/>
        <v>7.1004641987624295E-2</v>
      </c>
      <c r="T21" s="68">
        <f t="shared" si="9"/>
        <v>5.4993345134540551E-2</v>
      </c>
      <c r="U21" s="116">
        <f t="shared" si="9"/>
        <v>4.4131745259080521E-2</v>
      </c>
      <c r="V21" s="68">
        <f t="shared" si="9"/>
        <v>3.6127538348140968E-2</v>
      </c>
      <c r="W21" s="116">
        <f t="shared" si="9"/>
        <v>2.9657153663080665E-2</v>
      </c>
      <c r="X21" s="3"/>
      <c r="AC21" s="3"/>
      <c r="AD21" s="230"/>
      <c r="AE21" s="35" t="s">
        <v>32</v>
      </c>
      <c r="AF21" s="13" t="s">
        <v>196</v>
      </c>
      <c r="AG21" s="68">
        <v>0.17222130679137462</v>
      </c>
      <c r="AH21" s="68">
        <v>0.13812098986131141</v>
      </c>
      <c r="AI21" s="110">
        <v>0.13171002420976188</v>
      </c>
      <c r="AJ21" s="68">
        <v>0.13018392379707383</v>
      </c>
      <c r="AK21" s="111">
        <v>0.12810467549323093</v>
      </c>
      <c r="AL21" s="110">
        <v>0.12551223802772041</v>
      </c>
      <c r="AM21" s="68">
        <v>0.12241652291911904</v>
      </c>
      <c r="AN21" s="68">
        <v>0.11917065474377191</v>
      </c>
      <c r="AO21" s="68">
        <v>0.11617863056389478</v>
      </c>
      <c r="AP21" s="111">
        <v>0.11360299235834463</v>
      </c>
      <c r="AQ21" s="110">
        <v>0.11143757540749792</v>
      </c>
      <c r="AR21" s="68">
        <v>0.10969240716067864</v>
      </c>
      <c r="AS21" s="68">
        <v>0.10848993312885881</v>
      </c>
      <c r="AT21" s="68">
        <v>0.10786335937918821</v>
      </c>
      <c r="AU21" s="111">
        <v>0.107591831168658</v>
      </c>
      <c r="AV21" s="68">
        <v>0.1056556785830219</v>
      </c>
      <c r="AW21" s="116">
        <v>0.10313052186167217</v>
      </c>
      <c r="AX21" s="68">
        <v>0.10053227932891177</v>
      </c>
      <c r="AY21" s="116">
        <v>9.8083298457476459E-2</v>
      </c>
      <c r="AZ21" s="3"/>
    </row>
    <row r="22" spans="1:56" x14ac:dyDescent="0.25">
      <c r="A22" s="3"/>
      <c r="B22" s="230"/>
      <c r="C22" s="56" t="s">
        <v>33</v>
      </c>
      <c r="D22" s="26" t="s">
        <v>197</v>
      </c>
      <c r="E22" s="70">
        <f t="shared" si="3"/>
        <v>7.893036728947378E-2</v>
      </c>
      <c r="F22" s="70">
        <f t="shared" si="3"/>
        <v>4.6101158263485216E-2</v>
      </c>
      <c r="G22" s="112">
        <f t="shared" si="3"/>
        <v>3.9282875589956703E-2</v>
      </c>
      <c r="H22" s="70">
        <f t="shared" ref="H22:W22" si="10">H11/H$4</f>
        <v>3.6798473957323379E-2</v>
      </c>
      <c r="I22" s="113">
        <f t="shared" si="10"/>
        <v>3.4325969671121448E-2</v>
      </c>
      <c r="J22" s="112">
        <f t="shared" si="10"/>
        <v>3.1861422407773336E-2</v>
      </c>
      <c r="K22" s="70">
        <f t="shared" si="10"/>
        <v>2.9568194137693658E-2</v>
      </c>
      <c r="L22" s="70">
        <f t="shared" si="10"/>
        <v>2.7358244336003014E-2</v>
      </c>
      <c r="M22" s="70">
        <f t="shared" si="10"/>
        <v>2.5206812985106013E-2</v>
      </c>
      <c r="N22" s="113">
        <f t="shared" si="10"/>
        <v>2.3156860424153266E-2</v>
      </c>
      <c r="O22" s="112">
        <f t="shared" si="10"/>
        <v>2.1241034455170813E-2</v>
      </c>
      <c r="P22" s="70">
        <f t="shared" si="10"/>
        <v>1.9508650411563053E-2</v>
      </c>
      <c r="Q22" s="70">
        <f t="shared" si="10"/>
        <v>1.796445386039083E-2</v>
      </c>
      <c r="R22" s="70">
        <f t="shared" si="10"/>
        <v>1.6594097203415117E-2</v>
      </c>
      <c r="S22" s="113">
        <f t="shared" si="10"/>
        <v>1.5340799905331085E-2</v>
      </c>
      <c r="T22" s="70">
        <f t="shared" si="10"/>
        <v>1.0487929500328192E-2</v>
      </c>
      <c r="U22" s="117">
        <f t="shared" si="10"/>
        <v>7.6670896942377239E-3</v>
      </c>
      <c r="V22" s="70">
        <f t="shared" si="10"/>
        <v>5.9205166407990508E-3</v>
      </c>
      <c r="W22" s="117">
        <f t="shared" si="10"/>
        <v>4.7184726791395333E-3</v>
      </c>
      <c r="X22" s="3"/>
      <c r="AC22" s="3"/>
      <c r="AD22" s="230"/>
      <c r="AE22" s="56" t="s">
        <v>33</v>
      </c>
      <c r="AF22" s="26" t="s">
        <v>197</v>
      </c>
      <c r="AG22" s="70">
        <v>7.8930367289473502E-2</v>
      </c>
      <c r="AH22" s="70">
        <v>4.7304062564924233E-2</v>
      </c>
      <c r="AI22" s="112">
        <v>4.0753895266160862E-2</v>
      </c>
      <c r="AJ22" s="70">
        <v>3.8986079216697153E-2</v>
      </c>
      <c r="AK22" s="113">
        <v>3.7104942455838792E-2</v>
      </c>
      <c r="AL22" s="112">
        <v>3.5142087975134698E-2</v>
      </c>
      <c r="AM22" s="70">
        <v>3.311260813023801E-2</v>
      </c>
      <c r="AN22" s="70">
        <v>3.1103526117049595E-2</v>
      </c>
      <c r="AO22" s="70">
        <v>2.9178922704236585E-2</v>
      </c>
      <c r="AP22" s="113">
        <v>2.7364842858566628E-2</v>
      </c>
      <c r="AQ22" s="112">
        <v>2.5664892163457183E-2</v>
      </c>
      <c r="AR22" s="70">
        <v>2.4092665748802755E-2</v>
      </c>
      <c r="AS22" s="70">
        <v>2.2688602536151806E-2</v>
      </c>
      <c r="AT22" s="70">
        <v>2.1459464120497387E-2</v>
      </c>
      <c r="AU22" s="113">
        <v>2.0383682786670507E-2</v>
      </c>
      <c r="AV22" s="70">
        <v>1.6728084601730989E-2</v>
      </c>
      <c r="AW22" s="117">
        <v>1.4932943842798909E-2</v>
      </c>
      <c r="AX22" s="70">
        <v>1.4058012176126823E-2</v>
      </c>
      <c r="AY22" s="117">
        <v>1.3637991594829849E-2</v>
      </c>
      <c r="AZ22" s="3"/>
    </row>
    <row r="23" spans="1:5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295">
        <v>2023</v>
      </c>
      <c r="M24" s="295">
        <v>2024</v>
      </c>
      <c r="N24" s="295">
        <v>2025</v>
      </c>
      <c r="O24" s="295">
        <v>2026</v>
      </c>
      <c r="P24" s="295">
        <v>2027</v>
      </c>
      <c r="Q24" s="295">
        <v>2028</v>
      </c>
      <c r="R24" s="295">
        <v>2029</v>
      </c>
      <c r="S24" s="296">
        <v>2030</v>
      </c>
      <c r="T24" s="295">
        <v>2035</v>
      </c>
      <c r="U24" s="295">
        <v>2040</v>
      </c>
      <c r="V24" s="295">
        <v>2045</v>
      </c>
      <c r="W24" s="295">
        <v>2050</v>
      </c>
      <c r="X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295">
        <v>27409.152760000001</v>
      </c>
      <c r="M25" s="295">
        <v>27534.384159999998</v>
      </c>
      <c r="N25" s="295">
        <v>27700.864130000002</v>
      </c>
      <c r="O25" s="295">
        <v>27827.24728</v>
      </c>
      <c r="P25" s="295">
        <v>27954.14676</v>
      </c>
      <c r="Q25" s="295">
        <v>28081.564560000003</v>
      </c>
      <c r="R25" s="295">
        <v>28209.502670000002</v>
      </c>
      <c r="S25" s="297">
        <v>28379.33238</v>
      </c>
      <c r="T25" s="295">
        <v>28988.170300000002</v>
      </c>
      <c r="U25" s="295">
        <v>29523.746120000003</v>
      </c>
      <c r="V25" s="295">
        <v>30025.638859999999</v>
      </c>
      <c r="W25" s="295">
        <v>30354.287279999997</v>
      </c>
      <c r="X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6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295">
        <v>4.1624116914148641E-2</v>
      </c>
      <c r="M26" s="295">
        <v>5.2596252256255291E-2</v>
      </c>
      <c r="N26" s="295">
        <v>6.5747814416647232E-2</v>
      </c>
      <c r="O26" s="295">
        <v>7.9997070734335318E-2</v>
      </c>
      <c r="P26" s="295">
        <v>9.530484041860271E-2</v>
      </c>
      <c r="Q26" s="295">
        <v>0.11128804035554064</v>
      </c>
      <c r="R26" s="295">
        <v>0.1277171678688088</v>
      </c>
      <c r="S26" s="295">
        <v>0.144310124817672</v>
      </c>
      <c r="T26" s="295">
        <v>0.23039888057370769</v>
      </c>
      <c r="U26" s="295">
        <v>0.31790028036591178</v>
      </c>
      <c r="V26" s="295">
        <v>0.40549770104042343</v>
      </c>
      <c r="W26" s="295">
        <v>0.47588868639053089</v>
      </c>
      <c r="X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6" x14ac:dyDescent="0.25">
      <c r="L27" s="298">
        <v>7.5898692499388284E-2</v>
      </c>
      <c r="M27" s="298">
        <v>8.7239713154347157E-2</v>
      </c>
      <c r="N27" s="298">
        <v>0.10006509916050045</v>
      </c>
      <c r="O27" s="298">
        <v>0.11371798001286168</v>
      </c>
      <c r="P27" s="298">
        <v>0.1274660875036488</v>
      </c>
      <c r="Q27" s="298">
        <v>0.14072834010214422</v>
      </c>
      <c r="R27" s="298">
        <v>0.15318021985532579</v>
      </c>
      <c r="S27" s="298">
        <v>0.16456568482531725</v>
      </c>
      <c r="T27" s="298">
        <v>0.20721591048469865</v>
      </c>
      <c r="U27" s="298">
        <v>0.22820456318840612</v>
      </c>
      <c r="V27" s="298">
        <v>0.23319455071871201</v>
      </c>
      <c r="W27" s="298">
        <v>0.22857891325195365</v>
      </c>
    </row>
    <row r="28" spans="1:56" x14ac:dyDescent="0.25">
      <c r="L28" s="298">
        <v>0.26241690854073663</v>
      </c>
      <c r="M28" s="298">
        <v>0.27026887864122834</v>
      </c>
      <c r="N28" s="298">
        <v>0.27839092335925619</v>
      </c>
      <c r="O28" s="298">
        <v>0.28610080486552525</v>
      </c>
      <c r="P28" s="298">
        <v>0.29266041443648771</v>
      </c>
      <c r="Q28" s="298">
        <v>0.29772521175365735</v>
      </c>
      <c r="R28" s="298">
        <v>0.30120146258501901</v>
      </c>
      <c r="S28" s="298">
        <v>0.30323983675052191</v>
      </c>
      <c r="T28" s="298">
        <v>0.29498535614715909</v>
      </c>
      <c r="U28" s="298">
        <v>0.26827909015361767</v>
      </c>
      <c r="V28" s="298">
        <v>0.23329132171544412</v>
      </c>
      <c r="W28" s="298">
        <v>0.20267551921910915</v>
      </c>
    </row>
    <row r="29" spans="1:56" x14ac:dyDescent="0.25">
      <c r="L29" s="298">
        <v>0.31103555008243167</v>
      </c>
      <c r="M29" s="298">
        <v>0.30726089883972912</v>
      </c>
      <c r="N29" s="298">
        <v>0.30173638121086294</v>
      </c>
      <c r="O29" s="298">
        <v>0.2935316151759873</v>
      </c>
      <c r="P29" s="298">
        <v>0.28335135949611795</v>
      </c>
      <c r="Q29" s="298">
        <v>0.27192376089603459</v>
      </c>
      <c r="R29" s="298">
        <v>0.25983147135716589</v>
      </c>
      <c r="S29" s="298">
        <v>0.24783389389937438</v>
      </c>
      <c r="T29" s="298">
        <v>0.18863571541112406</v>
      </c>
      <c r="U29" s="298">
        <v>0.13973920214024654</v>
      </c>
      <c r="V29" s="298">
        <v>0.10072426615471522</v>
      </c>
      <c r="W29" s="298">
        <v>7.4843140444838016E-2</v>
      </c>
    </row>
    <row r="30" spans="1:56" x14ac:dyDescent="0.25">
      <c r="L30" s="298">
        <v>0.19282409942685141</v>
      </c>
      <c r="M30" s="298">
        <v>0.18053517021170232</v>
      </c>
      <c r="N30" s="298">
        <v>0.16652767539494082</v>
      </c>
      <c r="O30" s="298">
        <v>0.15239289579490162</v>
      </c>
      <c r="P30" s="298">
        <v>0.13860999544240785</v>
      </c>
      <c r="Q30" s="298">
        <v>0.1257152202989647</v>
      </c>
      <c r="R30" s="298">
        <v>0.11391359910139104</v>
      </c>
      <c r="S30" s="298">
        <v>0.103079395238402</v>
      </c>
      <c r="T30" s="298">
        <v>6.3467552762376311E-2</v>
      </c>
      <c r="U30" s="298">
        <v>3.9545033860357556E-2</v>
      </c>
      <c r="V30" s="298">
        <v>2.4676156279460425E-2</v>
      </c>
      <c r="W30" s="298">
        <v>1.6744166140737666E-2</v>
      </c>
    </row>
    <row r="31" spans="1:56" x14ac:dyDescent="0.25">
      <c r="L31" s="298">
        <v>9.2131982375072877E-2</v>
      </c>
      <c r="M31" s="298">
        <v>8.1418386152131025E-2</v>
      </c>
      <c r="N31" s="298">
        <v>7.0011436534922269E-2</v>
      </c>
      <c r="O31" s="298">
        <v>5.9489629762617326E-2</v>
      </c>
      <c r="P31" s="298">
        <v>5.0197046650977808E-2</v>
      </c>
      <c r="Q31" s="298">
        <v>4.2209707883882945E-2</v>
      </c>
      <c r="R31" s="298">
        <v>3.5432382332034926E-2</v>
      </c>
      <c r="S31" s="298">
        <v>2.9674727658269173E-2</v>
      </c>
      <c r="T31" s="298">
        <v>1.2288807106945967E-2</v>
      </c>
      <c r="U31" s="298">
        <v>5.089130118830598E-3</v>
      </c>
      <c r="V31" s="298">
        <v>2.1033528640129659E-3</v>
      </c>
      <c r="W31" s="298">
        <v>1.0223712098306266E-3</v>
      </c>
    </row>
    <row r="32" spans="1:56" x14ac:dyDescent="0.25">
      <c r="L32" s="298">
        <v>2.4068650205151396E-2</v>
      </c>
      <c r="M32" s="298">
        <v>2.0680700846297775E-2</v>
      </c>
      <c r="N32" s="298">
        <v>1.7520670016729908E-2</v>
      </c>
      <c r="O32" s="298">
        <v>1.4770003520808185E-2</v>
      </c>
      <c r="P32" s="298">
        <v>1.2410255987366076E-2</v>
      </c>
      <c r="Q32" s="298">
        <v>1.0409718652798595E-2</v>
      </c>
      <c r="R32" s="298">
        <v>8.7236969569729744E-3</v>
      </c>
      <c r="S32" s="298">
        <v>7.2963369126303589E-3</v>
      </c>
      <c r="T32" s="298">
        <v>3.007777410842653E-3</v>
      </c>
      <c r="U32" s="298">
        <v>1.2427002258072527E-3</v>
      </c>
      <c r="V32" s="298">
        <v>5.126512452165023E-4</v>
      </c>
      <c r="W32" s="298">
        <v>2.4720344861940046E-4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>
    <tabColor rgb="FF0070C0"/>
    <pageSetUpPr fitToPage="1"/>
  </sheetPr>
  <dimension ref="A1:CF648"/>
  <sheetViews>
    <sheetView topLeftCell="W1" zoomScale="80" zoomScaleNormal="80" workbookViewId="0">
      <selection activeCell="AM7" sqref="AM7"/>
    </sheetView>
  </sheetViews>
  <sheetFormatPr baseColWidth="10" defaultRowHeight="15" x14ac:dyDescent="0.25"/>
  <cols>
    <col min="1" max="1" width="11.42578125" style="3"/>
    <col min="2" max="2" width="17.140625" style="3" customWidth="1"/>
    <col min="3" max="3" width="28.140625" customWidth="1"/>
    <col min="4" max="4" width="41" hidden="1" customWidth="1"/>
    <col min="5" max="8" width="20.140625" hidden="1" customWidth="1"/>
    <col min="9" max="39" width="20.140625" customWidth="1"/>
    <col min="40" max="40" width="13" style="3" customWidth="1"/>
    <col min="41" max="84" width="11.42578125" style="3"/>
  </cols>
  <sheetData>
    <row r="1" spans="1:39" s="3" customFormat="1" ht="23.25" x14ac:dyDescent="0.35">
      <c r="A1" s="228" t="s">
        <v>69</v>
      </c>
      <c r="C1" s="228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</row>
    <row r="2" spans="1:39" s="3" customFormat="1" ht="23.25" x14ac:dyDescent="0.35">
      <c r="A2" s="46"/>
      <c r="E2" s="235">
        <f>Résultats!E1</f>
        <v>4</v>
      </c>
      <c r="F2" s="235">
        <f>Résultats!N1</f>
        <v>13</v>
      </c>
      <c r="G2" s="235">
        <f>F2+3</f>
        <v>16</v>
      </c>
      <c r="H2" s="235">
        <f t="shared" ref="H2:AA2" si="0">G2+1</f>
        <v>17</v>
      </c>
      <c r="I2" s="235">
        <f t="shared" si="0"/>
        <v>18</v>
      </c>
      <c r="J2" s="235">
        <f t="shared" si="0"/>
        <v>19</v>
      </c>
      <c r="K2" s="235">
        <f t="shared" si="0"/>
        <v>20</v>
      </c>
      <c r="L2" s="235">
        <f t="shared" si="0"/>
        <v>21</v>
      </c>
      <c r="M2" s="235">
        <f t="shared" si="0"/>
        <v>22</v>
      </c>
      <c r="N2" s="235">
        <f t="shared" si="0"/>
        <v>23</v>
      </c>
      <c r="O2" s="235">
        <f t="shared" si="0"/>
        <v>24</v>
      </c>
      <c r="P2" s="235">
        <f t="shared" si="0"/>
        <v>25</v>
      </c>
      <c r="Q2" s="235">
        <f t="shared" si="0"/>
        <v>26</v>
      </c>
      <c r="R2" s="235">
        <f t="shared" si="0"/>
        <v>27</v>
      </c>
      <c r="S2" s="235">
        <f t="shared" si="0"/>
        <v>28</v>
      </c>
      <c r="T2" s="235">
        <f t="shared" si="0"/>
        <v>29</v>
      </c>
      <c r="U2" s="235">
        <f t="shared" si="0"/>
        <v>30</v>
      </c>
      <c r="V2" s="235">
        <f t="shared" si="0"/>
        <v>31</v>
      </c>
      <c r="W2" s="235">
        <f t="shared" si="0"/>
        <v>32</v>
      </c>
      <c r="X2" s="235">
        <f>S2+5</f>
        <v>33</v>
      </c>
      <c r="Y2" s="235">
        <f t="shared" si="0"/>
        <v>34</v>
      </c>
      <c r="Z2" s="235">
        <f t="shared" ref="Z2" si="1">U2+5</f>
        <v>35</v>
      </c>
      <c r="AA2" s="235">
        <f t="shared" si="0"/>
        <v>36</v>
      </c>
      <c r="AB2" s="235">
        <f t="shared" ref="AB2" si="2">W2+5</f>
        <v>37</v>
      </c>
      <c r="AC2" s="235">
        <f>X2+5</f>
        <v>38</v>
      </c>
      <c r="AD2" s="235">
        <f t="shared" ref="AD2:AG2" si="3">Y2+5</f>
        <v>39</v>
      </c>
      <c r="AE2" s="235">
        <f t="shared" si="3"/>
        <v>40</v>
      </c>
      <c r="AF2" s="235">
        <f t="shared" si="3"/>
        <v>41</v>
      </c>
      <c r="AG2" s="235">
        <f t="shared" si="3"/>
        <v>42</v>
      </c>
      <c r="AH2" s="235">
        <f>AC2+5</f>
        <v>43</v>
      </c>
      <c r="AI2" s="235">
        <f t="shared" ref="AI2:AL2" si="4">AD2+5</f>
        <v>44</v>
      </c>
      <c r="AJ2" s="235">
        <f t="shared" si="4"/>
        <v>45</v>
      </c>
      <c r="AK2" s="235">
        <f t="shared" si="4"/>
        <v>46</v>
      </c>
      <c r="AL2" s="235">
        <f t="shared" si="4"/>
        <v>47</v>
      </c>
      <c r="AM2" s="236">
        <f>AH2+5</f>
        <v>48</v>
      </c>
    </row>
    <row r="3" spans="1:39" ht="23.25" x14ac:dyDescent="0.35">
      <c r="B3" s="46"/>
      <c r="D3" s="146"/>
      <c r="E3" s="92">
        <v>2006</v>
      </c>
      <c r="F3" s="92">
        <v>2015</v>
      </c>
      <c r="G3" s="92">
        <v>2018</v>
      </c>
      <c r="H3" s="92">
        <v>2019</v>
      </c>
      <c r="I3" s="92">
        <v>2020</v>
      </c>
      <c r="J3" s="20">
        <v>2021</v>
      </c>
      <c r="K3" s="4">
        <v>2022</v>
      </c>
      <c r="L3" s="4">
        <v>2023</v>
      </c>
      <c r="M3" s="4">
        <v>2024</v>
      </c>
      <c r="N3" s="92">
        <v>2025</v>
      </c>
      <c r="O3" s="20">
        <v>2026</v>
      </c>
      <c r="P3" s="4">
        <v>2027</v>
      </c>
      <c r="Q3" s="4">
        <v>2028</v>
      </c>
      <c r="R3" s="4">
        <v>2029</v>
      </c>
      <c r="S3" s="92">
        <v>2030</v>
      </c>
      <c r="T3" s="4">
        <v>2031</v>
      </c>
      <c r="U3" s="92">
        <v>2032</v>
      </c>
      <c r="V3" s="4">
        <v>2033</v>
      </c>
      <c r="W3" s="92">
        <v>2034</v>
      </c>
      <c r="X3" s="4">
        <v>2035</v>
      </c>
      <c r="Y3" s="92">
        <v>2036</v>
      </c>
      <c r="Z3" s="4">
        <v>2037</v>
      </c>
      <c r="AA3" s="92">
        <v>2038</v>
      </c>
      <c r="AB3" s="4">
        <v>2039</v>
      </c>
      <c r="AC3" s="93">
        <v>2040</v>
      </c>
      <c r="AD3" s="4">
        <v>2041</v>
      </c>
      <c r="AE3" s="93">
        <v>2042</v>
      </c>
      <c r="AF3" s="4">
        <v>2043</v>
      </c>
      <c r="AG3" s="93">
        <v>2044</v>
      </c>
      <c r="AH3" s="4">
        <v>2045</v>
      </c>
      <c r="AI3" s="93">
        <v>2046</v>
      </c>
      <c r="AJ3" s="4">
        <v>2047</v>
      </c>
      <c r="AK3" s="93">
        <v>2048</v>
      </c>
      <c r="AL3" s="4">
        <v>2049</v>
      </c>
      <c r="AM3" s="93">
        <v>2050</v>
      </c>
    </row>
    <row r="4" spans="1:39" x14ac:dyDescent="0.25">
      <c r="A4" s="152" t="str">
        <f>Résultats!B1</f>
        <v>SNBC3</v>
      </c>
      <c r="C4" s="175" t="s">
        <v>71</v>
      </c>
      <c r="D4" s="58" t="s">
        <v>130</v>
      </c>
      <c r="E4" s="59">
        <f t="shared" ref="E4:H4" si="5">E43</f>
        <v>32001.800439999999</v>
      </c>
      <c r="F4" s="59">
        <f t="shared" si="5"/>
        <v>35911.307350000003</v>
      </c>
      <c r="G4" s="59">
        <f t="shared" si="5"/>
        <v>36708.886160000002</v>
      </c>
      <c r="H4" s="59">
        <f t="shared" si="5"/>
        <v>37113.743849999999</v>
      </c>
      <c r="I4" s="59">
        <f t="shared" ref="I4:AM4" si="6">I43</f>
        <v>37188.885329999997</v>
      </c>
      <c r="J4" s="59">
        <f t="shared" si="6"/>
        <v>37050.595860000001</v>
      </c>
      <c r="K4" s="59">
        <f t="shared" si="6"/>
        <v>36712.619359999997</v>
      </c>
      <c r="L4" s="59">
        <f t="shared" si="6"/>
        <v>36343.739090000003</v>
      </c>
      <c r="M4" s="59">
        <f t="shared" si="6"/>
        <v>36463.573700000001</v>
      </c>
      <c r="N4" s="59">
        <f t="shared" si="6"/>
        <v>36745.288950000002</v>
      </c>
      <c r="O4" s="59">
        <f t="shared" si="6"/>
        <v>36616.97464</v>
      </c>
      <c r="P4" s="59">
        <f t="shared" si="6"/>
        <v>36306.289049999999</v>
      </c>
      <c r="Q4" s="59">
        <f t="shared" si="6"/>
        <v>35896.733780000002</v>
      </c>
      <c r="R4" s="59">
        <f t="shared" si="6"/>
        <v>35420.443959999997</v>
      </c>
      <c r="S4" s="59">
        <f t="shared" si="6"/>
        <v>34904.845990000002</v>
      </c>
      <c r="T4" s="59">
        <f t="shared" si="6"/>
        <v>34364.076939999999</v>
      </c>
      <c r="U4" s="59">
        <f t="shared" si="6"/>
        <v>33826.310380000003</v>
      </c>
      <c r="V4" s="59">
        <f t="shared" si="6"/>
        <v>33296.709060000001</v>
      </c>
      <c r="W4" s="59">
        <f t="shared" si="6"/>
        <v>32780.313900000001</v>
      </c>
      <c r="X4" s="59">
        <f t="shared" si="6"/>
        <v>32277.615689999999</v>
      </c>
      <c r="Y4" s="59">
        <f t="shared" si="6"/>
        <v>31826.594779999999</v>
      </c>
      <c r="Z4" s="59">
        <f t="shared" si="6"/>
        <v>31411.51396</v>
      </c>
      <c r="AA4" s="59">
        <f t="shared" si="6"/>
        <v>31015.145799999998</v>
      </c>
      <c r="AB4" s="59">
        <f t="shared" si="6"/>
        <v>30635.25635</v>
      </c>
      <c r="AC4" s="59">
        <f t="shared" si="6"/>
        <v>30262.691439999999</v>
      </c>
      <c r="AD4" s="59">
        <f t="shared" si="6"/>
        <v>29899.835050000002</v>
      </c>
      <c r="AE4" s="59">
        <f t="shared" si="6"/>
        <v>29548.504369999999</v>
      </c>
      <c r="AF4" s="59">
        <f t="shared" si="6"/>
        <v>29202.967779999999</v>
      </c>
      <c r="AG4" s="59">
        <f t="shared" si="6"/>
        <v>28861.479630000002</v>
      </c>
      <c r="AH4" s="59">
        <f t="shared" si="6"/>
        <v>28449.923340000001</v>
      </c>
      <c r="AI4" s="59">
        <f t="shared" si="6"/>
        <v>28068.384330000001</v>
      </c>
      <c r="AJ4" s="59">
        <f t="shared" si="6"/>
        <v>27707.028829999999</v>
      </c>
      <c r="AK4" s="59">
        <f t="shared" si="6"/>
        <v>27361.119170000002</v>
      </c>
      <c r="AL4" s="59">
        <f t="shared" si="6"/>
        <v>27025.569</v>
      </c>
      <c r="AM4" s="103">
        <f t="shared" si="6"/>
        <v>26682.689050000001</v>
      </c>
    </row>
    <row r="5" spans="1:39" x14ac:dyDescent="0.25">
      <c r="C5" s="175" t="s">
        <v>72</v>
      </c>
      <c r="D5" s="58" t="s">
        <v>422</v>
      </c>
      <c r="E5" s="154"/>
      <c r="F5" s="154"/>
      <c r="G5" s="154">
        <f t="shared" ref="G5:AM5" si="7">G4/1000</f>
        <v>36.708886159999999</v>
      </c>
      <c r="H5" s="154">
        <f t="shared" si="7"/>
        <v>37.113743849999999</v>
      </c>
      <c r="I5" s="154">
        <f t="shared" si="7"/>
        <v>37.188885329999998</v>
      </c>
      <c r="J5" s="154">
        <f t="shared" si="7"/>
        <v>37.050595860000001</v>
      </c>
      <c r="K5" s="154">
        <f t="shared" si="7"/>
        <v>36.712619359999998</v>
      </c>
      <c r="L5" s="154">
        <f t="shared" si="7"/>
        <v>36.34373909</v>
      </c>
      <c r="M5" s="154">
        <f t="shared" si="7"/>
        <v>36.463573699999998</v>
      </c>
      <c r="N5" s="154">
        <f t="shared" si="7"/>
        <v>36.745288950000003</v>
      </c>
      <c r="O5" s="154">
        <f t="shared" si="7"/>
        <v>36.616974640000002</v>
      </c>
      <c r="P5" s="154">
        <f t="shared" si="7"/>
        <v>36.306289049999997</v>
      </c>
      <c r="Q5" s="154">
        <f t="shared" si="7"/>
        <v>35.896733780000005</v>
      </c>
      <c r="R5" s="154">
        <f t="shared" si="7"/>
        <v>35.42044396</v>
      </c>
      <c r="S5" s="154">
        <f t="shared" si="7"/>
        <v>34.904845989999998</v>
      </c>
      <c r="T5" s="154">
        <f t="shared" si="7"/>
        <v>34.364076939999997</v>
      </c>
      <c r="U5" s="154">
        <f t="shared" si="7"/>
        <v>33.826310380000002</v>
      </c>
      <c r="V5" s="154">
        <f t="shared" si="7"/>
        <v>33.296709059999998</v>
      </c>
      <c r="W5" s="154">
        <f t="shared" si="7"/>
        <v>32.780313900000003</v>
      </c>
      <c r="X5" s="154">
        <f t="shared" si="7"/>
        <v>32.277615689999998</v>
      </c>
      <c r="Y5" s="154">
        <f t="shared" si="7"/>
        <v>31.826594780000001</v>
      </c>
      <c r="Z5" s="154">
        <f t="shared" si="7"/>
        <v>31.411513960000001</v>
      </c>
      <c r="AA5" s="154">
        <f t="shared" si="7"/>
        <v>31.015145799999999</v>
      </c>
      <c r="AB5" s="154">
        <f t="shared" si="7"/>
        <v>30.635256349999999</v>
      </c>
      <c r="AC5" s="154">
        <f t="shared" si="7"/>
        <v>30.262691439999998</v>
      </c>
      <c r="AD5" s="154">
        <f t="shared" si="7"/>
        <v>29.89983505</v>
      </c>
      <c r="AE5" s="154">
        <f t="shared" si="7"/>
        <v>29.54850437</v>
      </c>
      <c r="AF5" s="154">
        <f t="shared" si="7"/>
        <v>29.202967779999998</v>
      </c>
      <c r="AG5" s="154">
        <f t="shared" si="7"/>
        <v>28.861479630000002</v>
      </c>
      <c r="AH5" s="154">
        <f t="shared" si="7"/>
        <v>28.449923340000002</v>
      </c>
      <c r="AI5" s="154">
        <f t="shared" si="7"/>
        <v>28.068384330000001</v>
      </c>
      <c r="AJ5" s="154">
        <f t="shared" si="7"/>
        <v>27.707028829999999</v>
      </c>
      <c r="AK5" s="154">
        <f t="shared" si="7"/>
        <v>27.361119170000002</v>
      </c>
      <c r="AL5" s="154">
        <f t="shared" si="7"/>
        <v>27.025569000000001</v>
      </c>
      <c r="AM5" s="176">
        <f t="shared" si="7"/>
        <v>26.68268905</v>
      </c>
    </row>
    <row r="6" spans="1:39" x14ac:dyDescent="0.25">
      <c r="C6" s="157" t="s">
        <v>73</v>
      </c>
      <c r="D6" s="3" t="s">
        <v>423</v>
      </c>
      <c r="E6" s="155"/>
      <c r="F6" s="155"/>
      <c r="G6" s="155">
        <f>G91</f>
        <v>9.7310849379364534E-3</v>
      </c>
      <c r="H6" s="155">
        <f t="shared" ref="H6:AM6" si="8">H91</f>
        <v>1.2685468119379716E-2</v>
      </c>
      <c r="I6" s="155">
        <f t="shared" si="8"/>
        <v>1.5856655263186938E-2</v>
      </c>
      <c r="J6" s="155">
        <f t="shared" si="8"/>
        <v>1.9380715849032504E-2</v>
      </c>
      <c r="K6" s="155">
        <f t="shared" si="8"/>
        <v>2.3753751761721207E-2</v>
      </c>
      <c r="L6" s="155">
        <f t="shared" si="8"/>
        <v>2.9317394898786674E-2</v>
      </c>
      <c r="M6" s="155">
        <f t="shared" si="8"/>
        <v>3.7620834240940024E-2</v>
      </c>
      <c r="N6" s="155">
        <f t="shared" si="8"/>
        <v>4.7848169853621468E-2</v>
      </c>
      <c r="O6" s="155">
        <f t="shared" si="8"/>
        <v>5.8381576277597144E-2</v>
      </c>
      <c r="P6" s="155">
        <f t="shared" si="8"/>
        <v>7.1241104163467239E-2</v>
      </c>
      <c r="Q6" s="155">
        <f t="shared" si="8"/>
        <v>8.8085342899963406E-2</v>
      </c>
      <c r="R6" s="155">
        <f t="shared" si="8"/>
        <v>0.10929362868437632</v>
      </c>
      <c r="S6" s="155">
        <f t="shared" si="8"/>
        <v>0.13481181367619036</v>
      </c>
      <c r="T6" s="155">
        <f t="shared" si="8"/>
        <v>0.16389024398453694</v>
      </c>
      <c r="U6" s="155">
        <f t="shared" si="8"/>
        <v>0.19568587202208482</v>
      </c>
      <c r="V6" s="155">
        <f t="shared" si="8"/>
        <v>0.22892086470962483</v>
      </c>
      <c r="W6" s="155">
        <f t="shared" si="8"/>
        <v>0.26257842579719776</v>
      </c>
      <c r="X6" s="155">
        <f t="shared" si="8"/>
        <v>0.29591872679614278</v>
      </c>
      <c r="Y6" s="155">
        <f t="shared" si="8"/>
        <v>0.32929638475134415</v>
      </c>
      <c r="Z6" s="155">
        <f t="shared" si="8"/>
        <v>0.36210180682421333</v>
      </c>
      <c r="AA6" s="155">
        <f t="shared" si="8"/>
        <v>0.3938513131219909</v>
      </c>
      <c r="AB6" s="155">
        <f t="shared" si="8"/>
        <v>0.42445736838105486</v>
      </c>
      <c r="AC6" s="155">
        <f t="shared" si="8"/>
        <v>0.45374964078211544</v>
      </c>
      <c r="AD6" s="155">
        <f t="shared" si="8"/>
        <v>0.48165717221908216</v>
      </c>
      <c r="AE6" s="155">
        <f t="shared" si="8"/>
        <v>0.50826653159636725</v>
      </c>
      <c r="AF6" s="155">
        <f t="shared" si="8"/>
        <v>0.53354061502854555</v>
      </c>
      <c r="AG6" s="155">
        <f t="shared" si="8"/>
        <v>0.55751784407042193</v>
      </c>
      <c r="AH6" s="155">
        <f t="shared" si="8"/>
        <v>0.58104125597970768</v>
      </c>
      <c r="AI6" s="155">
        <f t="shared" si="8"/>
        <v>0.60365591552379883</v>
      </c>
      <c r="AJ6" s="155">
        <f t="shared" si="8"/>
        <v>0.62525403377941347</v>
      </c>
      <c r="AK6" s="155">
        <f t="shared" si="8"/>
        <v>0.64581511012804083</v>
      </c>
      <c r="AL6" s="155">
        <f t="shared" si="8"/>
        <v>0.66532296211783737</v>
      </c>
      <c r="AM6" s="177">
        <f t="shared" si="8"/>
        <v>0.68362074661286809</v>
      </c>
    </row>
    <row r="7" spans="1:39" x14ac:dyDescent="0.25">
      <c r="C7" s="178" t="s">
        <v>75</v>
      </c>
      <c r="D7" s="7" t="s">
        <v>424</v>
      </c>
      <c r="E7" s="179"/>
      <c r="F7" s="179"/>
      <c r="G7" s="179">
        <f>G99</f>
        <v>0.99026891504027048</v>
      </c>
      <c r="H7" s="179">
        <f t="shared" ref="H7:AM7" si="9">H99</f>
        <v>0.98731453172973271</v>
      </c>
      <c r="I7" s="179">
        <f t="shared" si="9"/>
        <v>0.98414334485243915</v>
      </c>
      <c r="J7" s="179">
        <f t="shared" si="9"/>
        <v>0.98061928416176347</v>
      </c>
      <c r="K7" s="179">
        <f t="shared" si="9"/>
        <v>0.97624624842350138</v>
      </c>
      <c r="L7" s="179">
        <f t="shared" si="9"/>
        <v>0.97068260512872828</v>
      </c>
      <c r="M7" s="179">
        <f t="shared" si="9"/>
        <v>0.96237916581390925</v>
      </c>
      <c r="N7" s="179">
        <f t="shared" si="9"/>
        <v>0.95215183006473536</v>
      </c>
      <c r="O7" s="179">
        <f t="shared" si="9"/>
        <v>0.94161842366778348</v>
      </c>
      <c r="P7" s="179">
        <f t="shared" si="9"/>
        <v>0.92875889583653282</v>
      </c>
      <c r="Q7" s="179">
        <f t="shared" si="9"/>
        <v>0.91191465721146725</v>
      </c>
      <c r="R7" s="179">
        <f t="shared" si="9"/>
        <v>0.8907063713156238</v>
      </c>
      <c r="S7" s="179">
        <f t="shared" si="9"/>
        <v>0.86518818615191373</v>
      </c>
      <c r="T7" s="179">
        <f t="shared" si="9"/>
        <v>0.83610975584086211</v>
      </c>
      <c r="U7" s="179">
        <f t="shared" si="9"/>
        <v>0.80431412809616631</v>
      </c>
      <c r="V7" s="179">
        <f t="shared" si="9"/>
        <v>0.77107913529037508</v>
      </c>
      <c r="W7" s="179">
        <f t="shared" si="9"/>
        <v>0.73742157423330834</v>
      </c>
      <c r="X7" s="179">
        <f t="shared" si="9"/>
        <v>0.70408127317287617</v>
      </c>
      <c r="Y7" s="179">
        <f t="shared" si="9"/>
        <v>0.67070361524865585</v>
      </c>
      <c r="Z7" s="179">
        <f t="shared" si="9"/>
        <v>0.63789819317578678</v>
      </c>
      <c r="AA7" s="179">
        <f t="shared" si="9"/>
        <v>0.60614868687800916</v>
      </c>
      <c r="AB7" s="179">
        <f t="shared" si="9"/>
        <v>0.57554263129252381</v>
      </c>
      <c r="AC7" s="179">
        <f t="shared" si="9"/>
        <v>0.54625035888744466</v>
      </c>
      <c r="AD7" s="179">
        <f t="shared" si="9"/>
        <v>0.51834282744646776</v>
      </c>
      <c r="AE7" s="179">
        <f t="shared" si="9"/>
        <v>0.49173346874205942</v>
      </c>
      <c r="AF7" s="179">
        <f t="shared" si="9"/>
        <v>0.46645938497145445</v>
      </c>
      <c r="AG7" s="179">
        <f t="shared" si="9"/>
        <v>0.44248215592957801</v>
      </c>
      <c r="AH7" s="179">
        <f t="shared" si="9"/>
        <v>0.41895874402029232</v>
      </c>
      <c r="AI7" s="179">
        <f t="shared" si="9"/>
        <v>0.39634408447620112</v>
      </c>
      <c r="AJ7" s="179">
        <f t="shared" si="9"/>
        <v>0.37474596622058665</v>
      </c>
      <c r="AK7" s="179">
        <f t="shared" si="9"/>
        <v>0.35418488983541091</v>
      </c>
      <c r="AL7" s="179">
        <f t="shared" si="9"/>
        <v>0.3346770379561666</v>
      </c>
      <c r="AM7" s="180">
        <f t="shared" si="9"/>
        <v>0.31637925323722199</v>
      </c>
    </row>
    <row r="8" spans="1:39" s="3" customFormat="1" x14ac:dyDescent="0.25">
      <c r="C8" s="153" t="s">
        <v>70</v>
      </c>
      <c r="E8" s="231"/>
      <c r="F8" s="231"/>
      <c r="G8" s="231">
        <f>SUM(G6:G7)</f>
        <v>0.99999999997820699</v>
      </c>
      <c r="H8" s="231">
        <f t="shared" ref="H8:AM8" si="10">SUM(H6:H7)</f>
        <v>0.99999999984911248</v>
      </c>
      <c r="I8" s="231">
        <f t="shared" si="10"/>
        <v>1.0000000001156262</v>
      </c>
      <c r="J8" s="231">
        <f t="shared" si="10"/>
        <v>1.000000000010796</v>
      </c>
      <c r="K8" s="231">
        <f t="shared" si="10"/>
        <v>1.0000000001852225</v>
      </c>
      <c r="L8" s="231">
        <f t="shared" si="10"/>
        <v>1.0000000000275149</v>
      </c>
      <c r="M8" s="231">
        <f t="shared" si="10"/>
        <v>1.0000000000548492</v>
      </c>
      <c r="N8" s="231">
        <f t="shared" si="10"/>
        <v>0.99999999991835686</v>
      </c>
      <c r="O8" s="231">
        <f t="shared" si="10"/>
        <v>0.99999999994538058</v>
      </c>
      <c r="P8" s="231">
        <f t="shared" si="10"/>
        <v>1</v>
      </c>
      <c r="Q8" s="231">
        <f t="shared" si="10"/>
        <v>1.0000000001114306</v>
      </c>
      <c r="R8" s="231">
        <f t="shared" si="10"/>
        <v>1.0000000000000002</v>
      </c>
      <c r="S8" s="231">
        <f t="shared" si="10"/>
        <v>0.99999999982810406</v>
      </c>
      <c r="T8" s="231">
        <f t="shared" si="10"/>
        <v>0.999999999825399</v>
      </c>
      <c r="U8" s="231">
        <f t="shared" si="10"/>
        <v>1.0000000001182512</v>
      </c>
      <c r="V8" s="231">
        <f t="shared" si="10"/>
        <v>0.99999999999999989</v>
      </c>
      <c r="W8" s="231">
        <f t="shared" si="10"/>
        <v>1.000000000030506</v>
      </c>
      <c r="X8" s="231">
        <f t="shared" si="10"/>
        <v>0.999999999969019</v>
      </c>
      <c r="Y8" s="231">
        <f t="shared" si="10"/>
        <v>1</v>
      </c>
      <c r="Z8" s="231">
        <f t="shared" si="10"/>
        <v>1</v>
      </c>
      <c r="AA8" s="231">
        <f t="shared" si="10"/>
        <v>1</v>
      </c>
      <c r="AB8" s="231">
        <f t="shared" si="10"/>
        <v>0.99999999967357867</v>
      </c>
      <c r="AC8" s="231">
        <f t="shared" si="10"/>
        <v>0.9999999996695601</v>
      </c>
      <c r="AD8" s="231">
        <f t="shared" si="10"/>
        <v>0.99999999966554998</v>
      </c>
      <c r="AE8" s="231">
        <f t="shared" si="10"/>
        <v>1.0000000003384266</v>
      </c>
      <c r="AF8" s="231">
        <f t="shared" si="10"/>
        <v>1</v>
      </c>
      <c r="AG8" s="231">
        <f t="shared" si="10"/>
        <v>1</v>
      </c>
      <c r="AH8" s="231">
        <f t="shared" si="10"/>
        <v>1</v>
      </c>
      <c r="AI8" s="231">
        <f t="shared" si="10"/>
        <v>1</v>
      </c>
      <c r="AJ8" s="231">
        <f t="shared" si="10"/>
        <v>1</v>
      </c>
      <c r="AK8" s="231">
        <f t="shared" si="10"/>
        <v>0.99999999996345168</v>
      </c>
      <c r="AL8" s="231">
        <f t="shared" si="10"/>
        <v>1.0000000000740039</v>
      </c>
      <c r="AM8" s="231">
        <f t="shared" si="10"/>
        <v>0.99999999985009014</v>
      </c>
    </row>
    <row r="9" spans="1:39" s="3" customFormat="1" x14ac:dyDescent="0.25"/>
    <row r="10" spans="1:39" s="3" customFormat="1" x14ac:dyDescent="0.25"/>
    <row r="11" spans="1:39" s="3" customFormat="1" x14ac:dyDescent="0.25"/>
    <row r="12" spans="1:39" x14ac:dyDescent="0.25">
      <c r="C12" s="156"/>
      <c r="E12" s="20"/>
      <c r="F12" s="20"/>
      <c r="G12" s="20"/>
      <c r="H12" s="20"/>
      <c r="I12" s="20">
        <v>2020</v>
      </c>
      <c r="J12" s="93">
        <v>2030</v>
      </c>
      <c r="K12" s="93">
        <v>2050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x14ac:dyDescent="0.25">
      <c r="C13" s="157" t="s">
        <v>73</v>
      </c>
      <c r="D13" s="3"/>
      <c r="E13" s="181"/>
      <c r="F13" s="181"/>
      <c r="G13" s="181"/>
      <c r="H13" s="181"/>
      <c r="I13" s="181">
        <f>I91</f>
        <v>1.5856655263186938E-2</v>
      </c>
      <c r="J13" s="182">
        <f>S91</f>
        <v>0.13481181367619036</v>
      </c>
      <c r="K13" s="182">
        <f>AM91</f>
        <v>0.68362074661286809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x14ac:dyDescent="0.25">
      <c r="C14" s="158" t="s">
        <v>59</v>
      </c>
      <c r="D14" s="3"/>
      <c r="E14" s="183"/>
      <c r="F14" s="183"/>
      <c r="G14" s="183"/>
      <c r="H14" s="183"/>
      <c r="I14" s="183">
        <f>I91</f>
        <v>1.5856655263186938E-2</v>
      </c>
      <c r="J14" s="183">
        <f>S91</f>
        <v>0.13481181367619036</v>
      </c>
      <c r="K14" s="183">
        <f>AM91</f>
        <v>0.68362074661286809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x14ac:dyDescent="0.25">
      <c r="C15" s="157" t="s">
        <v>74</v>
      </c>
      <c r="D15" s="3"/>
      <c r="E15" s="181"/>
      <c r="F15" s="181"/>
      <c r="G15" s="181"/>
      <c r="H15" s="181"/>
      <c r="I15" s="181">
        <f>I99</f>
        <v>0.98414334485243915</v>
      </c>
      <c r="J15" s="181">
        <f>S99</f>
        <v>0.86518818615191373</v>
      </c>
      <c r="K15" s="182">
        <f>AM99</f>
        <v>0.31637925323722199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25">
      <c r="C16" s="158" t="s">
        <v>56</v>
      </c>
      <c r="D16" s="3"/>
      <c r="E16" s="184"/>
      <c r="F16" s="184"/>
      <c r="G16" s="184"/>
      <c r="H16" s="184"/>
      <c r="I16" s="184">
        <f>I100+I101</f>
        <v>0.14463846271189112</v>
      </c>
      <c r="J16" s="184">
        <f>S100+S101</f>
        <v>0.16601698084444119</v>
      </c>
      <c r="K16" s="184">
        <f>AM100+AM101</f>
        <v>6.1902642728582105E-2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x14ac:dyDescent="0.25">
      <c r="C17" s="159" t="s">
        <v>57</v>
      </c>
      <c r="D17" s="3"/>
      <c r="E17" s="183"/>
      <c r="F17" s="183"/>
      <c r="G17" s="183"/>
      <c r="H17" s="183"/>
      <c r="I17" s="183">
        <f>I102+I103+I104</f>
        <v>0.71789891832178776</v>
      </c>
      <c r="J17" s="183">
        <f>S102+S103+S104</f>
        <v>0.6237653639622891</v>
      </c>
      <c r="K17" s="183">
        <f>AM102+AM103+AM104</f>
        <v>0.2276521397306468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x14ac:dyDescent="0.25">
      <c r="C18" s="159" t="s">
        <v>58</v>
      </c>
      <c r="D18" s="3"/>
      <c r="E18" s="183"/>
      <c r="F18" s="183"/>
      <c r="G18" s="183"/>
      <c r="H18" s="183"/>
      <c r="I18" s="183">
        <f>I105+I106</f>
        <v>0.12160596390211841</v>
      </c>
      <c r="J18" s="183">
        <f>S105+S106</f>
        <v>7.5405841376697619E-2</v>
      </c>
      <c r="K18" s="183">
        <f>AM105+AM106</f>
        <v>2.6824470774245296E-2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x14ac:dyDescent="0.25">
      <c r="C19" s="160" t="s">
        <v>70</v>
      </c>
      <c r="E19" s="185"/>
      <c r="F19" s="185"/>
      <c r="G19" s="185"/>
      <c r="H19" s="185"/>
      <c r="I19" s="185">
        <f>SUM(I16:I18)</f>
        <v>0.98414334493579736</v>
      </c>
      <c r="J19" s="185">
        <f>SUM(J16:J18)</f>
        <v>0.86518818618342785</v>
      </c>
      <c r="K19" s="185">
        <f>SUM(K16:K18)</f>
        <v>0.31637925323347416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s="3" customFormat="1" x14ac:dyDescent="0.25"/>
    <row r="21" spans="1:39" s="3" customFormat="1" x14ac:dyDescent="0.25"/>
    <row r="22" spans="1:39" s="3" customFormat="1" x14ac:dyDescent="0.25"/>
    <row r="23" spans="1:39" s="3" customFormat="1" ht="23.25" x14ac:dyDescent="0.35">
      <c r="B23" s="46"/>
      <c r="C23" s="41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</row>
    <row r="24" spans="1:39" s="3" customFormat="1" ht="23.25" x14ac:dyDescent="0.35">
      <c r="A24" s="228" t="s">
        <v>76</v>
      </c>
      <c r="C24" s="228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</row>
    <row r="25" spans="1:39" x14ac:dyDescent="0.25">
      <c r="C25" s="11"/>
      <c r="D25" s="11"/>
      <c r="E25" s="93">
        <v>2006</v>
      </c>
      <c r="F25" s="93">
        <v>2015</v>
      </c>
      <c r="G25" s="93">
        <v>2018</v>
      </c>
      <c r="H25" s="93">
        <v>2019</v>
      </c>
      <c r="I25" s="93">
        <v>2020</v>
      </c>
      <c r="J25" s="20">
        <v>2021</v>
      </c>
      <c r="K25" s="4">
        <v>2022</v>
      </c>
      <c r="L25" s="4">
        <v>2023</v>
      </c>
      <c r="M25" s="4">
        <v>2024</v>
      </c>
      <c r="N25" s="92">
        <v>2025</v>
      </c>
      <c r="O25" s="20">
        <v>2026</v>
      </c>
      <c r="P25" s="4">
        <v>2027</v>
      </c>
      <c r="Q25" s="4">
        <v>2028</v>
      </c>
      <c r="R25" s="4">
        <v>2029</v>
      </c>
      <c r="S25" s="92">
        <v>2030</v>
      </c>
      <c r="T25" s="4">
        <v>2031</v>
      </c>
      <c r="U25" s="92">
        <v>2032</v>
      </c>
      <c r="V25" s="4">
        <v>2033</v>
      </c>
      <c r="W25" s="92">
        <v>2034</v>
      </c>
      <c r="X25" s="4">
        <v>2035</v>
      </c>
      <c r="Y25" s="92">
        <v>2036</v>
      </c>
      <c r="Z25" s="4">
        <v>2037</v>
      </c>
      <c r="AA25" s="92">
        <v>2038</v>
      </c>
      <c r="AB25" s="4">
        <v>2039</v>
      </c>
      <c r="AC25" s="93">
        <v>2040</v>
      </c>
      <c r="AD25" s="4">
        <v>2041</v>
      </c>
      <c r="AE25" s="93">
        <v>2042</v>
      </c>
      <c r="AF25" s="4">
        <v>2043</v>
      </c>
      <c r="AG25" s="93">
        <v>2044</v>
      </c>
      <c r="AH25" s="4">
        <v>2045</v>
      </c>
      <c r="AI25" s="93">
        <v>2046</v>
      </c>
      <c r="AJ25" s="4">
        <v>2047</v>
      </c>
      <c r="AK25" s="93">
        <v>2048</v>
      </c>
      <c r="AL25" s="4">
        <v>2049</v>
      </c>
      <c r="AM25" s="93">
        <v>2050</v>
      </c>
    </row>
    <row r="26" spans="1:39" x14ac:dyDescent="0.25">
      <c r="A26" s="152" t="str">
        <f>Résultats!B1</f>
        <v>SNBC3</v>
      </c>
      <c r="B26" s="60" t="s">
        <v>77</v>
      </c>
      <c r="C26" s="216" t="s">
        <v>51</v>
      </c>
      <c r="D26" s="50" t="s">
        <v>149</v>
      </c>
      <c r="E26" s="99">
        <f>VLOOKUP($D26,Résultats!$B$2:$AZ$251,E$2,FALSE)</f>
        <v>2373</v>
      </c>
      <c r="F26" s="99">
        <f>VLOOKUP($D26,Résultats!$B$2:$AZ$251,F$2,FALSE)</f>
        <v>1940.3869999999999</v>
      </c>
      <c r="G26" s="99">
        <f>VLOOKUP($D26,Résultats!$B$2:$AZ$251,G$2,FALSE)</f>
        <v>2203.7420000000002</v>
      </c>
      <c r="H26" s="99">
        <f>VLOOKUP($D26,Résultats!$B$2:$AZ$251,H$2,FALSE)</f>
        <v>2240.3020000000001</v>
      </c>
      <c r="I26" s="99">
        <f>VLOOKUP($D26,Résultats!$B$2:$AZ$251,I$2,FALSE)</f>
        <v>1930.8286780000001</v>
      </c>
      <c r="J26" s="51">
        <f>VLOOKUP($D26,Résultats!$B$2:$AZ$251,J$2,FALSE)</f>
        <v>1721.154794</v>
      </c>
      <c r="K26" s="51">
        <f>VLOOKUP($D26,Résultats!$B$2:$AZ$251,K$2,FALSE)</f>
        <v>1720.3899369999999</v>
      </c>
      <c r="L26" s="51">
        <f>VLOOKUP($D26,Résultats!$B$2:$AZ$251,L$2,FALSE)</f>
        <v>1790.6855700000001</v>
      </c>
      <c r="M26" s="51">
        <f>VLOOKUP($D26,Résultats!$B$2:$AZ$251,M$2,FALSE)</f>
        <v>2257.7016159999998</v>
      </c>
      <c r="N26" s="51">
        <f>VLOOKUP($D26,Résultats!$B$2:$AZ$251,N$2,FALSE)</f>
        <v>2426.6313500000001</v>
      </c>
      <c r="O26" s="51">
        <f>VLOOKUP($D26,Résultats!$B$2:$AZ$251,O$2,FALSE)</f>
        <v>2041.6830660000001</v>
      </c>
      <c r="P26" s="51">
        <f>VLOOKUP($D26,Résultats!$B$2:$AZ$251,P$2,FALSE)</f>
        <v>1860.2812859999999</v>
      </c>
      <c r="Q26" s="51">
        <f>VLOOKUP($D26,Résultats!$B$2:$AZ$251,Q$2,FALSE)</f>
        <v>1751.5333720000001</v>
      </c>
      <c r="R26" s="51">
        <f>VLOOKUP($D26,Résultats!$B$2:$AZ$251,R$2,FALSE)</f>
        <v>1668.9333140000001</v>
      </c>
      <c r="S26" s="51">
        <f>VLOOKUP($D26,Résultats!$B$2:$AZ$251,S$2,FALSE)</f>
        <v>1609.628659</v>
      </c>
      <c r="T26" s="51">
        <f>VLOOKUP($D26,Résultats!$B$2:$AZ$251,T$2,FALSE)</f>
        <v>1561.932519</v>
      </c>
      <c r="U26" s="51">
        <f>VLOOKUP($D26,Résultats!$B$2:$AZ$251,U$2,FALSE)</f>
        <v>1540.7058380000001</v>
      </c>
      <c r="V26" s="51">
        <f>VLOOKUP($D26,Résultats!$B$2:$AZ$251,V$2,FALSE)</f>
        <v>1524.6280509999999</v>
      </c>
      <c r="W26" s="51">
        <f>VLOOKUP($D26,Résultats!$B$2:$AZ$251,W$2,FALSE)</f>
        <v>1513.8919840000001</v>
      </c>
      <c r="X26" s="51">
        <f>VLOOKUP($D26,Résultats!$B$2:$AZ$251,X$2,FALSE)</f>
        <v>1504.2597760000001</v>
      </c>
      <c r="Y26" s="51">
        <f>VLOOKUP($D26,Résultats!$B$2:$AZ$251,Y$2,FALSE)</f>
        <v>1533.258752</v>
      </c>
      <c r="Z26" s="51">
        <f>VLOOKUP($D26,Résultats!$B$2:$AZ$251,Z$2,FALSE)</f>
        <v>1549.52379</v>
      </c>
      <c r="AA26" s="51">
        <f>VLOOKUP($D26,Résultats!$B$2:$AZ$251,AA$2,FALSE)</f>
        <v>1550.6265069999999</v>
      </c>
      <c r="AB26" s="51">
        <f>VLOOKUP($D26,Résultats!$B$2:$AZ$251,AB$2,FALSE)</f>
        <v>1550.513815</v>
      </c>
      <c r="AC26" s="51">
        <f>VLOOKUP($D26,Résultats!$B$2:$AZ$251,AC$2,FALSE)</f>
        <v>1542.13861</v>
      </c>
      <c r="AD26" s="51">
        <f>VLOOKUP($D26,Résultats!$B$2:$AZ$251,AD$2,FALSE)</f>
        <v>1528.5618239999999</v>
      </c>
      <c r="AE26" s="51">
        <f>VLOOKUP($D26,Résultats!$B$2:$AZ$251,AE$2,FALSE)</f>
        <v>1517.4090200000001</v>
      </c>
      <c r="AF26" s="51">
        <f>VLOOKUP($D26,Résultats!$B$2:$AZ$251,AF$2,FALSE)</f>
        <v>1501.2449340000001</v>
      </c>
      <c r="AG26" s="51">
        <f>VLOOKUP($D26,Résultats!$B$2:$AZ$251,AG$2,FALSE)</f>
        <v>1483.697328</v>
      </c>
      <c r="AH26" s="51">
        <f>VLOOKUP($D26,Résultats!$B$2:$AZ$251,AH$2,FALSE)</f>
        <v>1512.542357</v>
      </c>
      <c r="AI26" s="51">
        <f>VLOOKUP($D26,Résultats!$B$2:$AZ$251,AI$2,FALSE)</f>
        <v>1515.1225480000001</v>
      </c>
      <c r="AJ26" s="51">
        <f>VLOOKUP($D26,Résultats!$B$2:$AZ$251,AJ$2,FALSE)</f>
        <v>1509.8701140000001</v>
      </c>
      <c r="AK26" s="51">
        <f>VLOOKUP($D26,Résultats!$B$2:$AZ$251,AK$2,FALSE)</f>
        <v>1501.2255990000001</v>
      </c>
      <c r="AL26" s="51">
        <f>VLOOKUP($D26,Résultats!$B$2:$AZ$251,AL$2,FALSE)</f>
        <v>1488.524445</v>
      </c>
      <c r="AM26" s="100">
        <f>VLOOKUP($D26,Résultats!$B$2:$AZ$251,AM$2,FALSE)</f>
        <v>1458.8246429999999</v>
      </c>
    </row>
    <row r="27" spans="1:39" x14ac:dyDescent="0.25">
      <c r="C27" s="217" t="s">
        <v>462</v>
      </c>
      <c r="D27" s="52" t="s">
        <v>158</v>
      </c>
      <c r="E27" s="53">
        <f>VLOOKUP($D27,Résultats!$B$2:$AZ$251,E$2,FALSE)</f>
        <v>2.1795339579999999</v>
      </c>
      <c r="F27" s="53">
        <f>VLOOKUP($D27,Résultats!$B$2:$AZ$251,F$2,FALSE)</f>
        <v>42.075598640000003</v>
      </c>
      <c r="G27" s="53">
        <f>VLOOKUP($D27,Résultats!$B$2:$AZ$251,G$2,FALSE)</f>
        <v>101.8791676</v>
      </c>
      <c r="H27" s="53">
        <f>VLOOKUP($D27,Résultats!$B$2:$AZ$251,H$2,FALSE)</f>
        <v>131.4487896</v>
      </c>
      <c r="I27" s="53">
        <f>VLOOKUP($D27,Résultats!$B$2:$AZ$251,I$2,FALSE)</f>
        <v>142.42638070000001</v>
      </c>
      <c r="J27" s="53">
        <f>VLOOKUP($D27,Résultats!$B$2:$AZ$251,J$2,FALSE)</f>
        <v>157.8603028</v>
      </c>
      <c r="K27" s="53">
        <f>VLOOKUP($D27,Résultats!$B$2:$AZ$251,K$2,FALSE)</f>
        <v>193.8879915</v>
      </c>
      <c r="L27" s="53">
        <f>VLOOKUP($D27,Résultats!$B$2:$AZ$251,L$2,FALSE)</f>
        <v>244.7390948</v>
      </c>
      <c r="M27" s="53">
        <f>VLOOKUP($D27,Résultats!$B$2:$AZ$251,M$2,FALSE)</f>
        <v>368.96300259999998</v>
      </c>
      <c r="N27" s="53">
        <f>VLOOKUP($D27,Résultats!$B$2:$AZ$251,N$2,FALSE)</f>
        <v>467.09829810000002</v>
      </c>
      <c r="O27" s="53">
        <f>VLOOKUP($D27,Résultats!$B$2:$AZ$251,O$2,FALSE)</f>
        <v>483.39227369999998</v>
      </c>
      <c r="P27" s="53">
        <f>VLOOKUP($D27,Résultats!$B$2:$AZ$251,P$2,FALSE)</f>
        <v>575.48789090000002</v>
      </c>
      <c r="Q27" s="53">
        <f>VLOOKUP($D27,Résultats!$B$2:$AZ$251,Q$2,FALSE)</f>
        <v>729.43432399999995</v>
      </c>
      <c r="R27" s="53">
        <f>VLOOKUP($D27,Résultats!$B$2:$AZ$251,R$2,FALSE)</f>
        <v>898.21546179999996</v>
      </c>
      <c r="S27" s="53">
        <f>VLOOKUP($D27,Résultats!$B$2:$AZ$251,S$2,FALSE)</f>
        <v>1066.6304749999999</v>
      </c>
      <c r="T27" s="53">
        <f>VLOOKUP($D27,Résultats!$B$2:$AZ$251,T$2,FALSE)</f>
        <v>1209.8203719999999</v>
      </c>
      <c r="U27" s="53">
        <f>VLOOKUP($D27,Résultats!$B$2:$AZ$251,U$2,FALSE)</f>
        <v>1328.035437</v>
      </c>
      <c r="V27" s="53">
        <f>VLOOKUP($D27,Résultats!$B$2:$AZ$251,V$2,FALSE)</f>
        <v>1404.9640529999999</v>
      </c>
      <c r="W27" s="53">
        <f>VLOOKUP($D27,Résultats!$B$2:$AZ$251,W$2,FALSE)</f>
        <v>1449.8668769999999</v>
      </c>
      <c r="X27" s="53">
        <f>VLOOKUP($D27,Résultats!$B$2:$AZ$251,X$2,FALSE)</f>
        <v>1471.1315890000001</v>
      </c>
      <c r="Y27" s="53">
        <f>VLOOKUP($D27,Résultats!$B$2:$AZ$251,Y$2,FALSE)</f>
        <v>1516.017171</v>
      </c>
      <c r="Z27" s="53">
        <f>VLOOKUP($D27,Résultats!$B$2:$AZ$251,Z$2,FALSE)</f>
        <v>1540.7205550000001</v>
      </c>
      <c r="AA27" s="53">
        <f>VLOOKUP($D27,Résultats!$B$2:$AZ$251,AA$2,FALSE)</f>
        <v>1546.200225</v>
      </c>
      <c r="AB27" s="53">
        <f>VLOOKUP($D27,Résultats!$B$2:$AZ$251,AB$2,FALSE)</f>
        <v>1548.296257</v>
      </c>
      <c r="AC27" s="53">
        <f>VLOOKUP($D27,Résultats!$B$2:$AZ$251,AC$2,FALSE)</f>
        <v>1541.0350989999999</v>
      </c>
      <c r="AD27" s="53">
        <f>VLOOKUP($D27,Résultats!$B$2:$AZ$251,AD$2,FALSE)</f>
        <v>1528.014964</v>
      </c>
      <c r="AE27" s="53">
        <f>VLOOKUP($D27,Résultats!$B$2:$AZ$251,AE$2,FALSE)</f>
        <v>1517.137702</v>
      </c>
      <c r="AF27" s="53">
        <f>VLOOKUP($D27,Résultats!$B$2:$AZ$251,AF$2,FALSE)</f>
        <v>1501.110803</v>
      </c>
      <c r="AG27" s="53">
        <f>VLOOKUP($D27,Résultats!$B$2:$AZ$251,AG$2,FALSE)</f>
        <v>1483.6310940000001</v>
      </c>
      <c r="AH27" s="53">
        <f>VLOOKUP($D27,Résultats!$B$2:$AZ$251,AH$2,FALSE)</f>
        <v>1512.5086200000001</v>
      </c>
      <c r="AI27" s="53">
        <f>VLOOKUP($D27,Résultats!$B$2:$AZ$251,AI$2,FALSE)</f>
        <v>1515.1056639999999</v>
      </c>
      <c r="AJ27" s="53">
        <f>VLOOKUP($D27,Résultats!$B$2:$AZ$251,AJ$2,FALSE)</f>
        <v>1509.8617079999999</v>
      </c>
      <c r="AK27" s="53">
        <f>VLOOKUP($D27,Résultats!$B$2:$AZ$251,AK$2,FALSE)</f>
        <v>1501.2214240000001</v>
      </c>
      <c r="AL27" s="53">
        <f>VLOOKUP($D27,Résultats!$B$2:$AZ$251,AL$2,FALSE)</f>
        <v>1488.5223759999999</v>
      </c>
      <c r="AM27" s="213">
        <f>VLOOKUP($D27,Résultats!$B$2:$AZ$251,AM$2,FALSE)</f>
        <v>1458.8236300000001</v>
      </c>
    </row>
    <row r="28" spans="1:39" x14ac:dyDescent="0.25">
      <c r="C28" s="218" t="s">
        <v>27</v>
      </c>
      <c r="D28" s="54" t="s">
        <v>159</v>
      </c>
      <c r="E28" s="25">
        <f>VLOOKUP($D28,Résultats!$B$2:$AZ$251,E$2,FALSE)</f>
        <v>6.4911664299999996E-3</v>
      </c>
      <c r="F28" s="25">
        <f>VLOOKUP($D28,Résultats!$B$2:$AZ$251,F$2,FALSE)</f>
        <v>0.68378275669999999</v>
      </c>
      <c r="G28" s="25">
        <f>VLOOKUP($D28,Résultats!$B$2:$AZ$251,G$2,FALSE)</f>
        <v>1.3283739640000001</v>
      </c>
      <c r="H28" s="25">
        <f>VLOOKUP($D28,Résultats!$B$2:$AZ$251,H$2,FALSE)</f>
        <v>1.94367135</v>
      </c>
      <c r="I28" s="25">
        <f>VLOOKUP($D28,Résultats!$B$2:$AZ$251,I$2,FALSE)</f>
        <v>2.405998914</v>
      </c>
      <c r="J28" s="25">
        <f>VLOOKUP($D28,Résultats!$B$2:$AZ$251,J$2,FALSE)</f>
        <v>2.9422926519999999</v>
      </c>
      <c r="K28" s="25">
        <f>VLOOKUP($D28,Résultats!$B$2:$AZ$251,K$2,FALSE)</f>
        <v>5.8365130880000002</v>
      </c>
      <c r="L28" s="25">
        <f>VLOOKUP($D28,Résultats!$B$2:$AZ$251,L$2,FALSE)</f>
        <v>9.1962523580000006</v>
      </c>
      <c r="M28" s="25">
        <f>VLOOKUP($D28,Résultats!$B$2:$AZ$251,M$2,FALSE)</f>
        <v>14.537072869999999</v>
      </c>
      <c r="N28" s="25">
        <f>VLOOKUP($D28,Résultats!$B$2:$AZ$251,N$2,FALSE)</f>
        <v>19.34504759</v>
      </c>
      <c r="O28" s="25">
        <f>VLOOKUP($D28,Résultats!$B$2:$AZ$251,O$2,FALSE)</f>
        <v>21.24292917</v>
      </c>
      <c r="P28" s="25">
        <f>VLOOKUP($D28,Résultats!$B$2:$AZ$251,P$2,FALSE)</f>
        <v>26.687329850000001</v>
      </c>
      <c r="Q28" s="25">
        <f>VLOOKUP($D28,Résultats!$B$2:$AZ$251,Q$2,FALSE)</f>
        <v>35.601893910000001</v>
      </c>
      <c r="R28" s="25">
        <f>VLOOKUP($D28,Résultats!$B$2:$AZ$251,R$2,FALSE)</f>
        <v>46.08210673</v>
      </c>
      <c r="S28" s="25">
        <f>VLOOKUP($D28,Résultats!$B$2:$AZ$251,S$2,FALSE)</f>
        <v>57.452573219999998</v>
      </c>
      <c r="T28" s="25">
        <f>VLOOKUP($D28,Résultats!$B$2:$AZ$251,T$2,FALSE)</f>
        <v>68.312639129999994</v>
      </c>
      <c r="U28" s="25">
        <f>VLOOKUP($D28,Résultats!$B$2:$AZ$251,U$2,FALSE)</f>
        <v>78.516256179999999</v>
      </c>
      <c r="V28" s="25">
        <f>VLOOKUP($D28,Résultats!$B$2:$AZ$251,V$2,FALSE)</f>
        <v>86.895311809999995</v>
      </c>
      <c r="W28" s="25">
        <f>VLOOKUP($D28,Résultats!$B$2:$AZ$251,W$2,FALSE)</f>
        <v>93.720225549999995</v>
      </c>
      <c r="X28" s="25">
        <f>VLOOKUP($D28,Résultats!$B$2:$AZ$251,X$2,FALSE)</f>
        <v>99.280489709999998</v>
      </c>
      <c r="Y28" s="25">
        <f>VLOOKUP($D28,Résultats!$B$2:$AZ$251,Y$2,FALSE)</f>
        <v>106.688936</v>
      </c>
      <c r="Z28" s="25">
        <f>VLOOKUP($D28,Résultats!$B$2:$AZ$251,Z$2,FALSE)</f>
        <v>112.9456307</v>
      </c>
      <c r="AA28" s="25">
        <f>VLOOKUP($D28,Résultats!$B$2:$AZ$251,AA$2,FALSE)</f>
        <v>118.021035</v>
      </c>
      <c r="AB28" s="25">
        <f>VLOOKUP($D28,Résultats!$B$2:$AZ$251,AB$2,FALSE)</f>
        <v>122.84915239999999</v>
      </c>
      <c r="AC28" s="25">
        <f>VLOOKUP($D28,Résultats!$B$2:$AZ$251,AC$2,FALSE)</f>
        <v>127.04822609999999</v>
      </c>
      <c r="AD28" s="25">
        <f>VLOOKUP($D28,Résultats!$B$2:$AZ$251,AD$2,FALSE)</f>
        <v>129.99084999999999</v>
      </c>
      <c r="AE28" s="25">
        <f>VLOOKUP($D28,Résultats!$B$2:$AZ$251,AE$2,FALSE)</f>
        <v>133.00547700000001</v>
      </c>
      <c r="AF28" s="25">
        <f>VLOOKUP($D28,Résultats!$B$2:$AZ$251,AF$2,FALSE)</f>
        <v>135.62895409999999</v>
      </c>
      <c r="AG28" s="25">
        <f>VLOOKUP($D28,Résultats!$B$2:$AZ$251,AG$2,FALSE)</f>
        <v>138.09338389999999</v>
      </c>
      <c r="AH28" s="25">
        <f>VLOOKUP($D28,Résultats!$B$2:$AZ$251,AH$2,FALSE)</f>
        <v>158.0781159</v>
      </c>
      <c r="AI28" s="25">
        <f>VLOOKUP($D28,Résultats!$B$2:$AZ$251,AI$2,FALSE)</f>
        <v>162.7095387</v>
      </c>
      <c r="AJ28" s="25">
        <f>VLOOKUP($D28,Résultats!$B$2:$AZ$251,AJ$2,FALSE)</f>
        <v>166.53710269999999</v>
      </c>
      <c r="AK28" s="25">
        <f>VLOOKUP($D28,Résultats!$B$2:$AZ$251,AK$2,FALSE)</f>
        <v>169.9928036</v>
      </c>
      <c r="AL28" s="25">
        <f>VLOOKUP($D28,Résultats!$B$2:$AZ$251,AL$2,FALSE)</f>
        <v>172.97051239999999</v>
      </c>
      <c r="AM28" s="102">
        <f>VLOOKUP($D28,Résultats!$B$2:$AZ$251,AM$2,FALSE)</f>
        <v>173.897536</v>
      </c>
    </row>
    <row r="29" spans="1:39" x14ac:dyDescent="0.25">
      <c r="C29" s="218" t="s">
        <v>28</v>
      </c>
      <c r="D29" s="54" t="s">
        <v>160</v>
      </c>
      <c r="E29" s="25">
        <f>VLOOKUP($D29,Résultats!$B$2:$AZ$251,E$2,FALSE)</f>
        <v>1.48797507E-2</v>
      </c>
      <c r="F29" s="25">
        <f>VLOOKUP($D29,Résultats!$B$2:$AZ$251,F$2,FALSE)</f>
        <v>0.66130387420000003</v>
      </c>
      <c r="G29" s="25">
        <f>VLOOKUP($D29,Résultats!$B$2:$AZ$251,G$2,FALSE)</f>
        <v>1.3865165180000001</v>
      </c>
      <c r="H29" s="25">
        <f>VLOOKUP($D29,Résultats!$B$2:$AZ$251,H$2,FALSE)</f>
        <v>1.940106479</v>
      </c>
      <c r="I29" s="25">
        <f>VLOOKUP($D29,Résultats!$B$2:$AZ$251,I$2,FALSE)</f>
        <v>2.2980155980000001</v>
      </c>
      <c r="J29" s="25">
        <f>VLOOKUP($D29,Résultats!$B$2:$AZ$251,J$2,FALSE)</f>
        <v>2.725571988</v>
      </c>
      <c r="K29" s="25">
        <f>VLOOKUP($D29,Résultats!$B$2:$AZ$251,K$2,FALSE)</f>
        <v>4.7480316910000004</v>
      </c>
      <c r="L29" s="25">
        <f>VLOOKUP($D29,Résultats!$B$2:$AZ$251,L$2,FALSE)</f>
        <v>7.0974278489999998</v>
      </c>
      <c r="M29" s="25">
        <f>VLOOKUP($D29,Résultats!$B$2:$AZ$251,M$2,FALSE)</f>
        <v>11.09724215</v>
      </c>
      <c r="N29" s="25">
        <f>VLOOKUP($D29,Résultats!$B$2:$AZ$251,N$2,FALSE)</f>
        <v>14.599398649999999</v>
      </c>
      <c r="O29" s="25">
        <f>VLOOKUP($D29,Résultats!$B$2:$AZ$251,O$2,FALSE)</f>
        <v>15.81577695</v>
      </c>
      <c r="P29" s="25">
        <f>VLOOKUP($D29,Résultats!$B$2:$AZ$251,P$2,FALSE)</f>
        <v>19.62656922</v>
      </c>
      <c r="Q29" s="25">
        <f>VLOOKUP($D29,Résultats!$B$2:$AZ$251,Q$2,FALSE)</f>
        <v>25.87753004</v>
      </c>
      <c r="R29" s="25">
        <f>VLOOKUP($D29,Résultats!$B$2:$AZ$251,R$2,FALSE)</f>
        <v>33.112597940000001</v>
      </c>
      <c r="S29" s="25">
        <f>VLOOKUP($D29,Résultats!$B$2:$AZ$251,S$2,FALSE)</f>
        <v>40.819074360000002</v>
      </c>
      <c r="T29" s="25">
        <f>VLOOKUP($D29,Résultats!$B$2:$AZ$251,T$2,FALSE)</f>
        <v>48.001073759999997</v>
      </c>
      <c r="U29" s="25">
        <f>VLOOKUP($D29,Résultats!$B$2:$AZ$251,U$2,FALSE)</f>
        <v>54.571622509999997</v>
      </c>
      <c r="V29" s="25">
        <f>VLOOKUP($D29,Résultats!$B$2:$AZ$251,V$2,FALSE)</f>
        <v>59.742552879999998</v>
      </c>
      <c r="W29" s="25">
        <f>VLOOKUP($D29,Résultats!$B$2:$AZ$251,W$2,FALSE)</f>
        <v>63.741192480000002</v>
      </c>
      <c r="X29" s="25">
        <f>VLOOKUP($D29,Résultats!$B$2:$AZ$251,X$2,FALSE)</f>
        <v>66.800176289999996</v>
      </c>
      <c r="Y29" s="25">
        <f>VLOOKUP($D29,Résultats!$B$2:$AZ$251,Y$2,FALSE)</f>
        <v>71.021843540000006</v>
      </c>
      <c r="Z29" s="25">
        <f>VLOOKUP($D29,Résultats!$B$2:$AZ$251,Z$2,FALSE)</f>
        <v>74.391141129999994</v>
      </c>
      <c r="AA29" s="25">
        <f>VLOOKUP($D29,Résultats!$B$2:$AZ$251,AA$2,FALSE)</f>
        <v>76.900592149999994</v>
      </c>
      <c r="AB29" s="25">
        <f>VLOOKUP($D29,Résultats!$B$2:$AZ$251,AB$2,FALSE)</f>
        <v>79.203160100000005</v>
      </c>
      <c r="AC29" s="25">
        <f>VLOOKUP($D29,Résultats!$B$2:$AZ$251,AC$2,FALSE)</f>
        <v>81.034973010000002</v>
      </c>
      <c r="AD29" s="25">
        <f>VLOOKUP($D29,Résultats!$B$2:$AZ$251,AD$2,FALSE)</f>
        <v>82.167445639999997</v>
      </c>
      <c r="AE29" s="25">
        <f>VLOOKUP($D29,Résultats!$B$2:$AZ$251,AE$2,FALSE)</f>
        <v>83.333157310000004</v>
      </c>
      <c r="AF29" s="25">
        <f>VLOOKUP($D29,Résultats!$B$2:$AZ$251,AF$2,FALSE)</f>
        <v>84.209670810000006</v>
      </c>
      <c r="AG29" s="25">
        <f>VLOOKUP($D29,Résultats!$B$2:$AZ$251,AG$2,FALSE)</f>
        <v>84.958528369999996</v>
      </c>
      <c r="AH29" s="25">
        <f>VLOOKUP($D29,Résultats!$B$2:$AZ$251,AH$2,FALSE)</f>
        <v>93.629815890000003</v>
      </c>
      <c r="AI29" s="25">
        <f>VLOOKUP($D29,Résultats!$B$2:$AZ$251,AI$2,FALSE)</f>
        <v>95.463181109999894</v>
      </c>
      <c r="AJ29" s="25">
        <f>VLOOKUP($D29,Résultats!$B$2:$AZ$251,AJ$2,FALSE)</f>
        <v>96.77817709</v>
      </c>
      <c r="AK29" s="25">
        <f>VLOOKUP($D29,Résultats!$B$2:$AZ$251,AK$2,FALSE)</f>
        <v>97.837105940000001</v>
      </c>
      <c r="AL29" s="25">
        <f>VLOOKUP($D29,Résultats!$B$2:$AZ$251,AL$2,FALSE)</f>
        <v>98.5850808</v>
      </c>
      <c r="AM29" s="102">
        <f>VLOOKUP($D29,Résultats!$B$2:$AZ$251,AM$2,FALSE)</f>
        <v>98.140663889999999</v>
      </c>
    </row>
    <row r="30" spans="1:39" x14ac:dyDescent="0.25">
      <c r="C30" s="218" t="s">
        <v>29</v>
      </c>
      <c r="D30" s="54" t="s">
        <v>161</v>
      </c>
      <c r="E30" s="25">
        <f>VLOOKUP($D30,Résultats!$B$2:$AZ$251,E$2,FALSE)</f>
        <v>6.0917100299999999E-2</v>
      </c>
      <c r="F30" s="25">
        <f>VLOOKUP($D30,Résultats!$B$2:$AZ$251,F$2,FALSE)</f>
        <v>1.314115492</v>
      </c>
      <c r="G30" s="25">
        <f>VLOOKUP($D30,Résultats!$B$2:$AZ$251,G$2,FALSE)</f>
        <v>3.1102312780000001</v>
      </c>
      <c r="H30" s="25">
        <f>VLOOKUP($D30,Résultats!$B$2:$AZ$251,H$2,FALSE)</f>
        <v>4.064051246</v>
      </c>
      <c r="I30" s="25">
        <f>VLOOKUP($D30,Résultats!$B$2:$AZ$251,I$2,FALSE)</f>
        <v>4.467493181</v>
      </c>
      <c r="J30" s="25">
        <f>VLOOKUP($D30,Résultats!$B$2:$AZ$251,J$2,FALSE)</f>
        <v>5.0079634899999999</v>
      </c>
      <c r="K30" s="25">
        <f>VLOOKUP($D30,Résultats!$B$2:$AZ$251,K$2,FALSE)</f>
        <v>6.5364625780000001</v>
      </c>
      <c r="L30" s="25">
        <f>VLOOKUP($D30,Résultats!$B$2:$AZ$251,L$2,FALSE)</f>
        <v>8.4860431280000004</v>
      </c>
      <c r="M30" s="25">
        <f>VLOOKUP($D30,Résultats!$B$2:$AZ$251,M$2,FALSE)</f>
        <v>12.86506589</v>
      </c>
      <c r="N30" s="25">
        <f>VLOOKUP($D30,Résultats!$B$2:$AZ$251,N$2,FALSE)</f>
        <v>16.378585269999999</v>
      </c>
      <c r="O30" s="25">
        <f>VLOOKUP($D30,Résultats!$B$2:$AZ$251,O$2,FALSE)</f>
        <v>17.05589573</v>
      </c>
      <c r="P30" s="25">
        <f>VLOOKUP($D30,Résultats!$B$2:$AZ$251,P$2,FALSE)</f>
        <v>20.410035260000001</v>
      </c>
      <c r="Q30" s="25">
        <f>VLOOKUP($D30,Résultats!$B$2:$AZ$251,Q$2,FALSE)</f>
        <v>25.982460280000002</v>
      </c>
      <c r="R30" s="25">
        <f>VLOOKUP($D30,Résultats!$B$2:$AZ$251,R$2,FALSE)</f>
        <v>32.110664249999999</v>
      </c>
      <c r="S30" s="25">
        <f>VLOOKUP($D30,Résultats!$B$2:$AZ$251,S$2,FALSE)</f>
        <v>38.240550800000001</v>
      </c>
      <c r="T30" s="25">
        <f>VLOOKUP($D30,Résultats!$B$2:$AZ$251,T$2,FALSE)</f>
        <v>43.462124580000001</v>
      </c>
      <c r="U30" s="25">
        <f>VLOOKUP($D30,Résultats!$B$2:$AZ$251,U$2,FALSE)</f>
        <v>47.764565189999999</v>
      </c>
      <c r="V30" s="25">
        <f>VLOOKUP($D30,Résultats!$B$2:$AZ$251,V$2,FALSE)</f>
        <v>50.544346750000003</v>
      </c>
      <c r="W30" s="25">
        <f>VLOOKUP($D30,Résultats!$B$2:$AZ$251,W$2,FALSE)</f>
        <v>52.122440900000001</v>
      </c>
      <c r="X30" s="25">
        <f>VLOOKUP($D30,Résultats!$B$2:$AZ$251,X$2,FALSE)</f>
        <v>52.794960449999998</v>
      </c>
      <c r="Y30" s="25">
        <f>VLOOKUP($D30,Résultats!$B$2:$AZ$251,Y$2,FALSE)</f>
        <v>54.253381109999999</v>
      </c>
      <c r="Z30" s="25">
        <f>VLOOKUP($D30,Résultats!$B$2:$AZ$251,Z$2,FALSE)</f>
        <v>54.92199857</v>
      </c>
      <c r="AA30" s="25">
        <f>VLOOKUP($D30,Résultats!$B$2:$AZ$251,AA$2,FALSE)</f>
        <v>54.833668000000003</v>
      </c>
      <c r="AB30" s="25">
        <f>VLOOKUP($D30,Résultats!$B$2:$AZ$251,AB$2,FALSE)</f>
        <v>54.563944579999998</v>
      </c>
      <c r="AC30" s="25">
        <f>VLOOKUP($D30,Résultats!$B$2:$AZ$251,AC$2,FALSE)</f>
        <v>53.894147240000002</v>
      </c>
      <c r="AD30" s="25">
        <f>VLOOKUP($D30,Résultats!$B$2:$AZ$251,AD$2,FALSE)</f>
        <v>53.042635140000002</v>
      </c>
      <c r="AE30" s="25">
        <f>VLOOKUP($D30,Résultats!$B$2:$AZ$251,AE$2,FALSE)</f>
        <v>52.234035839999997</v>
      </c>
      <c r="AF30" s="25">
        <f>VLOOKUP($D30,Résultats!$B$2:$AZ$251,AF$2,FALSE)</f>
        <v>51.198451300000002</v>
      </c>
      <c r="AG30" s="25">
        <f>VLOOKUP($D30,Résultats!$B$2:$AZ$251,AG$2,FALSE)</f>
        <v>50.073071349999999</v>
      </c>
      <c r="AH30" s="25">
        <f>VLOOKUP($D30,Résultats!$B$2:$AZ$251,AH$2,FALSE)</f>
        <v>48.313854659999997</v>
      </c>
      <c r="AI30" s="25">
        <f>VLOOKUP($D30,Résultats!$B$2:$AZ$251,AI$2,FALSE)</f>
        <v>47.592623670000002</v>
      </c>
      <c r="AJ30" s="25">
        <f>VLOOKUP($D30,Résultats!$B$2:$AZ$251,AJ$2,FALSE)</f>
        <v>46.573196269999997</v>
      </c>
      <c r="AK30" s="25">
        <f>VLOOKUP($D30,Résultats!$B$2:$AZ$251,AK$2,FALSE)</f>
        <v>45.404017160000002</v>
      </c>
      <c r="AL30" s="25">
        <f>VLOOKUP($D30,Résultats!$B$2:$AZ$251,AL$2,FALSE)</f>
        <v>44.071945399999997</v>
      </c>
      <c r="AM30" s="102">
        <f>VLOOKUP($D30,Résultats!$B$2:$AZ$251,AM$2,FALSE)</f>
        <v>42.209788469999999</v>
      </c>
    </row>
    <row r="31" spans="1:39" x14ac:dyDescent="0.25">
      <c r="C31" s="218" t="s">
        <v>30</v>
      </c>
      <c r="D31" s="54" t="s">
        <v>162</v>
      </c>
      <c r="E31" s="25">
        <f>VLOOKUP($D31,Résultats!$B$2:$AZ$251,E$2,FALSE)</f>
        <v>1.431052537</v>
      </c>
      <c r="F31" s="25">
        <f>VLOOKUP($D31,Résultats!$B$2:$AZ$251,F$2,FALSE)</f>
        <v>27.40934601</v>
      </c>
      <c r="G31" s="25">
        <f>VLOOKUP($D31,Résultats!$B$2:$AZ$251,G$2,FALSE)</f>
        <v>66.538671199999996</v>
      </c>
      <c r="H31" s="25">
        <f>VLOOKUP($D31,Résultats!$B$2:$AZ$251,H$2,FALSE)</f>
        <v>85.730960850000002</v>
      </c>
      <c r="I31" s="25">
        <f>VLOOKUP($D31,Résultats!$B$2:$AZ$251,I$2,FALSE)</f>
        <v>92.732766380000001</v>
      </c>
      <c r="J31" s="25">
        <f>VLOOKUP($D31,Résultats!$B$2:$AZ$251,J$2,FALSE)</f>
        <v>102.63581910000001</v>
      </c>
      <c r="K31" s="25">
        <f>VLOOKUP($D31,Résultats!$B$2:$AZ$251,K$2,FALSE)</f>
        <v>124.8599912</v>
      </c>
      <c r="L31" s="25">
        <f>VLOOKUP($D31,Résultats!$B$2:$AZ$251,L$2,FALSE)</f>
        <v>156.59574330000001</v>
      </c>
      <c r="M31" s="25">
        <f>VLOOKUP($D31,Résultats!$B$2:$AZ$251,M$2,FALSE)</f>
        <v>235.70430200000001</v>
      </c>
      <c r="N31" s="25">
        <f>VLOOKUP($D31,Résultats!$B$2:$AZ$251,N$2,FALSE)</f>
        <v>297.86833799999999</v>
      </c>
      <c r="O31" s="25">
        <f>VLOOKUP($D31,Résultats!$B$2:$AZ$251,O$2,FALSE)</f>
        <v>307.57074999999998</v>
      </c>
      <c r="P31" s="25">
        <f>VLOOKUP($D31,Résultats!$B$2:$AZ$251,P$2,FALSE)</f>
        <v>365.37948010000002</v>
      </c>
      <c r="Q31" s="25">
        <f>VLOOKUP($D31,Résultats!$B$2:$AZ$251,Q$2,FALSE)</f>
        <v>462.11370849999997</v>
      </c>
      <c r="R31" s="25">
        <f>VLOOKUP($D31,Résultats!$B$2:$AZ$251,R$2,FALSE)</f>
        <v>567.76440979999995</v>
      </c>
      <c r="S31" s="25">
        <f>VLOOKUP($D31,Résultats!$B$2:$AZ$251,S$2,FALSE)</f>
        <v>672.66141100000004</v>
      </c>
      <c r="T31" s="25">
        <f>VLOOKUP($D31,Résultats!$B$2:$AZ$251,T$2,FALSE)</f>
        <v>761.16084609999996</v>
      </c>
      <c r="U31" s="25">
        <f>VLOOKUP($D31,Résultats!$B$2:$AZ$251,U$2,FALSE)</f>
        <v>833.51038189999997</v>
      </c>
      <c r="V31" s="25">
        <f>VLOOKUP($D31,Résultats!$B$2:$AZ$251,V$2,FALSE)</f>
        <v>879.58836029999998</v>
      </c>
      <c r="W31" s="25">
        <f>VLOOKUP($D31,Résultats!$B$2:$AZ$251,W$2,FALSE)</f>
        <v>905.36598019999997</v>
      </c>
      <c r="X31" s="25">
        <f>VLOOKUP($D31,Résultats!$B$2:$AZ$251,X$2,FALSE)</f>
        <v>916.22666489999995</v>
      </c>
      <c r="Y31" s="25">
        <f>VLOOKUP($D31,Résultats!$B$2:$AZ$251,Y$2,FALSE)</f>
        <v>941.64800400000001</v>
      </c>
      <c r="Z31" s="25">
        <f>VLOOKUP($D31,Résultats!$B$2:$AZ$251,Z$2,FALSE)</f>
        <v>954.37514550000003</v>
      </c>
      <c r="AA31" s="25">
        <f>VLOOKUP($D31,Résultats!$B$2:$AZ$251,AA$2,FALSE)</f>
        <v>955.06019949999995</v>
      </c>
      <c r="AB31" s="25">
        <f>VLOOKUP($D31,Résultats!$B$2:$AZ$251,AB$2,FALSE)</f>
        <v>953.64753780000001</v>
      </c>
      <c r="AC31" s="25">
        <f>VLOOKUP($D31,Résultats!$B$2:$AZ$251,AC$2,FALSE)</f>
        <v>946.40526</v>
      </c>
      <c r="AD31" s="25">
        <f>VLOOKUP($D31,Résultats!$B$2:$AZ$251,AD$2,FALSE)</f>
        <v>936.07992769999998</v>
      </c>
      <c r="AE31" s="25">
        <f>VLOOKUP($D31,Résultats!$B$2:$AZ$251,AE$2,FALSE)</f>
        <v>927.13217080000004</v>
      </c>
      <c r="AF31" s="25">
        <f>VLOOKUP($D31,Résultats!$B$2:$AZ$251,AF$2,FALSE)</f>
        <v>915.00388569999996</v>
      </c>
      <c r="AG31" s="25">
        <f>VLOOKUP($D31,Résultats!$B$2:$AZ$251,AG$2,FALSE)</f>
        <v>902.00811529999999</v>
      </c>
      <c r="AH31" s="25">
        <f>VLOOKUP($D31,Résultats!$B$2:$AZ$251,AH$2,FALSE)</f>
        <v>909.58517180000001</v>
      </c>
      <c r="AI31" s="25">
        <f>VLOOKUP($D31,Résultats!$B$2:$AZ$251,AI$2,FALSE)</f>
        <v>908.64273960000003</v>
      </c>
      <c r="AJ31" s="25">
        <f>VLOOKUP($D31,Résultats!$B$2:$AZ$251,AJ$2,FALSE)</f>
        <v>902.98161000000005</v>
      </c>
      <c r="AK31" s="25">
        <f>VLOOKUP($D31,Résultats!$B$2:$AZ$251,AK$2,FALSE)</f>
        <v>895.29395520000003</v>
      </c>
      <c r="AL31" s="25">
        <f>VLOOKUP($D31,Résultats!$B$2:$AZ$251,AL$2,FALSE)</f>
        <v>885.20306730000004</v>
      </c>
      <c r="AM31" s="102">
        <f>VLOOKUP($D31,Résultats!$B$2:$AZ$251,AM$2,FALSE)</f>
        <v>865.05290890000003</v>
      </c>
    </row>
    <row r="32" spans="1:39" x14ac:dyDescent="0.25">
      <c r="C32" s="218" t="s">
        <v>31</v>
      </c>
      <c r="D32" s="54" t="s">
        <v>163</v>
      </c>
      <c r="E32" s="25">
        <f>VLOOKUP($D32,Résultats!$B$2:$AZ$251,E$2,FALSE)</f>
        <v>0.56403243039999995</v>
      </c>
      <c r="F32" s="25">
        <f>VLOOKUP($D32,Résultats!$B$2:$AZ$251,F$2,FALSE)</f>
        <v>10.499608390000001</v>
      </c>
      <c r="G32" s="25">
        <f>VLOOKUP($D32,Résultats!$B$2:$AZ$251,G$2,FALSE)</f>
        <v>25.668889579999998</v>
      </c>
      <c r="H32" s="25">
        <f>VLOOKUP($D32,Résultats!$B$2:$AZ$251,H$2,FALSE)</f>
        <v>32.946646780000002</v>
      </c>
      <c r="I32" s="25">
        <f>VLOOKUP($D32,Résultats!$B$2:$AZ$251,I$2,FALSE)</f>
        <v>35.472550269999999</v>
      </c>
      <c r="J32" s="25">
        <f>VLOOKUP($D32,Résultats!$B$2:$AZ$251,J$2,FALSE)</f>
        <v>39.109051559999997</v>
      </c>
      <c r="K32" s="25">
        <f>VLOOKUP($D32,Résultats!$B$2:$AZ$251,K$2,FALSE)</f>
        <v>46.359011809999998</v>
      </c>
      <c r="L32" s="25">
        <f>VLOOKUP($D32,Résultats!$B$2:$AZ$251,L$2,FALSE)</f>
        <v>57.144432960000003</v>
      </c>
      <c r="M32" s="25">
        <f>VLOOKUP($D32,Résultats!$B$2:$AZ$251,M$2,FALSE)</f>
        <v>85.646916809999894</v>
      </c>
      <c r="N32" s="25">
        <f>VLOOKUP($D32,Résultats!$B$2:$AZ$251,N$2,FALSE)</f>
        <v>107.7256867</v>
      </c>
      <c r="O32" s="25">
        <f>VLOOKUP($D32,Résultats!$B$2:$AZ$251,O$2,FALSE)</f>
        <v>110.5759714</v>
      </c>
      <c r="P32" s="25">
        <f>VLOOKUP($D32,Résultats!$B$2:$AZ$251,P$2,FALSE)</f>
        <v>130.61091830000001</v>
      </c>
      <c r="Q32" s="25">
        <f>VLOOKUP($D32,Résultats!$B$2:$AZ$251,Q$2,FALSE)</f>
        <v>164.2455448</v>
      </c>
      <c r="R32" s="25">
        <f>VLOOKUP($D32,Résultats!$B$2:$AZ$251,R$2,FALSE)</f>
        <v>200.61170139999999</v>
      </c>
      <c r="S32" s="25">
        <f>VLOOKUP($D32,Résultats!$B$2:$AZ$251,S$2,FALSE)</f>
        <v>236.24516209999999</v>
      </c>
      <c r="T32" s="25">
        <f>VLOOKUP($D32,Résultats!$B$2:$AZ$251,T$2,FALSE)</f>
        <v>265.69272480000001</v>
      </c>
      <c r="U32" s="25">
        <f>VLOOKUP($D32,Résultats!$B$2:$AZ$251,U$2,FALSE)</f>
        <v>289.13314309999998</v>
      </c>
      <c r="V32" s="25">
        <f>VLOOKUP($D32,Résultats!$B$2:$AZ$251,V$2,FALSE)</f>
        <v>303.16906749999998</v>
      </c>
      <c r="W32" s="25">
        <f>VLOOKUP($D32,Résultats!$B$2:$AZ$251,W$2,FALSE)</f>
        <v>310.02065229999999</v>
      </c>
      <c r="X32" s="25">
        <f>VLOOKUP($D32,Résultats!$B$2:$AZ$251,X$2,FALSE)</f>
        <v>311.6649888</v>
      </c>
      <c r="Y32" s="25">
        <f>VLOOKUP($D32,Résultats!$B$2:$AZ$251,Y$2,FALSE)</f>
        <v>318.17305520000002</v>
      </c>
      <c r="Z32" s="25">
        <f>VLOOKUP($D32,Résultats!$B$2:$AZ$251,Z$2,FALSE)</f>
        <v>320.3007326</v>
      </c>
      <c r="AA32" s="25">
        <f>VLOOKUP($D32,Résultats!$B$2:$AZ$251,AA$2,FALSE)</f>
        <v>318.32138070000002</v>
      </c>
      <c r="AB32" s="25">
        <f>VLOOKUP($D32,Résultats!$B$2:$AZ$251,AB$2,FALSE)</f>
        <v>315.68412660000001</v>
      </c>
      <c r="AC32" s="25">
        <f>VLOOKUP($D32,Résultats!$B$2:$AZ$251,AC$2,FALSE)</f>
        <v>311.11397219999998</v>
      </c>
      <c r="AD32" s="25">
        <f>VLOOKUP($D32,Résultats!$B$2:$AZ$251,AD$2,FALSE)</f>
        <v>305.92716869999998</v>
      </c>
      <c r="AE32" s="25">
        <f>VLOOKUP($D32,Résultats!$B$2:$AZ$251,AE$2,FALSE)</f>
        <v>301.27667380000003</v>
      </c>
      <c r="AF32" s="25">
        <f>VLOOKUP($D32,Résultats!$B$2:$AZ$251,AF$2,FALSE)</f>
        <v>295.60483720000002</v>
      </c>
      <c r="AG32" s="25">
        <f>VLOOKUP($D32,Résultats!$B$2:$AZ$251,AG$2,FALSE)</f>
        <v>289.70514589999999</v>
      </c>
      <c r="AH32" s="25">
        <f>VLOOKUP($D32,Résultats!$B$2:$AZ$251,AH$2,FALSE)</f>
        <v>285.30796629999998</v>
      </c>
      <c r="AI32" s="25">
        <f>VLOOKUP($D32,Résultats!$B$2:$AZ$251,AI$2,FALSE)</f>
        <v>283.3924543</v>
      </c>
      <c r="AJ32" s="25">
        <f>VLOOKUP($D32,Résultats!$B$2:$AZ$251,AJ$2,FALSE)</f>
        <v>280.04079209999998</v>
      </c>
      <c r="AK32" s="25">
        <f>VLOOKUP($D32,Résultats!$B$2:$AZ$251,AK$2,FALSE)</f>
        <v>276.11027730000001</v>
      </c>
      <c r="AL32" s="25">
        <f>VLOOKUP($D32,Résultats!$B$2:$AZ$251,AL$2,FALSE)</f>
        <v>271.4963328</v>
      </c>
      <c r="AM32" s="102">
        <f>VLOOKUP($D32,Résultats!$B$2:$AZ$251,AM$2,FALSE)</f>
        <v>263.87416639999998</v>
      </c>
    </row>
    <row r="33" spans="2:39" x14ac:dyDescent="0.25">
      <c r="C33" s="218" t="s">
        <v>32</v>
      </c>
      <c r="D33" s="54" t="s">
        <v>164</v>
      </c>
      <c r="E33" s="25">
        <f>VLOOKUP($D33,Résultats!$B$2:$AZ$251,E$2,FALSE)</f>
        <v>7.6895356100000001E-3</v>
      </c>
      <c r="F33" s="25">
        <f>VLOOKUP($D33,Résultats!$B$2:$AZ$251,F$2,FALSE)</f>
        <v>4.1772179499999999E-2</v>
      </c>
      <c r="G33" s="25">
        <f>VLOOKUP($D33,Résultats!$B$2:$AZ$251,G$2,FALSE)</f>
        <v>0.1013765214</v>
      </c>
      <c r="H33" s="25">
        <f>VLOOKUP($D33,Résultats!$B$2:$AZ$251,H$2,FALSE)</f>
        <v>0.13063648850000001</v>
      </c>
      <c r="I33" s="25">
        <f>VLOOKUP($D33,Résultats!$B$2:$AZ$251,I$2,FALSE)</f>
        <v>0.1413354486</v>
      </c>
      <c r="J33" s="25">
        <f>VLOOKUP($D33,Résultats!$B$2:$AZ$251,J$2,FALSE)</f>
        <v>0.1564603688</v>
      </c>
      <c r="K33" s="25">
        <f>VLOOKUP($D33,Résultats!$B$2:$AZ$251,K$2,FALSE)</f>
        <v>0.1907106429</v>
      </c>
      <c r="L33" s="25">
        <f>VLOOKUP($D33,Résultats!$B$2:$AZ$251,L$2,FALSE)</f>
        <v>0.23962728259999999</v>
      </c>
      <c r="M33" s="25">
        <f>VLOOKUP($D33,Résultats!$B$2:$AZ$251,M$2,FALSE)</f>
        <v>0.36086957580000001</v>
      </c>
      <c r="N33" s="25">
        <f>VLOOKUP($D33,Résultats!$B$2:$AZ$251,N$2,FALSE)</f>
        <v>0.4563214827</v>
      </c>
      <c r="O33" s="25">
        <f>VLOOKUP($D33,Résultats!$B$2:$AZ$251,O$2,FALSE)</f>
        <v>0.47156639420000002</v>
      </c>
      <c r="P33" s="25">
        <f>VLOOKUP($D33,Résultats!$B$2:$AZ$251,P$2,FALSE)</f>
        <v>0.56066037319999995</v>
      </c>
      <c r="Q33" s="25">
        <f>VLOOKUP($D33,Résultats!$B$2:$AZ$251,Q$2,FALSE)</f>
        <v>0.70971451289999998</v>
      </c>
      <c r="R33" s="25">
        <f>VLOOKUP($D33,Résultats!$B$2:$AZ$251,R$2,FALSE)</f>
        <v>0.87279600599999996</v>
      </c>
      <c r="S33" s="25">
        <f>VLOOKUP($D33,Résultats!$B$2:$AZ$251,S$2,FALSE)</f>
        <v>1.0351014510000001</v>
      </c>
      <c r="T33" s="25">
        <f>VLOOKUP($D33,Résultats!$B$2:$AZ$251,T$2,FALSE)</f>
        <v>1.1725574919999999</v>
      </c>
      <c r="U33" s="25">
        <f>VLOOKUP($D33,Résultats!$B$2:$AZ$251,U$2,FALSE)</f>
        <v>1.285502379</v>
      </c>
      <c r="V33" s="25">
        <f>VLOOKUP($D33,Résultats!$B$2:$AZ$251,V$2,FALSE)</f>
        <v>1.3582580879999999</v>
      </c>
      <c r="W33" s="25">
        <f>VLOOKUP($D33,Résultats!$B$2:$AZ$251,W$2,FALSE)</f>
        <v>1.39992626</v>
      </c>
      <c r="X33" s="25">
        <f>VLOOKUP($D33,Résultats!$B$2:$AZ$251,X$2,FALSE)</f>
        <v>1.4187240059999999</v>
      </c>
      <c r="Y33" s="25">
        <f>VLOOKUP($D33,Résultats!$B$2:$AZ$251,Y$2,FALSE)</f>
        <v>1.4602660300000001</v>
      </c>
      <c r="Z33" s="25">
        <f>VLOOKUP($D33,Résultats!$B$2:$AZ$251,Z$2,FALSE)</f>
        <v>1.482333476</v>
      </c>
      <c r="AA33" s="25">
        <f>VLOOKUP($D33,Résultats!$B$2:$AZ$251,AA$2,FALSE)</f>
        <v>1.485893884</v>
      </c>
      <c r="AB33" s="25">
        <f>VLOOKUP($D33,Résultats!$B$2:$AZ$251,AB$2,FALSE)</f>
        <v>1.486273422</v>
      </c>
      <c r="AC33" s="25">
        <f>VLOOKUP($D33,Résultats!$B$2:$AZ$251,AC$2,FALSE)</f>
        <v>1.4777067370000001</v>
      </c>
      <c r="AD33" s="25">
        <f>VLOOKUP($D33,Résultats!$B$2:$AZ$251,AD$2,FALSE)</f>
        <v>1.46393748</v>
      </c>
      <c r="AE33" s="25">
        <f>VLOOKUP($D33,Résultats!$B$2:$AZ$251,AE$2,FALSE)</f>
        <v>1.452307609</v>
      </c>
      <c r="AF33" s="25">
        <f>VLOOKUP($D33,Résultats!$B$2:$AZ$251,AF$2,FALSE)</f>
        <v>1.4357812430000001</v>
      </c>
      <c r="AG33" s="25">
        <f>VLOOKUP($D33,Résultats!$B$2:$AZ$251,AG$2,FALSE)</f>
        <v>1.417925203</v>
      </c>
      <c r="AH33" s="25">
        <f>VLOOKUP($D33,Résultats!$B$2:$AZ$251,AH$2,FALSE)</f>
        <v>1.4412072359999999</v>
      </c>
      <c r="AI33" s="25">
        <f>VLOOKUP($D33,Résultats!$B$2:$AZ$251,AI$2,FALSE)</f>
        <v>1.4427245799999999</v>
      </c>
      <c r="AJ33" s="25">
        <f>VLOOKUP($D33,Résultats!$B$2:$AZ$251,AJ$2,FALSE)</f>
        <v>1.4368167709999999</v>
      </c>
      <c r="AK33" s="25">
        <f>VLOOKUP($D33,Résultats!$B$2:$AZ$251,AK$2,FALSE)</f>
        <v>1.4277248680000001</v>
      </c>
      <c r="AL33" s="25">
        <f>VLOOKUP($D33,Résultats!$B$2:$AZ$251,AL$2,FALSE)</f>
        <v>1.4148236999999999</v>
      </c>
      <c r="AM33" s="102">
        <f>VLOOKUP($D33,Résultats!$B$2:$AZ$251,AM$2,FALSE)</f>
        <v>1.3858239130000001</v>
      </c>
    </row>
    <row r="34" spans="2:39" x14ac:dyDescent="0.25">
      <c r="C34" s="218" t="s">
        <v>33</v>
      </c>
      <c r="D34" s="54" t="s">
        <v>165</v>
      </c>
      <c r="E34" s="55">
        <f>VLOOKUP($D34,Résultats!$B$2:$AZ$251,E$2,FALSE)</f>
        <v>9.4471437500000005E-2</v>
      </c>
      <c r="F34" s="55">
        <f>VLOOKUP($D34,Résultats!$B$2:$AZ$251,F$2,FALSE)</f>
        <v>1.465669935</v>
      </c>
      <c r="G34" s="55">
        <f>VLOOKUP($D34,Résultats!$B$2:$AZ$251,G$2,FALSE)</f>
        <v>3.7451084899999998</v>
      </c>
      <c r="H34" s="55">
        <f>VLOOKUP($D34,Résultats!$B$2:$AZ$251,H$2,FALSE)</f>
        <v>4.6927164049999996</v>
      </c>
      <c r="I34" s="55">
        <f>VLOOKUP($D34,Résultats!$B$2:$AZ$251,I$2,FALSE)</f>
        <v>4.9082208730000003</v>
      </c>
      <c r="J34" s="55">
        <f>VLOOKUP($D34,Résultats!$B$2:$AZ$251,J$2,FALSE)</f>
        <v>5.2831436119999999</v>
      </c>
      <c r="K34" s="55">
        <f>VLOOKUP($D34,Résultats!$B$2:$AZ$251,K$2,FALSE)</f>
        <v>5.3572704340000001</v>
      </c>
      <c r="L34" s="55">
        <f>VLOOKUP($D34,Résultats!$B$2:$AZ$251,L$2,FALSE)</f>
        <v>5.9795678499999996</v>
      </c>
      <c r="M34" s="55">
        <f>VLOOKUP($D34,Résultats!$B$2:$AZ$251,M$2,FALSE)</f>
        <v>8.7515333050000006</v>
      </c>
      <c r="N34" s="55">
        <f>VLOOKUP($D34,Résultats!$B$2:$AZ$251,N$2,FALSE)</f>
        <v>10.724920429999999</v>
      </c>
      <c r="O34" s="55">
        <f>VLOOKUP($D34,Résultats!$B$2:$AZ$251,O$2,FALSE)</f>
        <v>10.65938401</v>
      </c>
      <c r="P34" s="55">
        <f>VLOOKUP($D34,Résultats!$B$2:$AZ$251,P$2,FALSE)</f>
        <v>12.212897870000001</v>
      </c>
      <c r="Q34" s="55">
        <f>VLOOKUP($D34,Résultats!$B$2:$AZ$251,Q$2,FALSE)</f>
        <v>14.903472020000001</v>
      </c>
      <c r="R34" s="55">
        <f>VLOOKUP($D34,Résultats!$B$2:$AZ$251,R$2,FALSE)</f>
        <v>17.66118565</v>
      </c>
      <c r="S34" s="55">
        <f>VLOOKUP($D34,Résultats!$B$2:$AZ$251,S$2,FALSE)</f>
        <v>20.17660167</v>
      </c>
      <c r="T34" s="55">
        <f>VLOOKUP($D34,Résultats!$B$2:$AZ$251,T$2,FALSE)</f>
        <v>22.018406209999998</v>
      </c>
      <c r="U34" s="55">
        <f>VLOOKUP($D34,Résultats!$B$2:$AZ$251,U$2,FALSE)</f>
        <v>23.25396624</v>
      </c>
      <c r="V34" s="55">
        <f>VLOOKUP($D34,Résultats!$B$2:$AZ$251,V$2,FALSE)</f>
        <v>23.666156130000001</v>
      </c>
      <c r="W34" s="55">
        <f>VLOOKUP($D34,Résultats!$B$2:$AZ$251,W$2,FALSE)</f>
        <v>23.496459779999999</v>
      </c>
      <c r="X34" s="55">
        <f>VLOOKUP($D34,Résultats!$B$2:$AZ$251,X$2,FALSE)</f>
        <v>22.945584620000002</v>
      </c>
      <c r="Y34" s="55">
        <f>VLOOKUP($D34,Résultats!$B$2:$AZ$251,Y$2,FALSE)</f>
        <v>22.771685170000001</v>
      </c>
      <c r="Z34" s="55">
        <f>VLOOKUP($D34,Résultats!$B$2:$AZ$251,Z$2,FALSE)</f>
        <v>22.30357287</v>
      </c>
      <c r="AA34" s="55">
        <f>VLOOKUP($D34,Résultats!$B$2:$AZ$251,AA$2,FALSE)</f>
        <v>21.577455950000001</v>
      </c>
      <c r="AB34" s="55">
        <f>VLOOKUP($D34,Résultats!$B$2:$AZ$251,AB$2,FALSE)</f>
        <v>20.8620625</v>
      </c>
      <c r="AC34" s="55">
        <f>VLOOKUP($D34,Résultats!$B$2:$AZ$251,AC$2,FALSE)</f>
        <v>20.060813629999998</v>
      </c>
      <c r="AD34" s="55">
        <f>VLOOKUP($D34,Résultats!$B$2:$AZ$251,AD$2,FALSE)</f>
        <v>19.342998940000001</v>
      </c>
      <c r="AE34" s="55">
        <f>VLOOKUP($D34,Résultats!$B$2:$AZ$251,AE$2,FALSE)</f>
        <v>18.703879579999999</v>
      </c>
      <c r="AF34" s="55">
        <f>VLOOKUP($D34,Résultats!$B$2:$AZ$251,AF$2,FALSE)</f>
        <v>18.029222770000001</v>
      </c>
      <c r="AG34" s="55">
        <f>VLOOKUP($D34,Résultats!$B$2:$AZ$251,AG$2,FALSE)</f>
        <v>17.3749243</v>
      </c>
      <c r="AH34" s="55">
        <f>VLOOKUP($D34,Résultats!$B$2:$AZ$251,AH$2,FALSE)</f>
        <v>16.152488720000001</v>
      </c>
      <c r="AI34" s="55">
        <f>VLOOKUP($D34,Résultats!$B$2:$AZ$251,AI$2,FALSE)</f>
        <v>15.86240227</v>
      </c>
      <c r="AJ34" s="55">
        <f>VLOOKUP($D34,Résultats!$B$2:$AZ$251,AJ$2,FALSE)</f>
        <v>15.51401323</v>
      </c>
      <c r="AK34" s="55">
        <f>VLOOKUP($D34,Résultats!$B$2:$AZ$251,AK$2,FALSE)</f>
        <v>15.15553953</v>
      </c>
      <c r="AL34" s="55">
        <f>VLOOKUP($D34,Résultats!$B$2:$AZ$251,AL$2,FALSE)</f>
        <v>14.78061389</v>
      </c>
      <c r="AM34" s="214">
        <f>VLOOKUP($D34,Résultats!$B$2:$AZ$251,AM$2,FALSE)</f>
        <v>14.262742299999999</v>
      </c>
    </row>
    <row r="35" spans="2:39" x14ac:dyDescent="0.25">
      <c r="C35" s="217" t="s">
        <v>46</v>
      </c>
      <c r="D35" s="52" t="s">
        <v>150</v>
      </c>
      <c r="E35" s="53">
        <f>VLOOKUP($D35,Résultats!$B$2:$AZ$251,E$2,FALSE)</f>
        <v>2370.8204660000001</v>
      </c>
      <c r="F35" s="53">
        <f>VLOOKUP($D35,Résultats!$B$2:$AZ$251,F$2,FALSE)</f>
        <v>1898.3114009999999</v>
      </c>
      <c r="G35" s="53">
        <f>VLOOKUP($D35,Résultats!$B$2:$AZ$251,G$2,FALSE)</f>
        <v>2101.8628319999998</v>
      </c>
      <c r="H35" s="53">
        <f>VLOOKUP($D35,Résultats!$B$2:$AZ$251,H$2,FALSE)</f>
        <v>2108.8532100000002</v>
      </c>
      <c r="I35" s="53">
        <f>VLOOKUP($D35,Résultats!$B$2:$AZ$251,I$2,FALSE)</f>
        <v>1788.4022970000001</v>
      </c>
      <c r="J35" s="53">
        <f>VLOOKUP($D35,Résultats!$B$2:$AZ$251,J$2,FALSE)</f>
        <v>1563.294492</v>
      </c>
      <c r="K35" s="53">
        <f>VLOOKUP($D35,Résultats!$B$2:$AZ$251,K$2,FALSE)</f>
        <v>1526.5019460000001</v>
      </c>
      <c r="L35" s="53">
        <f>VLOOKUP($D35,Résultats!$B$2:$AZ$251,L$2,FALSE)</f>
        <v>1545.946475</v>
      </c>
      <c r="M35" s="53">
        <f>VLOOKUP($D35,Résultats!$B$2:$AZ$251,M$2,FALSE)</f>
        <v>1888.7386140000001</v>
      </c>
      <c r="N35" s="53">
        <f>VLOOKUP($D35,Résultats!$B$2:$AZ$251,N$2,FALSE)</f>
        <v>1959.533052</v>
      </c>
      <c r="O35" s="53">
        <f>VLOOKUP($D35,Résultats!$B$2:$AZ$251,O$2,FALSE)</f>
        <v>1558.2907929999999</v>
      </c>
      <c r="P35" s="53">
        <f>VLOOKUP($D35,Résultats!$B$2:$AZ$251,P$2,FALSE)</f>
        <v>1284.7933949999999</v>
      </c>
      <c r="Q35" s="53">
        <f>VLOOKUP($D35,Résultats!$B$2:$AZ$251,Q$2,FALSE)</f>
        <v>1022.099048</v>
      </c>
      <c r="R35" s="53">
        <f>VLOOKUP($D35,Résultats!$B$2:$AZ$251,R$2,FALSE)</f>
        <v>770.7178523</v>
      </c>
      <c r="S35" s="53">
        <f>VLOOKUP($D35,Résultats!$B$2:$AZ$251,S$2,FALSE)</f>
        <v>542.99818479999999</v>
      </c>
      <c r="T35" s="53">
        <f>VLOOKUP($D35,Résultats!$B$2:$AZ$251,T$2,FALSE)</f>
        <v>352.1121468</v>
      </c>
      <c r="U35" s="53">
        <f>VLOOKUP($D35,Résultats!$B$2:$AZ$251,U$2,FALSE)</f>
        <v>212.67040019999999</v>
      </c>
      <c r="V35" s="53">
        <f>VLOOKUP($D35,Résultats!$B$2:$AZ$251,V$2,FALSE)</f>
        <v>119.6639976</v>
      </c>
      <c r="W35" s="53">
        <f>VLOOKUP($D35,Résultats!$B$2:$AZ$251,W$2,FALSE)</f>
        <v>64.025107019999894</v>
      </c>
      <c r="X35" s="53">
        <f>VLOOKUP($D35,Résultats!$B$2:$AZ$251,X$2,FALSE)</f>
        <v>33.128186710000001</v>
      </c>
      <c r="Y35" s="53">
        <f>VLOOKUP($D35,Résultats!$B$2:$AZ$251,Y$2,FALSE)</f>
        <v>17.24158109</v>
      </c>
      <c r="Z35" s="53">
        <f>VLOOKUP($D35,Résultats!$B$2:$AZ$251,Z$2,FALSE)</f>
        <v>8.8032349159999903</v>
      </c>
      <c r="AA35" s="53">
        <f>VLOOKUP($D35,Résultats!$B$2:$AZ$251,AA$2,FALSE)</f>
        <v>4.4262816029999996</v>
      </c>
      <c r="AB35" s="53">
        <f>VLOOKUP($D35,Résultats!$B$2:$AZ$251,AB$2,FALSE)</f>
        <v>2.2175574299999998</v>
      </c>
      <c r="AC35" s="53">
        <f>VLOOKUP($D35,Résultats!$B$2:$AZ$251,AC$2,FALSE)</f>
        <v>1.103511109</v>
      </c>
      <c r="AD35" s="53">
        <f>VLOOKUP($D35,Résultats!$B$2:$AZ$251,AD$2,FALSE)</f>
        <v>0.54686063979999999</v>
      </c>
      <c r="AE35" s="53">
        <f>VLOOKUP($D35,Résultats!$B$2:$AZ$251,AE$2,FALSE)</f>
        <v>0.27131760440000002</v>
      </c>
      <c r="AF35" s="53">
        <f>VLOOKUP($D35,Résultats!$B$2:$AZ$251,AF$2,FALSE)</f>
        <v>0.1341308349</v>
      </c>
      <c r="AG35" s="53">
        <f>VLOOKUP($D35,Résultats!$B$2:$AZ$251,AG$2,FALSE)</f>
        <v>6.6234203199999994E-2</v>
      </c>
      <c r="AH35" s="53">
        <f>VLOOKUP($D35,Résultats!$B$2:$AZ$251,AH$2,FALSE)</f>
        <v>3.3736148000000001E-2</v>
      </c>
      <c r="AI35" s="53">
        <f>VLOOKUP($D35,Résultats!$B$2:$AZ$251,AI$2,FALSE)</f>
        <v>1.6883912500000001E-2</v>
      </c>
      <c r="AJ35" s="53">
        <f>VLOOKUP($D35,Résultats!$B$2:$AZ$251,AJ$2,FALSE)</f>
        <v>8.4060728600000006E-3</v>
      </c>
      <c r="AK35" s="53">
        <f>VLOOKUP($D35,Résultats!$B$2:$AZ$251,AK$2,FALSE)</f>
        <v>4.1756308900000004E-3</v>
      </c>
      <c r="AL35" s="53">
        <f>VLOOKUP($D35,Résultats!$B$2:$AZ$251,AL$2,FALSE)</f>
        <v>2.0684732700000001E-3</v>
      </c>
      <c r="AM35" s="213">
        <f>VLOOKUP($D35,Résultats!$B$2:$AZ$251,AM$2,FALSE)</f>
        <v>1.0127698E-3</v>
      </c>
    </row>
    <row r="36" spans="2:39" x14ac:dyDescent="0.25">
      <c r="C36" s="218" t="s">
        <v>27</v>
      </c>
      <c r="D36" s="3" t="s">
        <v>151</v>
      </c>
      <c r="E36" s="25">
        <f>VLOOKUP($D36,Résultats!$B$2:$AZ$251,E$2,FALSE)</f>
        <v>1.186003235</v>
      </c>
      <c r="F36" s="25">
        <f>VLOOKUP($D36,Résultats!$B$2:$AZ$251,F$2,FALSE)</f>
        <v>39.548810699999997</v>
      </c>
      <c r="G36" s="25">
        <f>VLOOKUP($D36,Résultats!$B$2:$AZ$251,G$2,FALSE)</f>
        <v>54.782855869999999</v>
      </c>
      <c r="H36" s="25">
        <f>VLOOKUP($D36,Résultats!$B$2:$AZ$251,H$2,FALSE)</f>
        <v>59.465052980000003</v>
      </c>
      <c r="I36" s="25">
        <f>VLOOKUP($D36,Résultats!$B$2:$AZ$251,I$2,FALSE)</f>
        <v>73.160336939999894</v>
      </c>
      <c r="J36" s="25">
        <f>VLOOKUP($D36,Résultats!$B$2:$AZ$251,J$2,FALSE)</f>
        <v>60.6897527</v>
      </c>
      <c r="K36" s="25">
        <f>VLOOKUP($D36,Résultats!$B$2:$AZ$251,K$2,FALSE)</f>
        <v>84.523020380000006</v>
      </c>
      <c r="L36" s="25">
        <f>VLOOKUP($D36,Résultats!$B$2:$AZ$251,L$2,FALSE)</f>
        <v>99.723652009999995</v>
      </c>
      <c r="M36" s="25">
        <f>VLOOKUP($D36,Résultats!$B$2:$AZ$251,M$2,FALSE)</f>
        <v>128.16832149999999</v>
      </c>
      <c r="N36" s="25">
        <f>VLOOKUP($D36,Résultats!$B$2:$AZ$251,N$2,FALSE)</f>
        <v>140.67828789999999</v>
      </c>
      <c r="O36" s="25">
        <f>VLOOKUP($D36,Résultats!$B$2:$AZ$251,O$2,FALSE)</f>
        <v>116.7195121</v>
      </c>
      <c r="P36" s="25">
        <f>VLOOKUP($D36,Résultats!$B$2:$AZ$251,P$2,FALSE)</f>
        <v>99.848573430000002</v>
      </c>
      <c r="Q36" s="25">
        <f>VLOOKUP($D36,Résultats!$B$2:$AZ$251,Q$2,FALSE)</f>
        <v>82.551788009999996</v>
      </c>
      <c r="R36" s="25">
        <f>VLOOKUP($D36,Résultats!$B$2:$AZ$251,R$2,FALSE)</f>
        <v>65.463744340000005</v>
      </c>
      <c r="S36" s="25">
        <f>VLOOKUP($D36,Résultats!$B$2:$AZ$251,S$2,FALSE)</f>
        <v>48.552489399999999</v>
      </c>
      <c r="T36" s="25">
        <f>VLOOKUP($D36,Résultats!$B$2:$AZ$251,T$2,FALSE)</f>
        <v>32.746851579999998</v>
      </c>
      <c r="U36" s="25">
        <f>VLOOKUP($D36,Résultats!$B$2:$AZ$251,U$2,FALSE)</f>
        <v>20.501224929999999</v>
      </c>
      <c r="V36" s="25">
        <f>VLOOKUP($D36,Résultats!$B$2:$AZ$251,V$2,FALSE)</f>
        <v>11.94835061</v>
      </c>
      <c r="W36" s="25">
        <f>VLOOKUP($D36,Résultats!$B$2:$AZ$251,W$2,FALSE)</f>
        <v>6.6182526629999998</v>
      </c>
      <c r="X36" s="25">
        <f>VLOOKUP($D36,Résultats!$B$2:$AZ$251,X$2,FALSE)</f>
        <v>3.5421393609999998</v>
      </c>
      <c r="Y36" s="25">
        <f>VLOOKUP($D36,Résultats!$B$2:$AZ$251,Y$2,FALSE)</f>
        <v>1.9003272389999999</v>
      </c>
      <c r="Z36" s="25">
        <f>VLOOKUP($D36,Résultats!$B$2:$AZ$251,Z$2,FALSE)</f>
        <v>0.99971921029999999</v>
      </c>
      <c r="AA36" s="25">
        <f>VLOOKUP($D36,Résultats!$B$2:$AZ$251,AA$2,FALSE)</f>
        <v>0.5179478743</v>
      </c>
      <c r="AB36" s="25">
        <f>VLOOKUP($D36,Résultats!$B$2:$AZ$251,AB$2,FALSE)</f>
        <v>0.26721152129999998</v>
      </c>
      <c r="AC36" s="25">
        <f>VLOOKUP($D36,Résultats!$B$2:$AZ$251,AC$2,FALSE)</f>
        <v>0.13678410890000001</v>
      </c>
      <c r="AD36" s="25">
        <f>VLOOKUP($D36,Résultats!$B$2:$AZ$251,AD$2,FALSE)</f>
        <v>6.9843350400000004E-2</v>
      </c>
      <c r="AE36" s="25">
        <f>VLOOKUP($D36,Résultats!$B$2:$AZ$251,AE$2,FALSE)</f>
        <v>3.56614923E-2</v>
      </c>
      <c r="AF36" s="25">
        <f>VLOOKUP($D36,Résultats!$B$2:$AZ$251,AF$2,FALSE)</f>
        <v>1.8126763399999999E-2</v>
      </c>
      <c r="AG36" s="25">
        <f>VLOOKUP($D36,Résultats!$B$2:$AZ$251,AG$2,FALSE)</f>
        <v>9.20837228E-3</v>
      </c>
      <c r="AH36" s="25">
        <f>VLOOKUP($D36,Résultats!$B$2:$AZ$251,AH$2,FALSE)</f>
        <v>5.1228246399999998E-3</v>
      </c>
      <c r="AI36" s="25">
        <f>VLOOKUP($D36,Résultats!$B$2:$AZ$251,AI$2,FALSE)</f>
        <v>2.6348621900000001E-3</v>
      </c>
      <c r="AJ36" s="25">
        <f>VLOOKUP($D36,Résultats!$B$2:$AZ$251,AJ$2,FALSE)</f>
        <v>1.34769281E-3</v>
      </c>
      <c r="AK36" s="25">
        <f>VLOOKUP($D36,Résultats!$B$2:$AZ$251,AK$2,FALSE)</f>
        <v>6.8740479900000003E-4</v>
      </c>
      <c r="AL36" s="25">
        <f>VLOOKUP($D36,Résultats!$B$2:$AZ$251,AL$2,FALSE)</f>
        <v>3.4950811E-4</v>
      </c>
      <c r="AM36" s="102">
        <f>VLOOKUP($D36,Résultats!$B$2:$AZ$251,AM$2,FALSE)</f>
        <v>1.7558184200000001E-4</v>
      </c>
    </row>
    <row r="37" spans="2:39" x14ac:dyDescent="0.25">
      <c r="C37" s="218" t="s">
        <v>28</v>
      </c>
      <c r="D37" s="3" t="s">
        <v>152</v>
      </c>
      <c r="E37" s="25">
        <f>VLOOKUP($D37,Résultats!$B$2:$AZ$251,E$2,FALSE)</f>
        <v>426.9611645</v>
      </c>
      <c r="F37" s="25">
        <f>VLOOKUP($D37,Résultats!$B$2:$AZ$251,F$2,FALSE)</f>
        <v>365.6873372</v>
      </c>
      <c r="G37" s="25">
        <f>VLOOKUP($D37,Résultats!$B$2:$AZ$251,G$2,FALSE)</f>
        <v>409.1145568</v>
      </c>
      <c r="H37" s="25">
        <f>VLOOKUP($D37,Résultats!$B$2:$AZ$251,H$2,FALSE)</f>
        <v>413.06210220000003</v>
      </c>
      <c r="I37" s="25">
        <f>VLOOKUP($D37,Résultats!$B$2:$AZ$251,I$2,FALSE)</f>
        <v>363.90462359999998</v>
      </c>
      <c r="J37" s="25">
        <f>VLOOKUP($D37,Résultats!$B$2:$AZ$251,J$2,FALSE)</f>
        <v>312.40226109999998</v>
      </c>
      <c r="K37" s="25">
        <f>VLOOKUP($D37,Résultats!$B$2:$AZ$251,K$2,FALSE)</f>
        <v>318.15002290000001</v>
      </c>
      <c r="L37" s="25">
        <f>VLOOKUP($D37,Résultats!$B$2:$AZ$251,L$2,FALSE)</f>
        <v>327.16684620000001</v>
      </c>
      <c r="M37" s="25">
        <f>VLOOKUP($D37,Résultats!$B$2:$AZ$251,M$2,FALSE)</f>
        <v>400.82717480000002</v>
      </c>
      <c r="N37" s="25">
        <f>VLOOKUP($D37,Résultats!$B$2:$AZ$251,N$2,FALSE)</f>
        <v>417.2290213</v>
      </c>
      <c r="O37" s="25">
        <f>VLOOKUP($D37,Résultats!$B$2:$AZ$251,O$2,FALSE)</f>
        <v>333.20547319999997</v>
      </c>
      <c r="P37" s="25">
        <f>VLOOKUP($D37,Résultats!$B$2:$AZ$251,P$2,FALSE)</f>
        <v>275.75767059999998</v>
      </c>
      <c r="Q37" s="25">
        <f>VLOOKUP($D37,Résultats!$B$2:$AZ$251,Q$2,FALSE)</f>
        <v>220.27763010000001</v>
      </c>
      <c r="R37" s="25">
        <f>VLOOKUP($D37,Résultats!$B$2:$AZ$251,R$2,FALSE)</f>
        <v>166.6661728</v>
      </c>
      <c r="S37" s="25">
        <f>VLOOKUP($D37,Résultats!$B$2:$AZ$251,S$2,FALSE)</f>
        <v>117.8419864</v>
      </c>
      <c r="T37" s="25">
        <f>VLOOKUP($D37,Résultats!$B$2:$AZ$251,T$2,FALSE)</f>
        <v>76.709037969999997</v>
      </c>
      <c r="U37" s="25">
        <f>VLOOKUP($D37,Résultats!$B$2:$AZ$251,U$2,FALSE)</f>
        <v>46.496608940000002</v>
      </c>
      <c r="V37" s="25">
        <f>VLOOKUP($D37,Résultats!$B$2:$AZ$251,V$2,FALSE)</f>
        <v>26.259099290000002</v>
      </c>
      <c r="W37" s="25">
        <f>VLOOKUP($D37,Résultats!$B$2:$AZ$251,W$2,FALSE)</f>
        <v>14.102458520000001</v>
      </c>
      <c r="X37" s="25">
        <f>VLOOKUP($D37,Résultats!$B$2:$AZ$251,X$2,FALSE)</f>
        <v>7.3248068049999997</v>
      </c>
      <c r="Y37" s="25">
        <f>VLOOKUP($D37,Résultats!$B$2:$AZ$251,Y$2,FALSE)</f>
        <v>3.8270158329999999</v>
      </c>
      <c r="Z37" s="25">
        <f>VLOOKUP($D37,Résultats!$B$2:$AZ$251,Z$2,FALSE)</f>
        <v>1.961549338</v>
      </c>
      <c r="AA37" s="25">
        <f>VLOOKUP($D37,Résultats!$B$2:$AZ$251,AA$2,FALSE)</f>
        <v>0.99009174209999995</v>
      </c>
      <c r="AB37" s="25">
        <f>VLOOKUP($D37,Résultats!$B$2:$AZ$251,AB$2,FALSE)</f>
        <v>0.4979293441</v>
      </c>
      <c r="AC37" s="25">
        <f>VLOOKUP($D37,Résultats!$B$2:$AZ$251,AC$2,FALSE)</f>
        <v>0.24868770549999999</v>
      </c>
      <c r="AD37" s="25">
        <f>VLOOKUP($D37,Résultats!$B$2:$AZ$251,AD$2,FALSE)</f>
        <v>0.1235229388</v>
      </c>
      <c r="AE37" s="25">
        <f>VLOOKUP($D37,Résultats!$B$2:$AZ$251,AE$2,FALSE)</f>
        <v>6.1414402399999998E-2</v>
      </c>
      <c r="AF37" s="25">
        <f>VLOOKUP($D37,Résultats!$B$2:$AZ$251,AF$2,FALSE)</f>
        <v>3.04192449E-2</v>
      </c>
      <c r="AG37" s="25">
        <f>VLOOKUP($D37,Résultats!$B$2:$AZ$251,AG$2,FALSE)</f>
        <v>1.5051429200000001E-2</v>
      </c>
      <c r="AH37" s="25">
        <f>VLOOKUP($D37,Résultats!$B$2:$AZ$251,AH$2,FALSE)</f>
        <v>7.7492952599999996E-3</v>
      </c>
      <c r="AI37" s="25">
        <f>VLOOKUP($D37,Résultats!$B$2:$AZ$251,AI$2,FALSE)</f>
        <v>3.8826918600000002E-3</v>
      </c>
      <c r="AJ37" s="25">
        <f>VLOOKUP($D37,Résultats!$B$2:$AZ$251,AJ$2,FALSE)</f>
        <v>1.9349672800000001E-3</v>
      </c>
      <c r="AK37" s="25">
        <f>VLOOKUP($D37,Résultats!$B$2:$AZ$251,AK$2,FALSE)</f>
        <v>9.61945128E-4</v>
      </c>
      <c r="AL37" s="25">
        <f>VLOOKUP($D37,Résultats!$B$2:$AZ$251,AL$2,FALSE)</f>
        <v>4.76823712E-4</v>
      </c>
      <c r="AM37" s="102">
        <f>VLOOKUP($D37,Résultats!$B$2:$AZ$251,AM$2,FALSE)</f>
        <v>2.3357542500000001E-4</v>
      </c>
    </row>
    <row r="38" spans="2:39" x14ac:dyDescent="0.25">
      <c r="C38" s="218" t="s">
        <v>29</v>
      </c>
      <c r="D38" s="3" t="s">
        <v>153</v>
      </c>
      <c r="E38" s="25">
        <f>VLOOKUP($D38,Résultats!$B$2:$AZ$251,E$2,FALSE)</f>
        <v>673.64983729999994</v>
      </c>
      <c r="F38" s="25">
        <f>VLOOKUP($D38,Résultats!$B$2:$AZ$251,F$2,FALSE)</f>
        <v>551.21290050000005</v>
      </c>
      <c r="G38" s="25">
        <f>VLOOKUP($D38,Résultats!$B$2:$AZ$251,G$2,FALSE)</f>
        <v>612.14834020000001</v>
      </c>
      <c r="H38" s="25">
        <f>VLOOKUP($D38,Résultats!$B$2:$AZ$251,H$2,FALSE)</f>
        <v>616.02515559999995</v>
      </c>
      <c r="I38" s="25">
        <f>VLOOKUP($D38,Résultats!$B$2:$AZ$251,I$2,FALSE)</f>
        <v>528.74597559999995</v>
      </c>
      <c r="J38" s="25">
        <f>VLOOKUP($D38,Résultats!$B$2:$AZ$251,J$2,FALSE)</f>
        <v>460.42175680000003</v>
      </c>
      <c r="K38" s="25">
        <f>VLOOKUP($D38,Résultats!$B$2:$AZ$251,K$2,FALSE)</f>
        <v>452.4445442</v>
      </c>
      <c r="L38" s="25">
        <f>VLOOKUP($D38,Résultats!$B$2:$AZ$251,L$2,FALSE)</f>
        <v>457.1196425</v>
      </c>
      <c r="M38" s="25">
        <f>VLOOKUP($D38,Résultats!$B$2:$AZ$251,M$2,FALSE)</f>
        <v>557.54632690000005</v>
      </c>
      <c r="N38" s="25">
        <f>VLOOKUP($D38,Résultats!$B$2:$AZ$251,N$2,FALSE)</f>
        <v>577.2814975</v>
      </c>
      <c r="O38" s="25">
        <f>VLOOKUP($D38,Résultats!$B$2:$AZ$251,O$2,FALSE)</f>
        <v>458.48512040000003</v>
      </c>
      <c r="P38" s="25">
        <f>VLOOKUP($D38,Résultats!$B$2:$AZ$251,P$2,FALSE)</f>
        <v>377.54891909999998</v>
      </c>
      <c r="Q38" s="25">
        <f>VLOOKUP($D38,Résultats!$B$2:$AZ$251,Q$2,FALSE)</f>
        <v>299.93490800000001</v>
      </c>
      <c r="R38" s="25">
        <f>VLOOKUP($D38,Résultats!$B$2:$AZ$251,R$2,FALSE)</f>
        <v>225.6142117</v>
      </c>
      <c r="S38" s="25">
        <f>VLOOKUP($D38,Résultats!$B$2:$AZ$251,S$2,FALSE)</f>
        <v>158.51843070000001</v>
      </c>
      <c r="T38" s="25">
        <f>VLOOKUP($D38,Résultats!$B$2:$AZ$251,T$2,FALSE)</f>
        <v>102.5775038</v>
      </c>
      <c r="U38" s="25">
        <f>VLOOKUP($D38,Résultats!$B$2:$AZ$251,U$2,FALSE)</f>
        <v>61.826739709999998</v>
      </c>
      <c r="V38" s="25">
        <f>VLOOKUP($D38,Résultats!$B$2:$AZ$251,V$2,FALSE)</f>
        <v>34.712573849999998</v>
      </c>
      <c r="W38" s="25">
        <f>VLOOKUP($D38,Résultats!$B$2:$AZ$251,W$2,FALSE)</f>
        <v>18.529732020000001</v>
      </c>
      <c r="X38" s="25">
        <f>VLOOKUP($D38,Résultats!$B$2:$AZ$251,X$2,FALSE)</f>
        <v>9.5645401210000003</v>
      </c>
      <c r="Y38" s="25">
        <f>VLOOKUP($D38,Résultats!$B$2:$AZ$251,Y$2,FALSE)</f>
        <v>4.9664936040000001</v>
      </c>
      <c r="Z38" s="25">
        <f>VLOOKUP($D38,Résultats!$B$2:$AZ$251,Z$2,FALSE)</f>
        <v>2.5296535950000001</v>
      </c>
      <c r="AA38" s="25">
        <f>VLOOKUP($D38,Résultats!$B$2:$AZ$251,AA$2,FALSE)</f>
        <v>1.2685864929999999</v>
      </c>
      <c r="AB38" s="25">
        <f>VLOOKUP($D38,Résultats!$B$2:$AZ$251,AB$2,FALSE)</f>
        <v>0.63381100469999996</v>
      </c>
      <c r="AC38" s="25">
        <f>VLOOKUP($D38,Résultats!$B$2:$AZ$251,AC$2,FALSE)</f>
        <v>0.31450188470000001</v>
      </c>
      <c r="AD38" s="25">
        <f>VLOOKUP($D38,Résultats!$B$2:$AZ$251,AD$2,FALSE)</f>
        <v>0.15533197700000001</v>
      </c>
      <c r="AE38" s="25">
        <f>VLOOKUP($D38,Résultats!$B$2:$AZ$251,AE$2,FALSE)</f>
        <v>7.6801902599999999E-2</v>
      </c>
      <c r="AF38" s="25">
        <f>VLOOKUP($D38,Résultats!$B$2:$AZ$251,AF$2,FALSE)</f>
        <v>3.7835043899999997E-2</v>
      </c>
      <c r="AG38" s="25">
        <f>VLOOKUP($D38,Résultats!$B$2:$AZ$251,AG$2,FALSE)</f>
        <v>1.8612477200000001E-2</v>
      </c>
      <c r="AH38" s="25">
        <f>VLOOKUP($D38,Résultats!$B$2:$AZ$251,AH$2,FALSE)</f>
        <v>9.3565312200000004E-3</v>
      </c>
      <c r="AI38" s="25">
        <f>VLOOKUP($D38,Résultats!$B$2:$AZ$251,AI$2,FALSE)</f>
        <v>4.6609474300000004E-3</v>
      </c>
      <c r="AJ38" s="25">
        <f>VLOOKUP($D38,Résultats!$B$2:$AZ$251,AJ$2,FALSE)</f>
        <v>2.3094024900000001E-3</v>
      </c>
      <c r="AK38" s="25">
        <f>VLOOKUP($D38,Résultats!$B$2:$AZ$251,AK$2,FALSE)</f>
        <v>1.1414831199999999E-3</v>
      </c>
      <c r="AL38" s="25">
        <f>VLOOKUP($D38,Résultats!$B$2:$AZ$251,AL$2,FALSE)</f>
        <v>5.6255684299999996E-4</v>
      </c>
      <c r="AM38" s="102">
        <f>VLOOKUP($D38,Résultats!$B$2:$AZ$251,AM$2,FALSE)</f>
        <v>2.7398123699999999E-4</v>
      </c>
    </row>
    <row r="39" spans="2:39" x14ac:dyDescent="0.25">
      <c r="C39" s="218" t="s">
        <v>30</v>
      </c>
      <c r="D39" s="3" t="s">
        <v>154</v>
      </c>
      <c r="E39" s="25">
        <f>VLOOKUP($D39,Résultats!$B$2:$AZ$251,E$2,FALSE)</f>
        <v>664.16181140000003</v>
      </c>
      <c r="F39" s="25">
        <f>VLOOKUP($D39,Résultats!$B$2:$AZ$251,F$2,FALSE)</f>
        <v>527.46111800000006</v>
      </c>
      <c r="G39" s="25">
        <f>VLOOKUP($D39,Résultats!$B$2:$AZ$251,G$2,FALSE)</f>
        <v>580.76187400000003</v>
      </c>
      <c r="H39" s="25">
        <f>VLOOKUP($D39,Résultats!$B$2:$AZ$251,H$2,FALSE)</f>
        <v>586.1446866</v>
      </c>
      <c r="I39" s="25">
        <f>VLOOKUP($D39,Résultats!$B$2:$AZ$251,I$2,FALSE)</f>
        <v>491.64815069999997</v>
      </c>
      <c r="J39" s="25">
        <f>VLOOKUP($D39,Résultats!$B$2:$AZ$251,J$2,FALSE)</f>
        <v>440.24283320000001</v>
      </c>
      <c r="K39" s="25">
        <f>VLOOKUP($D39,Résultats!$B$2:$AZ$251,K$2,FALSE)</f>
        <v>424.5466275</v>
      </c>
      <c r="L39" s="25">
        <f>VLOOKUP($D39,Résultats!$B$2:$AZ$251,L$2,FALSE)</f>
        <v>424.96863639999998</v>
      </c>
      <c r="M39" s="25">
        <f>VLOOKUP($D39,Résultats!$B$2:$AZ$251,M$2,FALSE)</f>
        <v>516.96717999999998</v>
      </c>
      <c r="N39" s="25">
        <f>VLOOKUP($D39,Résultats!$B$2:$AZ$251,N$2,FALSE)</f>
        <v>533.58865070000002</v>
      </c>
      <c r="O39" s="25">
        <f>VLOOKUP($D39,Résultats!$B$2:$AZ$251,O$2,FALSE)</f>
        <v>422.50274999999999</v>
      </c>
      <c r="P39" s="25">
        <f>VLOOKUP($D39,Résultats!$B$2:$AZ$251,P$2,FALSE)</f>
        <v>346.9645802</v>
      </c>
      <c r="Q39" s="25">
        <f>VLOOKUP($D39,Résultats!$B$2:$AZ$251,Q$2,FALSE)</f>
        <v>274.80548219999997</v>
      </c>
      <c r="R39" s="25">
        <f>VLOOKUP($D39,Résultats!$B$2:$AZ$251,R$2,FALSE)</f>
        <v>205.9992068</v>
      </c>
      <c r="S39" s="25">
        <f>VLOOKUP($D39,Résultats!$B$2:$AZ$251,S$2,FALSE)</f>
        <v>144.19828799999999</v>
      </c>
      <c r="T39" s="25">
        <f>VLOOKUP($D39,Résultats!$B$2:$AZ$251,T$2,FALSE)</f>
        <v>92.998138249999997</v>
      </c>
      <c r="U39" s="25">
        <f>VLOOKUP($D39,Résultats!$B$2:$AZ$251,U$2,FALSE)</f>
        <v>55.873985920000003</v>
      </c>
      <c r="V39" s="25">
        <f>VLOOKUP($D39,Résultats!$B$2:$AZ$251,V$2,FALSE)</f>
        <v>31.26676239</v>
      </c>
      <c r="W39" s="25">
        <f>VLOOKUP($D39,Résultats!$B$2:$AZ$251,W$2,FALSE)</f>
        <v>16.633499350000001</v>
      </c>
      <c r="X39" s="25">
        <f>VLOOKUP($D39,Résultats!$B$2:$AZ$251,X$2,FALSE)</f>
        <v>8.5558206059999904</v>
      </c>
      <c r="Y39" s="25">
        <f>VLOOKUP($D39,Résultats!$B$2:$AZ$251,Y$2,FALSE)</f>
        <v>4.4276002380000001</v>
      </c>
      <c r="Z39" s="25">
        <f>VLOOKUP($D39,Résultats!$B$2:$AZ$251,Z$2,FALSE)</f>
        <v>2.247371051</v>
      </c>
      <c r="AA39" s="25">
        <f>VLOOKUP($D39,Résultats!$B$2:$AZ$251,AA$2,FALSE)</f>
        <v>1.123003639</v>
      </c>
      <c r="AB39" s="25">
        <f>VLOOKUP($D39,Résultats!$B$2:$AZ$251,AB$2,FALSE)</f>
        <v>0.55905239790000005</v>
      </c>
      <c r="AC39" s="25">
        <f>VLOOKUP($D39,Résultats!$B$2:$AZ$251,AC$2,FALSE)</f>
        <v>0.27641788839999998</v>
      </c>
      <c r="AD39" s="25">
        <f>VLOOKUP($D39,Résultats!$B$2:$AZ$251,AD$2,FALSE)</f>
        <v>0.1360782234</v>
      </c>
      <c r="AE39" s="25">
        <f>VLOOKUP($D39,Résultats!$B$2:$AZ$251,AE$2,FALSE)</f>
        <v>6.7067712900000007E-2</v>
      </c>
      <c r="AF39" s="25">
        <f>VLOOKUP($D39,Résultats!$B$2:$AZ$251,AF$2,FALSE)</f>
        <v>3.2936812400000001E-2</v>
      </c>
      <c r="AG39" s="25">
        <f>VLOOKUP($D39,Résultats!$B$2:$AZ$251,AG$2,FALSE)</f>
        <v>1.61494571E-2</v>
      </c>
      <c r="AH39" s="25">
        <f>VLOOKUP($D39,Résultats!$B$2:$AZ$251,AH$2,FALSE)</f>
        <v>8.01534481E-3</v>
      </c>
      <c r="AI39" s="25">
        <f>VLOOKUP($D39,Résultats!$B$2:$AZ$251,AI$2,FALSE)</f>
        <v>3.9799014100000002E-3</v>
      </c>
      <c r="AJ39" s="25">
        <f>VLOOKUP($D39,Résultats!$B$2:$AZ$251,AJ$2,FALSE)</f>
        <v>1.9656054799999999E-3</v>
      </c>
      <c r="AK39" s="25">
        <f>VLOOKUP($D39,Résultats!$B$2:$AZ$251,AK$2,FALSE)</f>
        <v>9.6845868200000004E-4</v>
      </c>
      <c r="AL39" s="25">
        <f>VLOOKUP($D39,Résultats!$B$2:$AZ$251,AL$2,FALSE)</f>
        <v>4.75777755E-4</v>
      </c>
      <c r="AM39" s="102">
        <f>VLOOKUP($D39,Résultats!$B$2:$AZ$251,AM$2,FALSE)</f>
        <v>2.3099183800000001E-4</v>
      </c>
    </row>
    <row r="40" spans="2:39" x14ac:dyDescent="0.25">
      <c r="C40" s="218" t="s">
        <v>31</v>
      </c>
      <c r="D40" s="3" t="s">
        <v>155</v>
      </c>
      <c r="E40" s="25">
        <f>VLOOKUP($D40,Résultats!$B$2:$AZ$251,E$2,FALSE)</f>
        <v>426.9611645</v>
      </c>
      <c r="F40" s="25">
        <f>VLOOKUP($D40,Résultats!$B$2:$AZ$251,F$2,FALSE)</f>
        <v>318.13932729999999</v>
      </c>
      <c r="G40" s="25">
        <f>VLOOKUP($D40,Résultats!$B$2:$AZ$251,G$2,FALSE)</f>
        <v>340.20535580000001</v>
      </c>
      <c r="H40" s="25">
        <f>VLOOKUP($D40,Résultats!$B$2:$AZ$251,H$2,FALSE)</f>
        <v>336.6012063</v>
      </c>
      <c r="I40" s="25">
        <f>VLOOKUP($D40,Résultats!$B$2:$AZ$251,I$2,FALSE)</f>
        <v>265.39182549999998</v>
      </c>
      <c r="J40" s="25">
        <f>VLOOKUP($D40,Résultats!$B$2:$AZ$251,J$2,FALSE)</f>
        <v>250.21487999999999</v>
      </c>
      <c r="K40" s="25">
        <f>VLOOKUP($D40,Résultats!$B$2:$AZ$251,K$2,FALSE)</f>
        <v>220.22818150000001</v>
      </c>
      <c r="L40" s="25">
        <f>VLOOKUP($D40,Résultats!$B$2:$AZ$251,L$2,FALSE)</f>
        <v>214.22445260000001</v>
      </c>
      <c r="M40" s="25">
        <f>VLOOKUP($D40,Résultats!$B$2:$AZ$251,M$2,FALSE)</f>
        <v>258.69250160000001</v>
      </c>
      <c r="N40" s="25">
        <f>VLOOKUP($D40,Résultats!$B$2:$AZ$251,N$2,FALSE)</f>
        <v>264.69581069999998</v>
      </c>
      <c r="O40" s="25">
        <f>VLOOKUP($D40,Résultats!$B$2:$AZ$251,O$2,FALSE)</f>
        <v>207.75354949999999</v>
      </c>
      <c r="P40" s="25">
        <f>VLOOKUP($D40,Résultats!$B$2:$AZ$251,P$2,FALSE)</f>
        <v>169.27072100000001</v>
      </c>
      <c r="Q40" s="25">
        <f>VLOOKUP($D40,Résultats!$B$2:$AZ$251,Q$2,FALSE)</f>
        <v>132.92000730000001</v>
      </c>
      <c r="R40" s="25">
        <f>VLOOKUP($D40,Résultats!$B$2:$AZ$251,R$2,FALSE)</f>
        <v>98.729851010000004</v>
      </c>
      <c r="S40" s="25">
        <f>VLOOKUP($D40,Résultats!$B$2:$AZ$251,S$2,FALSE)</f>
        <v>68.440381259999995</v>
      </c>
      <c r="T40" s="25">
        <f>VLOOKUP($D40,Résultats!$B$2:$AZ$251,T$2,FALSE)</f>
        <v>43.74825053</v>
      </c>
      <c r="U40" s="25">
        <f>VLOOKUP($D40,Résultats!$B$2:$AZ$251,U$2,FALSE)</f>
        <v>26.066429020000001</v>
      </c>
      <c r="V40" s="25">
        <f>VLOOKUP($D40,Résultats!$B$2:$AZ$251,V$2,FALSE)</f>
        <v>14.463496640000001</v>
      </c>
      <c r="W40" s="25">
        <f>VLOOKUP($D40,Résultats!$B$2:$AZ$251,W$2,FALSE)</f>
        <v>7.6287751559999997</v>
      </c>
      <c r="X40" s="25">
        <f>VLOOKUP($D40,Résultats!$B$2:$AZ$251,X$2,FALSE)</f>
        <v>3.8904977619999999</v>
      </c>
      <c r="Y40" s="25">
        <f>VLOOKUP($D40,Résultats!$B$2:$AZ$251,Y$2,FALSE)</f>
        <v>1.99677339</v>
      </c>
      <c r="Z40" s="25">
        <f>VLOOKUP($D40,Résultats!$B$2:$AZ$251,Z$2,FALSE)</f>
        <v>1.0052832270000001</v>
      </c>
      <c r="AA40" s="25">
        <f>VLOOKUP($D40,Résultats!$B$2:$AZ$251,AA$2,FALSE)</f>
        <v>0.49824803769999998</v>
      </c>
      <c r="AB40" s="25">
        <f>VLOOKUP($D40,Résultats!$B$2:$AZ$251,AB$2,FALSE)</f>
        <v>0.2460631415</v>
      </c>
      <c r="AC40" s="25">
        <f>VLOOKUP($D40,Résultats!$B$2:$AZ$251,AC$2,FALSE)</f>
        <v>0.1207404037</v>
      </c>
      <c r="AD40" s="25">
        <f>VLOOKUP($D40,Résultats!$B$2:$AZ$251,AD$2,FALSE)</f>
        <v>5.9061664399999998E-2</v>
      </c>
      <c r="AE40" s="25">
        <f>VLOOKUP($D40,Résultats!$B$2:$AZ$251,AE$2,FALSE)</f>
        <v>2.8934953999999999E-2</v>
      </c>
      <c r="AF40" s="25">
        <f>VLOOKUP($D40,Résultats!$B$2:$AZ$251,AF$2,FALSE)</f>
        <v>1.41304134E-2</v>
      </c>
      <c r="AG40" s="25">
        <f>VLOOKUP($D40,Résultats!$B$2:$AZ$251,AG$2,FALSE)</f>
        <v>6.8888970199999996E-3</v>
      </c>
      <c r="AH40" s="25">
        <f>VLOOKUP($D40,Résultats!$B$2:$AZ$251,AH$2,FALSE)</f>
        <v>3.3488811200000001E-3</v>
      </c>
      <c r="AI40" s="25">
        <f>VLOOKUP($D40,Résultats!$B$2:$AZ$251,AI$2,FALSE)</f>
        <v>1.65602759E-3</v>
      </c>
      <c r="AJ40" s="25">
        <f>VLOOKUP($D40,Résultats!$B$2:$AZ$251,AJ$2,FALSE)</f>
        <v>8.1481866199999999E-4</v>
      </c>
      <c r="AK40" s="25">
        <f>VLOOKUP($D40,Résultats!$B$2:$AZ$251,AK$2,FALSE)</f>
        <v>4.0010819600000001E-4</v>
      </c>
      <c r="AL40" s="25">
        <f>VLOOKUP($D40,Résultats!$B$2:$AZ$251,AL$2,FALSE)</f>
        <v>1.95969894E-4</v>
      </c>
      <c r="AM40" s="102">
        <f>VLOOKUP($D40,Résultats!$B$2:$AZ$251,AM$2,FALSE)</f>
        <v>9.4892456899999997E-5</v>
      </c>
    </row>
    <row r="41" spans="2:39" x14ac:dyDescent="0.25">
      <c r="C41" s="218" t="s">
        <v>32</v>
      </c>
      <c r="D41" s="3" t="s">
        <v>156</v>
      </c>
      <c r="E41" s="25">
        <f>VLOOKUP($D41,Résultats!$B$2:$AZ$251,E$2,FALSE)</f>
        <v>142.3203882</v>
      </c>
      <c r="F41" s="25">
        <f>VLOOKUP($D41,Résultats!$B$2:$AZ$251,F$2,FALSE)</f>
        <v>83.664641149999994</v>
      </c>
      <c r="G41" s="25">
        <f>VLOOKUP($D41,Résultats!$B$2:$AZ$251,G$2,FALSE)</f>
        <v>92.002014419999995</v>
      </c>
      <c r="H41" s="25">
        <f>VLOOKUP($D41,Résultats!$B$2:$AZ$251,H$2,FALSE)</f>
        <v>88.119497019999997</v>
      </c>
      <c r="I41" s="25">
        <f>VLOOKUP($D41,Résultats!$B$2:$AZ$251,I$2,FALSE)</f>
        <v>61.389325190000001</v>
      </c>
      <c r="J41" s="25">
        <f>VLOOKUP($D41,Résultats!$B$2:$AZ$251,J$2,FALSE)</f>
        <v>39.323007789999998</v>
      </c>
      <c r="K41" s="25">
        <f>VLOOKUP($D41,Résultats!$B$2:$AZ$251,K$2,FALSE)</f>
        <v>26.609549040000001</v>
      </c>
      <c r="L41" s="25">
        <f>VLOOKUP($D41,Résultats!$B$2:$AZ$251,L$2,FALSE)</f>
        <v>22.743245210000001</v>
      </c>
      <c r="M41" s="25">
        <f>VLOOKUP($D41,Résultats!$B$2:$AZ$251,M$2,FALSE)</f>
        <v>26.537108929999999</v>
      </c>
      <c r="N41" s="25">
        <f>VLOOKUP($D41,Résultats!$B$2:$AZ$251,N$2,FALSE)</f>
        <v>26.05978356</v>
      </c>
      <c r="O41" s="25">
        <f>VLOOKUP($D41,Résultats!$B$2:$AZ$251,O$2,FALSE)</f>
        <v>19.624387460000001</v>
      </c>
      <c r="P41" s="25">
        <f>VLOOKUP($D41,Résultats!$B$2:$AZ$251,P$2,FALSE)</f>
        <v>15.402930789999999</v>
      </c>
      <c r="Q41" s="25">
        <f>VLOOKUP($D41,Résultats!$B$2:$AZ$251,Q$2,FALSE)</f>
        <v>11.609232179999999</v>
      </c>
      <c r="R41" s="25">
        <f>VLOOKUP($D41,Résultats!$B$2:$AZ$251,R$2,FALSE)</f>
        <v>8.2446657430000005</v>
      </c>
      <c r="S41" s="25">
        <f>VLOOKUP($D41,Résultats!$B$2:$AZ$251,S$2,FALSE)</f>
        <v>5.4466090109999996</v>
      </c>
      <c r="T41" s="25">
        <f>VLOOKUP($D41,Résultats!$B$2:$AZ$251,T$2,FALSE)</f>
        <v>3.3323647080000001</v>
      </c>
      <c r="U41" s="25">
        <f>VLOOKUP($D41,Résultats!$B$2:$AZ$251,U$2,FALSE)</f>
        <v>1.9054116409999999</v>
      </c>
      <c r="V41" s="25">
        <f>VLOOKUP($D41,Résultats!$B$2:$AZ$251,V$2,FALSE)</f>
        <v>1.0137147769999999</v>
      </c>
      <c r="W41" s="25">
        <f>VLOOKUP($D41,Résultats!$B$2:$AZ$251,W$2,FALSE)</f>
        <v>0.5123893128</v>
      </c>
      <c r="X41" s="25">
        <f>VLOOKUP($D41,Résultats!$B$2:$AZ$251,X$2,FALSE)</f>
        <v>0.25038205149999998</v>
      </c>
      <c r="Y41" s="25">
        <f>VLOOKUP($D41,Résultats!$B$2:$AZ$251,Y$2,FALSE)</f>
        <v>0.12337078899999999</v>
      </c>
      <c r="Z41" s="25">
        <f>VLOOKUP($D41,Résultats!$B$2:$AZ$251,Z$2,FALSE)</f>
        <v>5.9658494499999999E-2</v>
      </c>
      <c r="AA41" s="25">
        <f>VLOOKUP($D41,Résultats!$B$2:$AZ$251,AA$2,FALSE)</f>
        <v>2.8403817200000001E-2</v>
      </c>
      <c r="AB41" s="25">
        <f>VLOOKUP($D41,Résultats!$B$2:$AZ$251,AB$2,FALSE)</f>
        <v>1.3490020300000001E-2</v>
      </c>
      <c r="AC41" s="25">
        <f>VLOOKUP($D41,Résultats!$B$2:$AZ$251,AC$2,FALSE)</f>
        <v>6.3791173800000003E-3</v>
      </c>
      <c r="AD41" s="25">
        <f>VLOOKUP($D41,Résultats!$B$2:$AZ$251,AD$2,FALSE)</f>
        <v>3.0224859399999998E-3</v>
      </c>
      <c r="AE41" s="25">
        <f>VLOOKUP($D41,Résultats!$B$2:$AZ$251,AE$2,FALSE)</f>
        <v>1.4371402799999999E-3</v>
      </c>
      <c r="AF41" s="25">
        <f>VLOOKUP($D41,Résultats!$B$2:$AZ$251,AF$2,FALSE)</f>
        <v>6.8255683399999999E-4</v>
      </c>
      <c r="AG41" s="25">
        <f>VLOOKUP($D41,Résultats!$B$2:$AZ$251,AG$2,FALSE)</f>
        <v>3.2357033900000002E-4</v>
      </c>
      <c r="AH41" s="25">
        <f>VLOOKUP($D41,Résultats!$B$2:$AZ$251,AH$2,FALSE)</f>
        <v>1.4327090399999999E-4</v>
      </c>
      <c r="AI41" s="25">
        <f>VLOOKUP($D41,Résultats!$B$2:$AZ$251,AI$2,FALSE)</f>
        <v>6.9482055899999998E-5</v>
      </c>
      <c r="AJ41" s="25">
        <f>VLOOKUP($D41,Résultats!$B$2:$AZ$251,AJ$2,FALSE)</f>
        <v>3.3586129799999999E-5</v>
      </c>
      <c r="AK41" s="25">
        <f>VLOOKUP($D41,Résultats!$B$2:$AZ$251,AK$2,FALSE)</f>
        <v>1.6230960600000001E-5</v>
      </c>
      <c r="AL41" s="25">
        <f>VLOOKUP($D41,Résultats!$B$2:$AZ$251,AL$2,FALSE)</f>
        <v>7.8369569299999999E-6</v>
      </c>
      <c r="AM41" s="102">
        <f>VLOOKUP($D41,Résultats!$B$2:$AZ$251,AM$2,FALSE)</f>
        <v>3.7469977400000001E-6</v>
      </c>
    </row>
    <row r="42" spans="2:39" x14ac:dyDescent="0.25">
      <c r="C42" s="219" t="s">
        <v>33</v>
      </c>
      <c r="D42" s="7" t="s">
        <v>157</v>
      </c>
      <c r="E42" s="57">
        <f>VLOOKUP($D42,Résultats!$B$2:$AZ$251,E$2,FALSE)</f>
        <v>35.580097039999998</v>
      </c>
      <c r="F42" s="57">
        <f>VLOOKUP($D42,Résultats!$B$2:$AZ$251,F$2,FALSE)</f>
        <v>12.597266469999999</v>
      </c>
      <c r="G42" s="57">
        <f>VLOOKUP($D42,Résultats!$B$2:$AZ$251,G$2,FALSE)</f>
        <v>12.84783528</v>
      </c>
      <c r="H42" s="57">
        <f>VLOOKUP($D42,Résultats!$B$2:$AZ$251,H$2,FALSE)</f>
        <v>9.4355096879999998</v>
      </c>
      <c r="I42" s="57">
        <f>VLOOKUP($D42,Résultats!$B$2:$AZ$251,I$2,FALSE)</f>
        <v>4.1620597930000001</v>
      </c>
      <c r="J42" s="57">
        <f>VLOOKUP($D42,Résultats!$B$2:$AZ$251,J$2,FALSE)</f>
        <v>1.7118550200000002E-8</v>
      </c>
      <c r="K42" s="57">
        <f>VLOOKUP($D42,Résultats!$B$2:$AZ$251,K$2,FALSE)</f>
        <v>0</v>
      </c>
      <c r="L42" s="57">
        <f>VLOOKUP($D42,Résultats!$B$2:$AZ$251,L$2,FALSE)</f>
        <v>0</v>
      </c>
      <c r="M42" s="57">
        <f>VLOOKUP($D42,Résultats!$B$2:$AZ$251,M$2,FALSE)</f>
        <v>0</v>
      </c>
      <c r="N42" s="57">
        <f>VLOOKUP($D42,Résultats!$B$2:$AZ$251,N$2,FALSE)</f>
        <v>0</v>
      </c>
      <c r="O42" s="57">
        <f>VLOOKUP($D42,Résultats!$B$2:$AZ$251,O$2,FALSE)</f>
        <v>0</v>
      </c>
      <c r="P42" s="57">
        <f>VLOOKUP($D42,Résultats!$B$2:$AZ$251,P$2,FALSE)</f>
        <v>0</v>
      </c>
      <c r="Q42" s="57">
        <f>VLOOKUP($D42,Résultats!$B$2:$AZ$251,Q$2,FALSE)</f>
        <v>0</v>
      </c>
      <c r="R42" s="57">
        <f>VLOOKUP($D42,Résultats!$B$2:$AZ$251,R$2,FALSE)</f>
        <v>0</v>
      </c>
      <c r="S42" s="57">
        <f>VLOOKUP($D42,Résultats!$B$2:$AZ$251,S$2,FALSE)</f>
        <v>0</v>
      </c>
      <c r="T42" s="57">
        <f>VLOOKUP($D42,Résultats!$B$2:$AZ$251,T$2,FALSE)</f>
        <v>0</v>
      </c>
      <c r="U42" s="57">
        <f>VLOOKUP($D42,Résultats!$B$2:$AZ$251,U$2,FALSE)</f>
        <v>0</v>
      </c>
      <c r="V42" s="57">
        <f>VLOOKUP($D42,Résultats!$B$2:$AZ$251,V$2,FALSE)</f>
        <v>0</v>
      </c>
      <c r="W42" s="57">
        <f>VLOOKUP($D42,Résultats!$B$2:$AZ$251,W$2,FALSE)</f>
        <v>0</v>
      </c>
      <c r="X42" s="57">
        <f>VLOOKUP($D42,Résultats!$B$2:$AZ$251,X$2,FALSE)</f>
        <v>0</v>
      </c>
      <c r="Y42" s="57">
        <f>VLOOKUP($D42,Résultats!$B$2:$AZ$251,Y$2,FALSE)</f>
        <v>0</v>
      </c>
      <c r="Z42" s="57">
        <f>VLOOKUP($D42,Résultats!$B$2:$AZ$251,Z$2,FALSE)</f>
        <v>0</v>
      </c>
      <c r="AA42" s="57">
        <f>VLOOKUP($D42,Résultats!$B$2:$AZ$251,AA$2,FALSE)</f>
        <v>0</v>
      </c>
      <c r="AB42" s="57">
        <f>VLOOKUP($D42,Résultats!$B$2:$AZ$251,AB$2,FALSE)</f>
        <v>0</v>
      </c>
      <c r="AC42" s="57">
        <f>VLOOKUP($D42,Résultats!$B$2:$AZ$251,AC$2,FALSE)</f>
        <v>0</v>
      </c>
      <c r="AD42" s="57">
        <f>VLOOKUP($D42,Résultats!$B$2:$AZ$251,AD$2,FALSE)</f>
        <v>0</v>
      </c>
      <c r="AE42" s="57">
        <f>VLOOKUP($D42,Résultats!$B$2:$AZ$251,AE$2,FALSE)</f>
        <v>0</v>
      </c>
      <c r="AF42" s="57">
        <f>VLOOKUP($D42,Résultats!$B$2:$AZ$251,AF$2,FALSE)</f>
        <v>0</v>
      </c>
      <c r="AG42" s="57">
        <f>VLOOKUP($D42,Résultats!$B$2:$AZ$251,AG$2,FALSE)</f>
        <v>0</v>
      </c>
      <c r="AH42" s="57">
        <f>VLOOKUP($D42,Résultats!$B$2:$AZ$251,AH$2,FALSE)</f>
        <v>0</v>
      </c>
      <c r="AI42" s="57">
        <f>VLOOKUP($D42,Résultats!$B$2:$AZ$251,AI$2,FALSE)</f>
        <v>0</v>
      </c>
      <c r="AJ42" s="57">
        <f>VLOOKUP($D42,Résultats!$B$2:$AZ$251,AJ$2,FALSE)</f>
        <v>0</v>
      </c>
      <c r="AK42" s="57">
        <f>VLOOKUP($D42,Résultats!$B$2:$AZ$251,AK$2,FALSE)</f>
        <v>0</v>
      </c>
      <c r="AL42" s="57">
        <f>VLOOKUP($D42,Résultats!$B$2:$AZ$251,AL$2,FALSE)</f>
        <v>0</v>
      </c>
      <c r="AM42" s="215">
        <f>VLOOKUP($D42,Résultats!$B$2:$AZ$251,AM$2,FALSE)</f>
        <v>0</v>
      </c>
    </row>
    <row r="43" spans="2:39" x14ac:dyDescent="0.25">
      <c r="B43" s="229" t="s">
        <v>78</v>
      </c>
      <c r="C43" s="220" t="s">
        <v>463</v>
      </c>
      <c r="D43" s="58" t="s">
        <v>130</v>
      </c>
      <c r="E43" s="99">
        <f>VLOOKUP($D48,Résultats!$B$2:$AZ$212,E$2,FALSE)</f>
        <v>32001.800439999999</v>
      </c>
      <c r="F43" s="99">
        <f>VLOOKUP($D48,Résultats!$B$2:$AZ$212,F$2,FALSE)</f>
        <v>35911.307350000003</v>
      </c>
      <c r="G43" s="99">
        <f>VLOOKUP($D48,Résultats!$B$2:$AZ$212,G$2,FALSE)</f>
        <v>36708.886160000002</v>
      </c>
      <c r="H43" s="99">
        <f>VLOOKUP($D48,Résultats!$B$2:$AZ$212,H$2,FALSE)</f>
        <v>37113.743849999999</v>
      </c>
      <c r="I43" s="99">
        <f>VLOOKUP($D48,Résultats!$B$2:$AZ$212,I$2,FALSE)</f>
        <v>37188.885329999997</v>
      </c>
      <c r="J43" s="99">
        <f>VLOOKUP($D48,Résultats!$B$2:$AZ$212,J$2,FALSE)</f>
        <v>37050.595860000001</v>
      </c>
      <c r="K43" s="99">
        <f>VLOOKUP($D48,Résultats!$B$2:$AZ$212,K$2,FALSE)</f>
        <v>36712.619359999997</v>
      </c>
      <c r="L43" s="99">
        <f>VLOOKUP($D48,Résultats!$B$2:$AZ$212,L$2,FALSE)</f>
        <v>36343.739090000003</v>
      </c>
      <c r="M43" s="99">
        <f>VLOOKUP($D48,Résultats!$B$2:$AZ$212,M$2,FALSE)</f>
        <v>36463.573700000001</v>
      </c>
      <c r="N43" s="99">
        <f>VLOOKUP($D48,Résultats!$B$2:$AZ$212,N$2,FALSE)</f>
        <v>36745.288950000002</v>
      </c>
      <c r="O43" s="99">
        <f>VLOOKUP($D48,Résultats!$B$2:$AZ$212,O$2,FALSE)</f>
        <v>36616.97464</v>
      </c>
      <c r="P43" s="99">
        <f>VLOOKUP($D48,Résultats!$B$2:$AZ$212,P$2,FALSE)</f>
        <v>36306.289049999999</v>
      </c>
      <c r="Q43" s="99">
        <f>VLOOKUP($D48,Résultats!$B$2:$AZ$212,Q$2,FALSE)</f>
        <v>35896.733780000002</v>
      </c>
      <c r="R43" s="99">
        <f>VLOOKUP($D48,Résultats!$B$2:$AZ$212,R$2,FALSE)</f>
        <v>35420.443959999997</v>
      </c>
      <c r="S43" s="99">
        <f>VLOOKUP($D48,Résultats!$B$2:$AZ$212,S$2,FALSE)</f>
        <v>34904.845990000002</v>
      </c>
      <c r="T43" s="99">
        <f>VLOOKUP($D48,Résultats!$B$2:$AZ$212,T$2,FALSE)</f>
        <v>34364.076939999999</v>
      </c>
      <c r="U43" s="99">
        <f>VLOOKUP($D48,Résultats!$B$2:$AZ$212,U$2,FALSE)</f>
        <v>33826.310380000003</v>
      </c>
      <c r="V43" s="99">
        <f>VLOOKUP($D48,Résultats!$B$2:$AZ$212,V$2,FALSE)</f>
        <v>33296.709060000001</v>
      </c>
      <c r="W43" s="99">
        <f>VLOOKUP($D48,Résultats!$B$2:$AZ$212,W$2,FALSE)</f>
        <v>32780.313900000001</v>
      </c>
      <c r="X43" s="99">
        <f>VLOOKUP($D48,Résultats!$B$2:$AZ$212,X$2,FALSE)</f>
        <v>32277.615689999999</v>
      </c>
      <c r="Y43" s="99">
        <f>VLOOKUP($D48,Résultats!$B$2:$AZ$212,Y$2,FALSE)</f>
        <v>31826.594779999999</v>
      </c>
      <c r="Z43" s="99">
        <f>VLOOKUP($D48,Résultats!$B$2:$AZ$212,Z$2,FALSE)</f>
        <v>31411.51396</v>
      </c>
      <c r="AA43" s="99">
        <f>VLOOKUP($D48,Résultats!$B$2:$AZ$212,AA$2,FALSE)</f>
        <v>31015.145799999998</v>
      </c>
      <c r="AB43" s="99">
        <f>VLOOKUP($D48,Résultats!$B$2:$AZ$212,AB$2,FALSE)</f>
        <v>30635.25635</v>
      </c>
      <c r="AC43" s="99">
        <f>VLOOKUP($D48,Résultats!$B$2:$AZ$212,AC$2,FALSE)</f>
        <v>30262.691439999999</v>
      </c>
      <c r="AD43" s="99">
        <f>VLOOKUP($D48,Résultats!$B$2:$AZ$212,AD$2,FALSE)</f>
        <v>29899.835050000002</v>
      </c>
      <c r="AE43" s="99">
        <f>VLOOKUP($D48,Résultats!$B$2:$AZ$212,AE$2,FALSE)</f>
        <v>29548.504369999999</v>
      </c>
      <c r="AF43" s="99">
        <f>VLOOKUP($D48,Résultats!$B$2:$AZ$212,AF$2,FALSE)</f>
        <v>29202.967779999999</v>
      </c>
      <c r="AG43" s="99">
        <f>VLOOKUP($D48,Résultats!$B$2:$AZ$212,AG$2,FALSE)</f>
        <v>28861.479630000002</v>
      </c>
      <c r="AH43" s="99">
        <f>VLOOKUP($D48,Résultats!$B$2:$AZ$212,AH$2,FALSE)</f>
        <v>28449.923340000001</v>
      </c>
      <c r="AI43" s="99">
        <f>VLOOKUP($D48,Résultats!$B$2:$AZ$212,AI$2,FALSE)</f>
        <v>28068.384330000001</v>
      </c>
      <c r="AJ43" s="99">
        <f>VLOOKUP($D48,Résultats!$B$2:$AZ$212,AJ$2,FALSE)</f>
        <v>27707.028829999999</v>
      </c>
      <c r="AK43" s="99">
        <f>VLOOKUP($D48,Résultats!$B$2:$AZ$212,AK$2,FALSE)</f>
        <v>27361.119170000002</v>
      </c>
      <c r="AL43" s="99">
        <f>VLOOKUP($D48,Résultats!$B$2:$AZ$212,AL$2,FALSE)</f>
        <v>27025.569</v>
      </c>
      <c r="AM43" s="104">
        <f>VLOOKUP($D48,Résultats!$B$2:$AZ$212,AM$2,FALSE)</f>
        <v>26682.689050000001</v>
      </c>
    </row>
    <row r="44" spans="2:39" x14ac:dyDescent="0.25">
      <c r="B44" s="230"/>
      <c r="C44" s="218" t="s">
        <v>8</v>
      </c>
      <c r="D44" s="54" t="s">
        <v>145</v>
      </c>
      <c r="E44" s="25">
        <f>VLOOKUP($D44,Résultats!$B$2:$AZ$212,E$2,FALSE)</f>
        <v>0</v>
      </c>
      <c r="F44" s="25">
        <f>VLOOKUP($D44,Résultats!$B$2:$AZ$212,F$2,FALSE)</f>
        <v>0</v>
      </c>
      <c r="G44" s="25">
        <f>VLOOKUP($D44,Résultats!$B$2:$AZ$212,G$2,FALSE)</f>
        <v>0</v>
      </c>
      <c r="H44" s="25">
        <f>VLOOKUP($D44,Résultats!$B$2:$AZ$212,H$2,FALSE)</f>
        <v>0</v>
      </c>
      <c r="I44" s="25">
        <f>VLOOKUP($D44,Résultats!$B$2:$AZ$212,I$2,FALSE)</f>
        <v>0</v>
      </c>
      <c r="J44" s="25">
        <f>VLOOKUP($D44,Résultats!$B$2:$AZ$212,J$2,FALSE)</f>
        <v>0</v>
      </c>
      <c r="K44" s="25">
        <f>VLOOKUP($D44,Résultats!$B$2:$AZ$212,K$2,FALSE)</f>
        <v>0</v>
      </c>
      <c r="L44" s="25">
        <f>VLOOKUP($D44,Résultats!$B$2:$AZ$212,L$2,FALSE)</f>
        <v>0</v>
      </c>
      <c r="M44" s="25">
        <f>VLOOKUP($D44,Résultats!$B$2:$AZ$212,M$2,FALSE)</f>
        <v>0</v>
      </c>
      <c r="N44" s="25">
        <f>VLOOKUP($D44,Résultats!$B$2:$AZ$212,N$2,FALSE)</f>
        <v>0</v>
      </c>
      <c r="O44" s="25">
        <f>VLOOKUP($D44,Résultats!$B$2:$AZ$212,O$2,FALSE)</f>
        <v>0</v>
      </c>
      <c r="P44" s="25">
        <f>VLOOKUP($D44,Résultats!$B$2:$AZ$212,P$2,FALSE)</f>
        <v>0</v>
      </c>
      <c r="Q44" s="25">
        <f>VLOOKUP($D44,Résultats!$B$2:$AZ$212,Q$2,FALSE)</f>
        <v>0</v>
      </c>
      <c r="R44" s="25">
        <f>VLOOKUP($D44,Résultats!$B$2:$AZ$212,R$2,FALSE)</f>
        <v>0</v>
      </c>
      <c r="S44" s="25">
        <f>VLOOKUP($D44,Résultats!$B$2:$AZ$212,S$2,FALSE)</f>
        <v>0</v>
      </c>
      <c r="T44" s="25">
        <f>VLOOKUP($D44,Résultats!$B$2:$AZ$212,T$2,FALSE)</f>
        <v>0</v>
      </c>
      <c r="U44" s="25">
        <f>VLOOKUP($D44,Résultats!$B$2:$AZ$212,U$2,FALSE)</f>
        <v>0</v>
      </c>
      <c r="V44" s="25">
        <f>VLOOKUP($D44,Résultats!$B$2:$AZ$212,V$2,FALSE)</f>
        <v>0</v>
      </c>
      <c r="W44" s="25">
        <f>VLOOKUP($D44,Résultats!$B$2:$AZ$212,W$2,FALSE)</f>
        <v>0</v>
      </c>
      <c r="X44" s="25">
        <f>VLOOKUP($D44,Résultats!$B$2:$AZ$212,X$2,FALSE)</f>
        <v>0</v>
      </c>
      <c r="Y44" s="25">
        <f>VLOOKUP($D44,Résultats!$B$2:$AZ$212,Y$2,FALSE)</f>
        <v>0</v>
      </c>
      <c r="Z44" s="25">
        <f>VLOOKUP($D44,Résultats!$B$2:$AZ$212,Z$2,FALSE)</f>
        <v>0</v>
      </c>
      <c r="AA44" s="25">
        <f>VLOOKUP($D44,Résultats!$B$2:$AZ$212,AA$2,FALSE)</f>
        <v>0</v>
      </c>
      <c r="AB44" s="25">
        <f>VLOOKUP($D44,Résultats!$B$2:$AZ$212,AB$2,FALSE)</f>
        <v>0</v>
      </c>
      <c r="AC44" s="25">
        <f>VLOOKUP($D44,Résultats!$B$2:$AZ$212,AC$2,FALSE)</f>
        <v>0</v>
      </c>
      <c r="AD44" s="25">
        <f>VLOOKUP($D44,Résultats!$B$2:$AZ$212,AD$2,FALSE)</f>
        <v>0</v>
      </c>
      <c r="AE44" s="25">
        <f>VLOOKUP($D44,Résultats!$B$2:$AZ$212,AE$2,FALSE)</f>
        <v>0</v>
      </c>
      <c r="AF44" s="25">
        <f>VLOOKUP($D44,Résultats!$B$2:$AZ$212,AF$2,FALSE)</f>
        <v>0</v>
      </c>
      <c r="AG44" s="25">
        <f>VLOOKUP($D44,Résultats!$B$2:$AZ$212,AG$2,FALSE)</f>
        <v>0</v>
      </c>
      <c r="AH44" s="25">
        <f>VLOOKUP($D44,Résultats!$B$2:$AZ$212,AH$2,FALSE)</f>
        <v>0</v>
      </c>
      <c r="AI44" s="25">
        <f>VLOOKUP($D44,Résultats!$B$2:$AZ$212,AI$2,FALSE)</f>
        <v>0</v>
      </c>
      <c r="AJ44" s="25">
        <f>VLOOKUP($D44,Résultats!$B$2:$AZ$212,AJ$2,FALSE)</f>
        <v>0</v>
      </c>
      <c r="AK44" s="25">
        <f>VLOOKUP($D44,Résultats!$B$2:$AZ$212,AK$2,FALSE)</f>
        <v>0</v>
      </c>
      <c r="AL44" s="25">
        <f>VLOOKUP($D44,Résultats!$B$2:$AZ$212,AL$2,FALSE)</f>
        <v>0</v>
      </c>
      <c r="AM44" s="102">
        <f>VLOOKUP($D44,Résultats!$B$2:$AZ$212,AM$2,FALSE)</f>
        <v>0</v>
      </c>
    </row>
    <row r="45" spans="2:39" x14ac:dyDescent="0.25">
      <c r="B45" s="230"/>
      <c r="C45" s="218" t="s">
        <v>6</v>
      </c>
      <c r="D45" s="3" t="s">
        <v>146</v>
      </c>
      <c r="E45" s="25">
        <f>VLOOKUP($D45,Résultats!$B$2:$AZ$212,E$2,FALSE)</f>
        <v>31999.388770000001</v>
      </c>
      <c r="F45" s="25">
        <f>VLOOKUP($D45,Résultats!$B$2:$AZ$212,F$2,FALSE)</f>
        <v>35758.76528</v>
      </c>
      <c r="G45" s="25">
        <f>VLOOKUP($D45,Résultats!$B$2:$AZ$212,G$2,FALSE)</f>
        <v>36351.668870000001</v>
      </c>
      <c r="H45" s="25">
        <f>VLOOKUP($D45,Résultats!$B$2:$AZ$212,H$2,FALSE)</f>
        <v>36642.938629999997</v>
      </c>
      <c r="I45" s="25">
        <f>VLOOKUP($D45,Résultats!$B$2:$AZ$212,I$2,FALSE)</f>
        <v>36599.194000000003</v>
      </c>
      <c r="J45" s="25">
        <f>VLOOKUP($D45,Résultats!$B$2:$AZ$212,J$2,FALSE)</f>
        <v>36332.528789999997</v>
      </c>
      <c r="K45" s="25">
        <f>VLOOKUP($D45,Résultats!$B$2:$AZ$212,K$2,FALSE)</f>
        <v>35840.556920000003</v>
      </c>
      <c r="L45" s="25">
        <f>VLOOKUP($D45,Résultats!$B$2:$AZ$212,L$2,FALSE)</f>
        <v>35278.235339999999</v>
      </c>
      <c r="M45" s="25">
        <f>VLOOKUP($D45,Résultats!$B$2:$AZ$212,M$2,FALSE)</f>
        <v>35091.783640000001</v>
      </c>
      <c r="N45" s="25">
        <f>VLOOKUP($D45,Résultats!$B$2:$AZ$212,N$2,FALSE)</f>
        <v>34987.094120000002</v>
      </c>
      <c r="O45" s="25">
        <f>VLOOKUP($D45,Résultats!$B$2:$AZ$212,O$2,FALSE)</f>
        <v>34479.217940000002</v>
      </c>
      <c r="P45" s="25">
        <f>VLOOKUP($D45,Résultats!$B$2:$AZ$212,P$2,FALSE)</f>
        <v>33719.788930000002</v>
      </c>
      <c r="Q45" s="25">
        <f>VLOOKUP($D45,Résultats!$B$2:$AZ$212,Q$2,FALSE)</f>
        <v>32734.757679999999</v>
      </c>
      <c r="R45" s="25">
        <f>VLOOKUP($D45,Résultats!$B$2:$AZ$212,R$2,FALSE)</f>
        <v>31549.215110000001</v>
      </c>
      <c r="S45" s="25">
        <f>VLOOKUP($D45,Résultats!$B$2:$AZ$212,S$2,FALSE)</f>
        <v>30199.260389999999</v>
      </c>
      <c r="T45" s="25">
        <f>VLOOKUP($D45,Résultats!$B$2:$AZ$212,T$2,FALSE)</f>
        <v>28732.13998</v>
      </c>
      <c r="U45" s="25">
        <f>VLOOKUP($D45,Résultats!$B$2:$AZ$212,U$2,FALSE)</f>
        <v>27206.979340000002</v>
      </c>
      <c r="V45" s="25">
        <f>VLOOKUP($D45,Résultats!$B$2:$AZ$212,V$2,FALSE)</f>
        <v>25674.397629999999</v>
      </c>
      <c r="W45" s="25">
        <f>VLOOKUP($D45,Résultats!$B$2:$AZ$212,W$2,FALSE)</f>
        <v>24172.910680000001</v>
      </c>
      <c r="X45" s="25">
        <f>VLOOKUP($D45,Résultats!$B$2:$AZ$212,X$2,FALSE)</f>
        <v>22726.064750000001</v>
      </c>
      <c r="Y45" s="25">
        <f>VLOOKUP($D45,Résultats!$B$2:$AZ$212,Y$2,FALSE)</f>
        <v>21346.212179999999</v>
      </c>
      <c r="Z45" s="25">
        <f>VLOOKUP($D45,Résultats!$B$2:$AZ$212,Z$2,FALSE)</f>
        <v>20037.348000000002</v>
      </c>
      <c r="AA45" s="25">
        <f>VLOOKUP($D45,Résultats!$B$2:$AZ$212,AA$2,FALSE)</f>
        <v>18799.7899</v>
      </c>
      <c r="AB45" s="25">
        <f>VLOOKUP($D45,Résultats!$B$2:$AZ$212,AB$2,FALSE)</f>
        <v>17631.896049999999</v>
      </c>
      <c r="AC45" s="25">
        <f>VLOOKUP($D45,Résultats!$B$2:$AZ$212,AC$2,FALSE)</f>
        <v>16531.00606</v>
      </c>
      <c r="AD45" s="25">
        <f>VLOOKUP($D45,Résultats!$B$2:$AZ$212,AD$2,FALSE)</f>
        <v>15498.365040000001</v>
      </c>
      <c r="AE45" s="25">
        <f>VLOOKUP($D45,Résultats!$B$2:$AZ$212,AE$2,FALSE)</f>
        <v>14529.98855</v>
      </c>
      <c r="AF45" s="25">
        <f>VLOOKUP($D45,Résultats!$B$2:$AZ$212,AF$2,FALSE)</f>
        <v>13621.998390000001</v>
      </c>
      <c r="AG45" s="25">
        <f>VLOOKUP($D45,Résultats!$B$2:$AZ$212,AG$2,FALSE)</f>
        <v>12770.68973</v>
      </c>
      <c r="AH45" s="25">
        <f>VLOOKUP($D45,Résultats!$B$2:$AZ$212,AH$2,FALSE)</f>
        <v>11919.344150000001</v>
      </c>
      <c r="AI45" s="25">
        <f>VLOOKUP($D45,Résultats!$B$2:$AZ$212,AI$2,FALSE)</f>
        <v>11124.738090000001</v>
      </c>
      <c r="AJ45" s="25">
        <f>VLOOKUP($D45,Résultats!$B$2:$AZ$212,AJ$2,FALSE)</f>
        <v>10383.09729</v>
      </c>
      <c r="AK45" s="25">
        <f>VLOOKUP($D45,Résultats!$B$2:$AZ$212,AK$2,FALSE)</f>
        <v>9690.8949790000006</v>
      </c>
      <c r="AL45" s="25">
        <f>VLOOKUP($D45,Résultats!$B$2:$AZ$212,AL$2,FALSE)</f>
        <v>9044.8373819999997</v>
      </c>
      <c r="AM45" s="102">
        <f>VLOOKUP($D45,Résultats!$B$2:$AZ$212,AM$2,FALSE)</f>
        <v>8441.849236</v>
      </c>
    </row>
    <row r="46" spans="2:39" x14ac:dyDescent="0.25">
      <c r="B46" s="230"/>
      <c r="C46" s="218" t="s">
        <v>34</v>
      </c>
      <c r="D46" s="3" t="s">
        <v>147</v>
      </c>
      <c r="E46" s="25">
        <f>VLOOKUP($D46,Résultats!$B$2:$AZ$212,E$2,FALSE)</f>
        <v>2.411668513</v>
      </c>
      <c r="F46" s="25">
        <f>VLOOKUP($D46,Résultats!$B$2:$AZ$212,F$2,FALSE)</f>
        <v>152.54206970000001</v>
      </c>
      <c r="G46" s="25">
        <f>VLOOKUP($D46,Résultats!$B$2:$AZ$212,G$2,FALSE)</f>
        <v>357.21728919999998</v>
      </c>
      <c r="H46" s="25">
        <f>VLOOKUP($D46,Résultats!$B$2:$AZ$212,H$2,FALSE)</f>
        <v>470.80521440000001</v>
      </c>
      <c r="I46" s="25">
        <f>VLOOKUP($D46,Résultats!$B$2:$AZ$212,I$2,FALSE)</f>
        <v>589.69133429999999</v>
      </c>
      <c r="J46" s="25">
        <f>VLOOKUP($D46,Résultats!$B$2:$AZ$212,J$2,FALSE)</f>
        <v>718.06707040000003</v>
      </c>
      <c r="K46" s="25">
        <f>VLOOKUP($D46,Résultats!$B$2:$AZ$212,K$2,FALSE)</f>
        <v>872.06244679999998</v>
      </c>
      <c r="L46" s="25">
        <f>VLOOKUP($D46,Résultats!$B$2:$AZ$212,L$2,FALSE)</f>
        <v>1065.503751</v>
      </c>
      <c r="M46" s="25">
        <f>VLOOKUP($D46,Résultats!$B$2:$AZ$212,M$2,FALSE)</f>
        <v>1371.790062</v>
      </c>
      <c r="N46" s="25">
        <f>VLOOKUP($D46,Résultats!$B$2:$AZ$212,N$2,FALSE)</f>
        <v>1758.194827</v>
      </c>
      <c r="O46" s="25">
        <f>VLOOKUP($D46,Résultats!$B$2:$AZ$212,O$2,FALSE)</f>
        <v>2137.7566980000001</v>
      </c>
      <c r="P46" s="25">
        <f>VLOOKUP($D46,Résultats!$B$2:$AZ$212,P$2,FALSE)</f>
        <v>2586.5001200000002</v>
      </c>
      <c r="Q46" s="25">
        <f>VLOOKUP($D46,Résultats!$B$2:$AZ$212,Q$2,FALSE)</f>
        <v>3161.9761039999999</v>
      </c>
      <c r="R46" s="25">
        <f>VLOOKUP($D46,Résultats!$B$2:$AZ$212,R$2,FALSE)</f>
        <v>3871.22885</v>
      </c>
      <c r="S46" s="25">
        <f>VLOOKUP($D46,Résultats!$B$2:$AZ$212,S$2,FALSE)</f>
        <v>4705.5855940000001</v>
      </c>
      <c r="T46" s="25">
        <f>VLOOKUP($D46,Résultats!$B$2:$AZ$212,T$2,FALSE)</f>
        <v>5631.9369539999998</v>
      </c>
      <c r="U46" s="25">
        <f>VLOOKUP($D46,Résultats!$B$2:$AZ$212,U$2,FALSE)</f>
        <v>6619.3310439999996</v>
      </c>
      <c r="V46" s="25">
        <f>VLOOKUP($D46,Résultats!$B$2:$AZ$212,V$2,FALSE)</f>
        <v>7622.3114299999997</v>
      </c>
      <c r="W46" s="25">
        <f>VLOOKUP($D46,Résultats!$B$2:$AZ$212,W$2,FALSE)</f>
        <v>8607.4032210000005</v>
      </c>
      <c r="X46" s="25">
        <f>VLOOKUP($D46,Résultats!$B$2:$AZ$212,X$2,FALSE)</f>
        <v>9551.5509390000007</v>
      </c>
      <c r="Y46" s="25">
        <f>VLOOKUP($D46,Résultats!$B$2:$AZ$212,Y$2,FALSE)</f>
        <v>10480.382600000001</v>
      </c>
      <c r="Z46" s="25">
        <f>VLOOKUP($D46,Résultats!$B$2:$AZ$212,Z$2,FALSE)</f>
        <v>11374.16596</v>
      </c>
      <c r="AA46" s="25">
        <f>VLOOKUP($D46,Résultats!$B$2:$AZ$212,AA$2,FALSE)</f>
        <v>12215.3559</v>
      </c>
      <c r="AB46" s="25">
        <f>VLOOKUP($D46,Résultats!$B$2:$AZ$212,AB$2,FALSE)</f>
        <v>13003.360290000001</v>
      </c>
      <c r="AC46" s="25">
        <f>VLOOKUP($D46,Résultats!$B$2:$AZ$212,AC$2,FALSE)</f>
        <v>13731.685369999999</v>
      </c>
      <c r="AD46" s="25">
        <f>VLOOKUP($D46,Résultats!$B$2:$AZ$212,AD$2,FALSE)</f>
        <v>14401.47</v>
      </c>
      <c r="AE46" s="25">
        <f>VLOOKUP($D46,Résultats!$B$2:$AZ$212,AE$2,FALSE)</f>
        <v>15018.51583</v>
      </c>
      <c r="AF46" s="25">
        <f>VLOOKUP($D46,Résultats!$B$2:$AZ$212,AF$2,FALSE)</f>
        <v>15580.96939</v>
      </c>
      <c r="AG46" s="25">
        <f>VLOOKUP($D46,Résultats!$B$2:$AZ$212,AG$2,FALSE)</f>
        <v>16090.7899</v>
      </c>
      <c r="AH46" s="25">
        <f>VLOOKUP($D46,Résultats!$B$2:$AZ$212,AH$2,FALSE)</f>
        <v>16530.57919</v>
      </c>
      <c r="AI46" s="25">
        <f>VLOOKUP($D46,Résultats!$B$2:$AZ$212,AI$2,FALSE)</f>
        <v>16943.646239999998</v>
      </c>
      <c r="AJ46" s="25">
        <f>VLOOKUP($D46,Résultats!$B$2:$AZ$212,AJ$2,FALSE)</f>
        <v>17323.931540000001</v>
      </c>
      <c r="AK46" s="25">
        <f>VLOOKUP($D46,Résultats!$B$2:$AZ$212,AK$2,FALSE)</f>
        <v>17670.224190000001</v>
      </c>
      <c r="AL46" s="25">
        <f>VLOOKUP($D46,Résultats!$B$2:$AZ$212,AL$2,FALSE)</f>
        <v>17980.731619999999</v>
      </c>
      <c r="AM46" s="102">
        <f>VLOOKUP($D46,Résultats!$B$2:$AZ$212,AM$2,FALSE)</f>
        <v>18240.839810000001</v>
      </c>
    </row>
    <row r="47" spans="2:39" x14ac:dyDescent="0.25">
      <c r="B47" s="230"/>
      <c r="C47" s="218" t="s">
        <v>35</v>
      </c>
      <c r="D47" s="3" t="s">
        <v>148</v>
      </c>
      <c r="E47" s="25">
        <f>VLOOKUP($D47,Résultats!$B$2:$AZ$212,E$2,FALSE)</f>
        <v>2.2615513600000001E-2</v>
      </c>
      <c r="F47" s="25">
        <f>VLOOKUP($D47,Résultats!$B$2:$AZ$212,F$2,FALSE)</f>
        <v>0.33775535340000001</v>
      </c>
      <c r="G47" s="25">
        <f>VLOOKUP($D47,Résultats!$B$2:$AZ$212,G$2,FALSE)</f>
        <v>0.42704484100000001</v>
      </c>
      <c r="H47" s="25">
        <f>VLOOKUP($D47,Résultats!$B$2:$AZ$212,H$2,FALSE)</f>
        <v>0.47328878289999998</v>
      </c>
      <c r="I47" s="25">
        <f>VLOOKUP($D47,Résultats!$B$2:$AZ$212,I$2,FALSE)</f>
        <v>0.53264418810000003</v>
      </c>
      <c r="J47" s="25">
        <f>VLOOKUP($D47,Résultats!$B$2:$AZ$212,J$2,FALSE)</f>
        <v>0.57489115830000004</v>
      </c>
      <c r="K47" s="25">
        <f>VLOOKUP($D47,Résultats!$B$2:$AZ$212,K$2,FALSE)</f>
        <v>0.63876431550000001</v>
      </c>
      <c r="L47" s="25">
        <f>VLOOKUP($D47,Résultats!$B$2:$AZ$212,L$2,FALSE)</f>
        <v>0.71418406270000001</v>
      </c>
      <c r="M47" s="25">
        <f>VLOOKUP($D47,Résultats!$B$2:$AZ$212,M$2,FALSE)</f>
        <v>0.81737756549999996</v>
      </c>
      <c r="N47" s="25">
        <f>VLOOKUP($D47,Résultats!$B$2:$AZ$212,N$2,FALSE)</f>
        <v>0.92865091990000004</v>
      </c>
      <c r="O47" s="25">
        <f>VLOOKUP($D47,Résultats!$B$2:$AZ$212,O$2,FALSE)</f>
        <v>1.006011269</v>
      </c>
      <c r="P47" s="25">
        <f>VLOOKUP($D47,Résultats!$B$2:$AZ$212,P$2,FALSE)</f>
        <v>1.059450177</v>
      </c>
      <c r="Q47" s="25">
        <f>VLOOKUP($D47,Résultats!$B$2:$AZ$212,Q$2,FALSE)</f>
        <v>1.0898742669999999</v>
      </c>
      <c r="R47" s="25">
        <f>VLOOKUP($D47,Résultats!$B$2:$AZ$212,R$2,FALSE)</f>
        <v>1.0988693979999999</v>
      </c>
      <c r="S47" s="25">
        <f>VLOOKUP($D47,Résultats!$B$2:$AZ$212,S$2,FALSE)</f>
        <v>1.087909274</v>
      </c>
      <c r="T47" s="25">
        <f>VLOOKUP($D47,Résultats!$B$2:$AZ$212,T$2,FALSE)</f>
        <v>1.059446401</v>
      </c>
      <c r="U47" s="25">
        <f>VLOOKUP($D47,Résultats!$B$2:$AZ$212,U$2,FALSE)</f>
        <v>1.0185755910000001</v>
      </c>
      <c r="V47" s="25">
        <f>VLOOKUP($D47,Résultats!$B$2:$AZ$212,V$2,FALSE)</f>
        <v>0.9702441799</v>
      </c>
      <c r="W47" s="25">
        <f>VLOOKUP($D47,Résultats!$B$2:$AZ$212,W$2,FALSE)</f>
        <v>0.91857429859999995</v>
      </c>
      <c r="X47" s="25">
        <f>VLOOKUP($D47,Résultats!$B$2:$AZ$212,X$2,FALSE)</f>
        <v>0.86634426019999999</v>
      </c>
      <c r="Y47" s="25">
        <f>VLOOKUP($D47,Résultats!$B$2:$AZ$212,Y$2,FALSE)</f>
        <v>0.81523619270000003</v>
      </c>
      <c r="Z47" s="25">
        <f>VLOOKUP($D47,Résultats!$B$2:$AZ$212,Z$2,FALSE)</f>
        <v>0.76604440689999997</v>
      </c>
      <c r="AA47" s="25">
        <f>VLOOKUP($D47,Résultats!$B$2:$AZ$212,AA$2,FALSE)</f>
        <v>0.7191484789</v>
      </c>
      <c r="AB47" s="25">
        <f>VLOOKUP($D47,Résultats!$B$2:$AZ$212,AB$2,FALSE)</f>
        <v>0.67469059139999998</v>
      </c>
      <c r="AC47" s="25">
        <f>VLOOKUP($D47,Résultats!$B$2:$AZ$212,AC$2,FALSE)</f>
        <v>0.63267721560000001</v>
      </c>
      <c r="AD47" s="25">
        <f>VLOOKUP($D47,Résultats!$B$2:$AZ$212,AD$2,FALSE)</f>
        <v>0.59321392159999997</v>
      </c>
      <c r="AE47" s="25">
        <f>VLOOKUP($D47,Résultats!$B$2:$AZ$212,AE$2,FALSE)</f>
        <v>0.55617840299999999</v>
      </c>
      <c r="AF47" s="25">
        <f>VLOOKUP($D47,Résultats!$B$2:$AZ$212,AF$2,FALSE)</f>
        <v>0.52143776269999997</v>
      </c>
      <c r="AG47" s="25">
        <f>VLOOKUP($D47,Résultats!$B$2:$AZ$212,AG$2,FALSE)</f>
        <v>0.48885832109999999</v>
      </c>
      <c r="AH47" s="25">
        <f>VLOOKUP($D47,Résultats!$B$2:$AZ$212,AH$2,FALSE)</f>
        <v>0.4562735618</v>
      </c>
      <c r="AI47" s="25">
        <f>VLOOKUP($D47,Résultats!$B$2:$AZ$212,AI$2,FALSE)</f>
        <v>0.4258583051</v>
      </c>
      <c r="AJ47" s="25">
        <f>VLOOKUP($D47,Résultats!$B$2:$AZ$212,AJ$2,FALSE)</f>
        <v>0.39746927599999998</v>
      </c>
      <c r="AK47" s="25">
        <f>VLOOKUP($D47,Résultats!$B$2:$AZ$212,AK$2,FALSE)</f>
        <v>0.37097210180000001</v>
      </c>
      <c r="AL47" s="25">
        <f>VLOOKUP($D47,Résultats!$B$2:$AZ$212,AL$2,FALSE)</f>
        <v>0.34624102369999998</v>
      </c>
      <c r="AM47" s="102">
        <f>VLOOKUP($D47,Résultats!$B$2:$AZ$212,AM$2,FALSE)</f>
        <v>0.32315848740000003</v>
      </c>
    </row>
    <row r="48" spans="2:39" x14ac:dyDescent="0.25">
      <c r="B48" s="230"/>
      <c r="C48" s="220" t="s">
        <v>463</v>
      </c>
      <c r="D48" s="58" t="s">
        <v>130</v>
      </c>
      <c r="E48" s="59">
        <f>VLOOKUP($D48,Résultats!$B$2:$AZ$212,E$2,FALSE)</f>
        <v>32001.800439999999</v>
      </c>
      <c r="F48" s="59">
        <f>VLOOKUP($D48,Résultats!$B$2:$AZ$212,F$2,FALSE)</f>
        <v>35911.307350000003</v>
      </c>
      <c r="G48" s="59">
        <f>VLOOKUP($D48,Résultats!$B$2:$AZ$212,G$2,FALSE)</f>
        <v>36708.886160000002</v>
      </c>
      <c r="H48" s="59">
        <f>VLOOKUP($D48,Résultats!$B$2:$AZ$212,H$2,FALSE)</f>
        <v>37113.743849999999</v>
      </c>
      <c r="I48" s="59">
        <f>VLOOKUP($D48,Résultats!$B$2:$AZ$212,I$2,FALSE)</f>
        <v>37188.885329999997</v>
      </c>
      <c r="J48" s="59">
        <f>VLOOKUP($D48,Résultats!$B$2:$AZ$212,J$2,FALSE)</f>
        <v>37050.595860000001</v>
      </c>
      <c r="K48" s="59">
        <f>VLOOKUP($D48,Résultats!$B$2:$AZ$212,K$2,FALSE)</f>
        <v>36712.619359999997</v>
      </c>
      <c r="L48" s="59">
        <f>VLOOKUP($D48,Résultats!$B$2:$AZ$212,L$2,FALSE)</f>
        <v>36343.739090000003</v>
      </c>
      <c r="M48" s="59">
        <f>VLOOKUP($D48,Résultats!$B$2:$AZ$212,M$2,FALSE)</f>
        <v>36463.573700000001</v>
      </c>
      <c r="N48" s="59">
        <f>VLOOKUP($D48,Résultats!$B$2:$AZ$212,N$2,FALSE)</f>
        <v>36745.288950000002</v>
      </c>
      <c r="O48" s="59">
        <f>VLOOKUP($D48,Résultats!$B$2:$AZ$212,O$2,FALSE)</f>
        <v>36616.97464</v>
      </c>
      <c r="P48" s="59">
        <f>VLOOKUP($D48,Résultats!$B$2:$AZ$212,P$2,FALSE)</f>
        <v>36306.289049999999</v>
      </c>
      <c r="Q48" s="59">
        <f>VLOOKUP($D48,Résultats!$B$2:$AZ$212,Q$2,FALSE)</f>
        <v>35896.733780000002</v>
      </c>
      <c r="R48" s="59">
        <f>VLOOKUP($D48,Résultats!$B$2:$AZ$212,R$2,FALSE)</f>
        <v>35420.443959999997</v>
      </c>
      <c r="S48" s="59">
        <f>VLOOKUP($D48,Résultats!$B$2:$AZ$212,S$2,FALSE)</f>
        <v>34904.845990000002</v>
      </c>
      <c r="T48" s="59">
        <f>VLOOKUP($D48,Résultats!$B$2:$AZ$212,T$2,FALSE)</f>
        <v>34364.076939999999</v>
      </c>
      <c r="U48" s="59">
        <f>VLOOKUP($D48,Résultats!$B$2:$AZ$212,U$2,FALSE)</f>
        <v>33826.310380000003</v>
      </c>
      <c r="V48" s="59">
        <f>VLOOKUP($D48,Résultats!$B$2:$AZ$212,V$2,FALSE)</f>
        <v>33296.709060000001</v>
      </c>
      <c r="W48" s="59">
        <f>VLOOKUP($D48,Résultats!$B$2:$AZ$212,W$2,FALSE)</f>
        <v>32780.313900000001</v>
      </c>
      <c r="X48" s="59">
        <f>VLOOKUP($D48,Résultats!$B$2:$AZ$212,X$2,FALSE)</f>
        <v>32277.615689999999</v>
      </c>
      <c r="Y48" s="59">
        <f>VLOOKUP($D48,Résultats!$B$2:$AZ$212,Y$2,FALSE)</f>
        <v>31826.594779999999</v>
      </c>
      <c r="Z48" s="59">
        <f>VLOOKUP($D48,Résultats!$B$2:$AZ$212,Z$2,FALSE)</f>
        <v>31411.51396</v>
      </c>
      <c r="AA48" s="59">
        <f>VLOOKUP($D48,Résultats!$B$2:$AZ$212,AA$2,FALSE)</f>
        <v>31015.145799999998</v>
      </c>
      <c r="AB48" s="59">
        <f>VLOOKUP($D48,Résultats!$B$2:$AZ$212,AB$2,FALSE)</f>
        <v>30635.25635</v>
      </c>
      <c r="AC48" s="59">
        <f>VLOOKUP($D48,Résultats!$B$2:$AZ$212,AC$2,FALSE)</f>
        <v>30262.691439999999</v>
      </c>
      <c r="AD48" s="59">
        <f>VLOOKUP($D48,Résultats!$B$2:$AZ$212,AD$2,FALSE)</f>
        <v>29899.835050000002</v>
      </c>
      <c r="AE48" s="59">
        <f>VLOOKUP($D48,Résultats!$B$2:$AZ$212,AE$2,FALSE)</f>
        <v>29548.504369999999</v>
      </c>
      <c r="AF48" s="59">
        <f>VLOOKUP($D48,Résultats!$B$2:$AZ$212,AF$2,FALSE)</f>
        <v>29202.967779999999</v>
      </c>
      <c r="AG48" s="59">
        <f>VLOOKUP($D48,Résultats!$B$2:$AZ$212,AG$2,FALSE)</f>
        <v>28861.479630000002</v>
      </c>
      <c r="AH48" s="59">
        <f>VLOOKUP($D48,Résultats!$B$2:$AZ$212,AH$2,FALSE)</f>
        <v>28449.923340000001</v>
      </c>
      <c r="AI48" s="59">
        <f>VLOOKUP($D48,Résultats!$B$2:$AZ$212,AI$2,FALSE)</f>
        <v>28068.384330000001</v>
      </c>
      <c r="AJ48" s="59">
        <f>VLOOKUP($D48,Résultats!$B$2:$AZ$212,AJ$2,FALSE)</f>
        <v>27707.028829999999</v>
      </c>
      <c r="AK48" s="59">
        <f>VLOOKUP($D48,Résultats!$B$2:$AZ$212,AK$2,FALSE)</f>
        <v>27361.119170000002</v>
      </c>
      <c r="AL48" s="59">
        <f>VLOOKUP($D48,Résultats!$B$2:$AZ$212,AL$2,FALSE)</f>
        <v>27025.569</v>
      </c>
      <c r="AM48" s="103">
        <f>VLOOKUP($D48,Résultats!$B$2:$AZ$212,AM$2,FALSE)</f>
        <v>26682.689050000001</v>
      </c>
    </row>
    <row r="49" spans="2:40" x14ac:dyDescent="0.25">
      <c r="B49" s="230"/>
      <c r="C49" s="221" t="s">
        <v>462</v>
      </c>
      <c r="D49" s="3" t="s">
        <v>147</v>
      </c>
      <c r="E49" s="61">
        <f>VLOOKUP($D49,Résultats!$B$2:$AZ$212,E$2,FALSE)</f>
        <v>2.411668513</v>
      </c>
      <c r="F49" s="61">
        <f>VLOOKUP($D49,Résultats!$B$2:$AZ$212,F$2,FALSE)</f>
        <v>152.54206970000001</v>
      </c>
      <c r="G49" s="61">
        <f>VLOOKUP($D49,Résultats!$B$2:$AZ$212,G$2,FALSE)</f>
        <v>357.21728919999998</v>
      </c>
      <c r="H49" s="61">
        <f>VLOOKUP($D49,Résultats!$B$2:$AZ$212,H$2,FALSE)</f>
        <v>470.80521440000001</v>
      </c>
      <c r="I49" s="61">
        <f>VLOOKUP($D49,Résultats!$B$2:$AZ$212,I$2,FALSE)</f>
        <v>589.69133429999999</v>
      </c>
      <c r="J49" s="61">
        <f>VLOOKUP($D49,Résultats!$B$2:$AZ$212,J$2,FALSE)</f>
        <v>718.06707040000003</v>
      </c>
      <c r="K49" s="61">
        <f>VLOOKUP($D49,Résultats!$B$2:$AZ$212,K$2,FALSE)</f>
        <v>872.06244679999998</v>
      </c>
      <c r="L49" s="61">
        <f>VLOOKUP($D49,Résultats!$B$2:$AZ$212,L$2,FALSE)</f>
        <v>1065.503751</v>
      </c>
      <c r="M49" s="61">
        <f>VLOOKUP($D49,Résultats!$B$2:$AZ$212,M$2,FALSE)</f>
        <v>1371.790062</v>
      </c>
      <c r="N49" s="61">
        <f>VLOOKUP($D49,Résultats!$B$2:$AZ$212,N$2,FALSE)</f>
        <v>1758.194827</v>
      </c>
      <c r="O49" s="61">
        <f>VLOOKUP($D49,Résultats!$B$2:$AZ$212,O$2,FALSE)</f>
        <v>2137.7566980000001</v>
      </c>
      <c r="P49" s="61">
        <f>VLOOKUP($D49,Résultats!$B$2:$AZ$212,P$2,FALSE)</f>
        <v>2586.5001200000002</v>
      </c>
      <c r="Q49" s="61">
        <f>VLOOKUP($D49,Résultats!$B$2:$AZ$212,Q$2,FALSE)</f>
        <v>3161.9761039999999</v>
      </c>
      <c r="R49" s="61">
        <f>VLOOKUP($D49,Résultats!$B$2:$AZ$212,R$2,FALSE)</f>
        <v>3871.22885</v>
      </c>
      <c r="S49" s="61">
        <f>VLOOKUP($D49,Résultats!$B$2:$AZ$212,S$2,FALSE)</f>
        <v>4705.5855940000001</v>
      </c>
      <c r="T49" s="61">
        <f>VLOOKUP($D49,Résultats!$B$2:$AZ$212,T$2,FALSE)</f>
        <v>5631.9369539999998</v>
      </c>
      <c r="U49" s="61">
        <f>VLOOKUP($D49,Résultats!$B$2:$AZ$212,U$2,FALSE)</f>
        <v>6619.3310439999996</v>
      </c>
      <c r="V49" s="61">
        <f>VLOOKUP($D49,Résultats!$B$2:$AZ$212,V$2,FALSE)</f>
        <v>7622.3114299999997</v>
      </c>
      <c r="W49" s="61">
        <f>VLOOKUP($D49,Résultats!$B$2:$AZ$212,W$2,FALSE)</f>
        <v>8607.4032210000005</v>
      </c>
      <c r="X49" s="61">
        <f>VLOOKUP($D49,Résultats!$B$2:$AZ$212,X$2,FALSE)</f>
        <v>9551.5509390000007</v>
      </c>
      <c r="Y49" s="61">
        <f>VLOOKUP($D49,Résultats!$B$2:$AZ$212,Y$2,FALSE)</f>
        <v>10480.382600000001</v>
      </c>
      <c r="Z49" s="61">
        <f>VLOOKUP($D49,Résultats!$B$2:$AZ$212,Z$2,FALSE)</f>
        <v>11374.16596</v>
      </c>
      <c r="AA49" s="61">
        <f>VLOOKUP($D49,Résultats!$B$2:$AZ$212,AA$2,FALSE)</f>
        <v>12215.3559</v>
      </c>
      <c r="AB49" s="61">
        <f>VLOOKUP($D49,Résultats!$B$2:$AZ$212,AB$2,FALSE)</f>
        <v>13003.360290000001</v>
      </c>
      <c r="AC49" s="61">
        <f>VLOOKUP($D49,Résultats!$B$2:$AZ$212,AC$2,FALSE)</f>
        <v>13731.685369999999</v>
      </c>
      <c r="AD49" s="61">
        <f>VLOOKUP($D49,Résultats!$B$2:$AZ$212,AD$2,FALSE)</f>
        <v>14401.47</v>
      </c>
      <c r="AE49" s="61">
        <f>VLOOKUP($D49,Résultats!$B$2:$AZ$212,AE$2,FALSE)</f>
        <v>15018.51583</v>
      </c>
      <c r="AF49" s="61">
        <f>VLOOKUP($D49,Résultats!$B$2:$AZ$212,AF$2,FALSE)</f>
        <v>15580.96939</v>
      </c>
      <c r="AG49" s="61">
        <f>VLOOKUP($D49,Résultats!$B$2:$AZ$212,AG$2,FALSE)</f>
        <v>16090.7899</v>
      </c>
      <c r="AH49" s="61">
        <f>VLOOKUP($D49,Résultats!$B$2:$AZ$212,AH$2,FALSE)</f>
        <v>16530.57919</v>
      </c>
      <c r="AI49" s="61">
        <f>VLOOKUP($D49,Résultats!$B$2:$AZ$212,AI$2,FALSE)</f>
        <v>16943.646239999998</v>
      </c>
      <c r="AJ49" s="61">
        <f>VLOOKUP($D49,Résultats!$B$2:$AZ$212,AJ$2,FALSE)</f>
        <v>17323.931540000001</v>
      </c>
      <c r="AK49" s="61">
        <f>VLOOKUP($D49,Résultats!$B$2:$AZ$212,AK$2,FALSE)</f>
        <v>17670.224190000001</v>
      </c>
      <c r="AL49" s="61">
        <f>VLOOKUP($D49,Résultats!$B$2:$AZ$212,AL$2,FALSE)</f>
        <v>17980.731619999999</v>
      </c>
      <c r="AM49" s="225">
        <f>VLOOKUP($D49,Résultats!$B$2:$AZ$212,AM$2,FALSE)</f>
        <v>18240.839810000001</v>
      </c>
    </row>
    <row r="50" spans="2:40" x14ac:dyDescent="0.25">
      <c r="B50" s="230"/>
      <c r="C50" s="222" t="s">
        <v>27</v>
      </c>
      <c r="D50" s="63" t="s">
        <v>138</v>
      </c>
      <c r="E50" s="25">
        <f>VLOOKUP($D50,Résultats!$B$2:$AZ$212,E$2,FALSE)</f>
        <v>7.1825179100000001E-3</v>
      </c>
      <c r="F50" s="25">
        <f>VLOOKUP($D50,Résultats!$B$2:$AZ$212,F$2,FALSE)</f>
        <v>1.9095318100000001</v>
      </c>
      <c r="G50" s="25">
        <f>VLOOKUP($D50,Résultats!$B$2:$AZ$212,G$2,FALSE)</f>
        <v>4.7242301610000004</v>
      </c>
      <c r="H50" s="25">
        <f>VLOOKUP($D50,Résultats!$B$2:$AZ$212,H$2,FALSE)</f>
        <v>6.4316900029999999</v>
      </c>
      <c r="I50" s="25">
        <f>VLOOKUP($D50,Résultats!$B$2:$AZ$212,I$2,FALSE)</f>
        <v>8.5161044159999904</v>
      </c>
      <c r="J50" s="25">
        <f>VLOOKUP($D50,Résultats!$B$2:$AZ$212,J$2,FALSE)</f>
        <v>11.032591849999999</v>
      </c>
      <c r="K50" s="25">
        <f>VLOOKUP($D50,Résultats!$B$2:$AZ$212,K$2,FALSE)</f>
        <v>16.25618317</v>
      </c>
      <c r="L50" s="25">
        <f>VLOOKUP($D50,Résultats!$B$2:$AZ$212,L$2,FALSE)</f>
        <v>24.49618946</v>
      </c>
      <c r="M50" s="25">
        <f>VLOOKUP($D50,Résultats!$B$2:$AZ$212,M$2,FALSE)</f>
        <v>37.592309999999998</v>
      </c>
      <c r="N50" s="25">
        <f>VLOOKUP($D50,Résultats!$B$2:$AZ$212,N$2,FALSE)</f>
        <v>54.726045239999998</v>
      </c>
      <c r="O50" s="25">
        <f>VLOOKUP($D50,Résultats!$B$2:$AZ$212,O$2,FALSE)</f>
        <v>72.737121340000002</v>
      </c>
      <c r="P50" s="25">
        <f>VLOOKUP($D50,Résultats!$B$2:$AZ$212,P$2,FALSE)</f>
        <v>95.111973640000002</v>
      </c>
      <c r="Q50" s="25">
        <f>VLOOKUP($D50,Résultats!$B$2:$AZ$212,Q$2,FALSE)</f>
        <v>125.0524406</v>
      </c>
      <c r="R50" s="25">
        <f>VLOOKUP($D50,Résultats!$B$2:$AZ$212,R$2,FALSE)</f>
        <v>163.6612939</v>
      </c>
      <c r="S50" s="25">
        <f>VLOOKUP($D50,Résultats!$B$2:$AZ$212,S$2,FALSE)</f>
        <v>211.29418949999999</v>
      </c>
      <c r="T50" s="25">
        <f>VLOOKUP($D50,Résultats!$B$2:$AZ$212,T$2,FALSE)</f>
        <v>266.878263</v>
      </c>
      <c r="U50" s="25">
        <f>VLOOKUP($D50,Résultats!$B$2:$AZ$212,U$2,FALSE)</f>
        <v>329.25268870000002</v>
      </c>
      <c r="V50" s="25">
        <f>VLOOKUP($D50,Résultats!$B$2:$AZ$212,V$2,FALSE)</f>
        <v>396.15289799999999</v>
      </c>
      <c r="W50" s="25">
        <f>VLOOKUP($D50,Résultats!$B$2:$AZ$212,W$2,FALSE)</f>
        <v>465.71745900000002</v>
      </c>
      <c r="X50" s="25">
        <f>VLOOKUP($D50,Résultats!$B$2:$AZ$212,X$2,FALSE)</f>
        <v>536.48463489999995</v>
      </c>
      <c r="Y50" s="25">
        <f>VLOOKUP($D50,Résultats!$B$2:$AZ$212,Y$2,FALSE)</f>
        <v>610.19295810000006</v>
      </c>
      <c r="Z50" s="25">
        <f>VLOOKUP($D50,Résultats!$B$2:$AZ$212,Z$2,FALSE)</f>
        <v>685.47235690000002</v>
      </c>
      <c r="AA50" s="25">
        <f>VLOOKUP($D50,Résultats!$B$2:$AZ$212,AA$2,FALSE)</f>
        <v>761.00543579999999</v>
      </c>
      <c r="AB50" s="25">
        <f>VLOOKUP($D50,Résultats!$B$2:$AZ$212,AB$2,FALSE)</f>
        <v>836.48910460000002</v>
      </c>
      <c r="AC50" s="25">
        <f>VLOOKUP($D50,Résultats!$B$2:$AZ$212,AC$2,FALSE)</f>
        <v>911.25676169999997</v>
      </c>
      <c r="AD50" s="25">
        <f>VLOOKUP($D50,Résultats!$B$2:$AZ$212,AD$2,FALSE)</f>
        <v>984.29406410000001</v>
      </c>
      <c r="AE50" s="25">
        <f>VLOOKUP($D50,Résultats!$B$2:$AZ$212,AE$2,FALSE)</f>
        <v>1055.781162</v>
      </c>
      <c r="AF50" s="25">
        <f>VLOOKUP($D50,Résultats!$B$2:$AZ$212,AF$2,FALSE)</f>
        <v>1125.423794</v>
      </c>
      <c r="AG50" s="25">
        <f>VLOOKUP($D50,Résultats!$B$2:$AZ$212,AG$2,FALSE)</f>
        <v>1193.1781900000001</v>
      </c>
      <c r="AH50" s="25">
        <f>VLOOKUP($D50,Résultats!$B$2:$AZ$212,AH$2,FALSE)</f>
        <v>1271.711094</v>
      </c>
      <c r="AI50" s="25">
        <f>VLOOKUP($D50,Résultats!$B$2:$AZ$212,AI$2,FALSE)</f>
        <v>1349.639893</v>
      </c>
      <c r="AJ50" s="25">
        <f>VLOOKUP($D50,Résultats!$B$2:$AZ$212,AJ$2,FALSE)</f>
        <v>1426.2010029999999</v>
      </c>
      <c r="AK50" s="25">
        <f>VLOOKUP($D50,Résultats!$B$2:$AZ$212,AK$2,FALSE)</f>
        <v>1501.1137389999999</v>
      </c>
      <c r="AL50" s="25">
        <f>VLOOKUP($D50,Résultats!$B$2:$AZ$212,AL$2,FALSE)</f>
        <v>1574.010002</v>
      </c>
      <c r="AM50" s="102">
        <f>VLOOKUP($D50,Résultats!$B$2:$AZ$212,AM$2,FALSE)</f>
        <v>1642.973538</v>
      </c>
    </row>
    <row r="51" spans="2:40" x14ac:dyDescent="0.25">
      <c r="B51" s="230"/>
      <c r="C51" s="218" t="s">
        <v>28</v>
      </c>
      <c r="D51" s="54" t="s">
        <v>139</v>
      </c>
      <c r="E51" s="25">
        <f>VLOOKUP($D51,Résultats!$B$2:$AZ$212,E$2,FALSE)</f>
        <v>1.6464540999999999E-2</v>
      </c>
      <c r="F51" s="25">
        <f>VLOOKUP($D51,Résultats!$B$2:$AZ$212,F$2,FALSE)</f>
        <v>2.0214072559999998</v>
      </c>
      <c r="G51" s="25">
        <f>VLOOKUP($D51,Résultats!$B$2:$AZ$212,G$2,FALSE)</f>
        <v>4.9017502850000003</v>
      </c>
      <c r="H51" s="25">
        <f>VLOOKUP($D51,Résultats!$B$2:$AZ$212,H$2,FALSE)</f>
        <v>6.5967692500000004</v>
      </c>
      <c r="I51" s="25">
        <f>VLOOKUP($D51,Résultats!$B$2:$AZ$212,I$2,FALSE)</f>
        <v>8.5649463860000008</v>
      </c>
      <c r="J51" s="25">
        <f>VLOOKUP($D51,Résultats!$B$2:$AZ$212,J$2,FALSE)</f>
        <v>10.86227105</v>
      </c>
      <c r="K51" s="25">
        <f>VLOOKUP($D51,Résultats!$B$2:$AZ$212,K$2,FALSE)</f>
        <v>15.00684324</v>
      </c>
      <c r="L51" s="25">
        <f>VLOOKUP($D51,Résultats!$B$2:$AZ$212,L$2,FALSE)</f>
        <v>21.221515610000001</v>
      </c>
      <c r="M51" s="25">
        <f>VLOOKUP($D51,Résultats!$B$2:$AZ$212,M$2,FALSE)</f>
        <v>31.070433309999999</v>
      </c>
      <c r="N51" s="25">
        <f>VLOOKUP($D51,Résultats!$B$2:$AZ$212,N$2,FALSE)</f>
        <v>43.842159410000001</v>
      </c>
      <c r="O51" s="25">
        <f>VLOOKUP($D51,Résultats!$B$2:$AZ$212,O$2,FALSE)</f>
        <v>57.068832460000003</v>
      </c>
      <c r="P51" s="25">
        <f>VLOOKUP($D51,Résultats!$B$2:$AZ$212,P$2,FALSE)</f>
        <v>73.311874070000002</v>
      </c>
      <c r="Q51" s="25">
        <f>VLOOKUP($D51,Résultats!$B$2:$AZ$212,Q$2,FALSE)</f>
        <v>94.825602079999996</v>
      </c>
      <c r="R51" s="25">
        <f>VLOOKUP($D51,Résultats!$B$2:$AZ$212,R$2,FALSE)</f>
        <v>122.27133139999999</v>
      </c>
      <c r="S51" s="25">
        <f>VLOOKUP($D51,Résultats!$B$2:$AZ$212,S$2,FALSE)</f>
        <v>155.75412589999999</v>
      </c>
      <c r="T51" s="25">
        <f>VLOOKUP($D51,Résultats!$B$2:$AZ$212,T$2,FALSE)</f>
        <v>194.37242090000001</v>
      </c>
      <c r="U51" s="25">
        <f>VLOOKUP($D51,Résultats!$B$2:$AZ$212,U$2,FALSE)</f>
        <v>237.187647</v>
      </c>
      <c r="V51" s="25">
        <f>VLOOKUP($D51,Résultats!$B$2:$AZ$212,V$2,FALSE)</f>
        <v>282.52609180000002</v>
      </c>
      <c r="W51" s="25">
        <f>VLOOKUP($D51,Résultats!$B$2:$AZ$212,W$2,FALSE)</f>
        <v>329.0400836</v>
      </c>
      <c r="X51" s="25">
        <f>VLOOKUP($D51,Résultats!$B$2:$AZ$212,X$2,FALSE)</f>
        <v>375.69494859999998</v>
      </c>
      <c r="Y51" s="25">
        <f>VLOOKUP($D51,Résultats!$B$2:$AZ$212,Y$2,FALSE)</f>
        <v>423.62079119999999</v>
      </c>
      <c r="Z51" s="25">
        <f>VLOOKUP($D51,Résultats!$B$2:$AZ$212,Z$2,FALSE)</f>
        <v>471.86250080000002</v>
      </c>
      <c r="AA51" s="25">
        <f>VLOOKUP($D51,Résultats!$B$2:$AZ$212,AA$2,FALSE)</f>
        <v>519.51541729999997</v>
      </c>
      <c r="AB51" s="25">
        <f>VLOOKUP($D51,Résultats!$B$2:$AZ$212,AB$2,FALSE)</f>
        <v>566.38359290000005</v>
      </c>
      <c r="AC51" s="25">
        <f>VLOOKUP($D51,Résultats!$B$2:$AZ$212,AC$2,FALSE)</f>
        <v>612.0195913</v>
      </c>
      <c r="AD51" s="25">
        <f>VLOOKUP($D51,Résultats!$B$2:$AZ$212,AD$2,FALSE)</f>
        <v>655.9358125</v>
      </c>
      <c r="AE51" s="25">
        <f>VLOOKUP($D51,Résultats!$B$2:$AZ$212,AE$2,FALSE)</f>
        <v>698.27298159999998</v>
      </c>
      <c r="AF51" s="25">
        <f>VLOOKUP($D51,Résultats!$B$2:$AZ$212,AF$2,FALSE)</f>
        <v>738.84059100000002</v>
      </c>
      <c r="AG51" s="25">
        <f>VLOOKUP($D51,Résultats!$B$2:$AZ$212,AG$2,FALSE)</f>
        <v>777.62158239999997</v>
      </c>
      <c r="AH51" s="25">
        <f>VLOOKUP($D51,Résultats!$B$2:$AZ$212,AH$2,FALSE)</f>
        <v>819.40995950000001</v>
      </c>
      <c r="AI51" s="25">
        <f>VLOOKUP($D51,Résultats!$B$2:$AZ$212,AI$2,FALSE)</f>
        <v>860.24581000000001</v>
      </c>
      <c r="AJ51" s="25">
        <f>VLOOKUP($D51,Résultats!$B$2:$AZ$212,AJ$2,FALSE)</f>
        <v>899.67426639999996</v>
      </c>
      <c r="AK51" s="25">
        <f>VLOOKUP($D51,Résultats!$B$2:$AZ$212,AK$2,FALSE)</f>
        <v>937.53308790000006</v>
      </c>
      <c r="AL51" s="25">
        <f>VLOOKUP($D51,Résultats!$B$2:$AZ$212,AL$2,FALSE)</f>
        <v>973.6159629</v>
      </c>
      <c r="AM51" s="102">
        <f>VLOOKUP($D51,Résultats!$B$2:$AZ$212,AM$2,FALSE)</f>
        <v>1006.848896</v>
      </c>
    </row>
    <row r="52" spans="2:40" x14ac:dyDescent="0.25">
      <c r="B52" s="230"/>
      <c r="C52" s="218" t="s">
        <v>29</v>
      </c>
      <c r="D52" s="54" t="s">
        <v>140</v>
      </c>
      <c r="E52" s="25">
        <f>VLOOKUP($D52,Résultats!$B$2:$AZ$212,E$2,FALSE)</f>
        <v>6.7405168000000001E-2</v>
      </c>
      <c r="F52" s="25">
        <f>VLOOKUP($D52,Résultats!$B$2:$AZ$212,F$2,FALSE)</f>
        <v>4.6348780290000002</v>
      </c>
      <c r="G52" s="25">
        <f>VLOOKUP($D52,Résultats!$B$2:$AZ$212,G$2,FALSE)</f>
        <v>10.91364025</v>
      </c>
      <c r="H52" s="25">
        <f>VLOOKUP($D52,Résultats!$B$2:$AZ$212,H$2,FALSE)</f>
        <v>14.43200948</v>
      </c>
      <c r="I52" s="25">
        <f>VLOOKUP($D52,Résultats!$B$2:$AZ$212,I$2,FALSE)</f>
        <v>18.177902190000001</v>
      </c>
      <c r="J52" s="25">
        <f>VLOOKUP($D52,Résultats!$B$2:$AZ$212,J$2,FALSE)</f>
        <v>22.27697057</v>
      </c>
      <c r="K52" s="25">
        <f>VLOOKUP($D52,Résultats!$B$2:$AZ$212,K$2,FALSE)</f>
        <v>27.575823669999998</v>
      </c>
      <c r="L52" s="25">
        <f>VLOOKUP($D52,Résultats!$B$2:$AZ$212,L$2,FALSE)</f>
        <v>34.439759520000003</v>
      </c>
      <c r="M52" s="25">
        <f>VLOOKUP($D52,Résultats!$B$2:$AZ$212,M$2,FALSE)</f>
        <v>45.278957210000002</v>
      </c>
      <c r="N52" s="25">
        <f>VLOOKUP($D52,Résultats!$B$2:$AZ$212,N$2,FALSE)</f>
        <v>58.994074410000003</v>
      </c>
      <c r="O52" s="25">
        <f>VLOOKUP($D52,Résultats!$B$2:$AZ$212,O$2,FALSE)</f>
        <v>72.566068110000003</v>
      </c>
      <c r="P52" s="25">
        <f>VLOOKUP($D52,Résultats!$B$2:$AZ$212,P$2,FALSE)</f>
        <v>88.673767310000002</v>
      </c>
      <c r="Q52" s="25">
        <f>VLOOKUP($D52,Résultats!$B$2:$AZ$212,Q$2,FALSE)</f>
        <v>109.37802720000001</v>
      </c>
      <c r="R52" s="25">
        <f>VLOOKUP($D52,Résultats!$B$2:$AZ$212,R$2,FALSE)</f>
        <v>134.95215590000001</v>
      </c>
      <c r="S52" s="25">
        <f>VLOOKUP($D52,Résultats!$B$2:$AZ$212,S$2,FALSE)</f>
        <v>165.0955774</v>
      </c>
      <c r="T52" s="25">
        <f>VLOOKUP($D52,Résultats!$B$2:$AZ$212,T$2,FALSE)</f>
        <v>198.6121852</v>
      </c>
      <c r="U52" s="25">
        <f>VLOOKUP($D52,Résultats!$B$2:$AZ$212,U$2,FALSE)</f>
        <v>234.36391660000001</v>
      </c>
      <c r="V52" s="25">
        <f>VLOOKUP($D52,Résultats!$B$2:$AZ$212,V$2,FALSE)</f>
        <v>270.67563689999997</v>
      </c>
      <c r="W52" s="25">
        <f>VLOOKUP($D52,Résultats!$B$2:$AZ$212,W$2,FALSE)</f>
        <v>306.29346579999998</v>
      </c>
      <c r="X52" s="25">
        <f>VLOOKUP($D52,Résultats!$B$2:$AZ$212,X$2,FALSE)</f>
        <v>340.33576499999998</v>
      </c>
      <c r="Y52" s="25">
        <f>VLOOKUP($D52,Résultats!$B$2:$AZ$212,Y$2,FALSE)</f>
        <v>373.66686549999997</v>
      </c>
      <c r="Z52" s="25">
        <f>VLOOKUP($D52,Résultats!$B$2:$AZ$212,Z$2,FALSE)</f>
        <v>405.52300819999999</v>
      </c>
      <c r="AA52" s="25">
        <f>VLOOKUP($D52,Résultats!$B$2:$AZ$212,AA$2,FALSE)</f>
        <v>435.22095250000001</v>
      </c>
      <c r="AB52" s="25">
        <f>VLOOKUP($D52,Résultats!$B$2:$AZ$212,AB$2,FALSE)</f>
        <v>462.69645609999998</v>
      </c>
      <c r="AC52" s="25">
        <f>VLOOKUP($D52,Résultats!$B$2:$AZ$212,AC$2,FALSE)</f>
        <v>487.67207480000002</v>
      </c>
      <c r="AD52" s="25">
        <f>VLOOKUP($D52,Résultats!$B$2:$AZ$212,AD$2,FALSE)</f>
        <v>510.23520530000002</v>
      </c>
      <c r="AE52" s="25">
        <f>VLOOKUP($D52,Résultats!$B$2:$AZ$212,AE$2,FALSE)</f>
        <v>530.57954080000002</v>
      </c>
      <c r="AF52" s="25">
        <f>VLOOKUP($D52,Résultats!$B$2:$AZ$212,AF$2,FALSE)</f>
        <v>548.61677080000004</v>
      </c>
      <c r="AG52" s="25">
        <f>VLOOKUP($D52,Résultats!$B$2:$AZ$212,AG$2,FALSE)</f>
        <v>564.40129400000001</v>
      </c>
      <c r="AH52" s="25">
        <f>VLOOKUP($D52,Résultats!$B$2:$AZ$212,AH$2,FALSE)</f>
        <v>575.08839569999998</v>
      </c>
      <c r="AI52" s="25">
        <f>VLOOKUP($D52,Résultats!$B$2:$AZ$212,AI$2,FALSE)</f>
        <v>584.34179300000005</v>
      </c>
      <c r="AJ52" s="25">
        <f>VLOOKUP($D52,Résultats!$B$2:$AZ$212,AJ$2,FALSE)</f>
        <v>591.95886970000004</v>
      </c>
      <c r="AK52" s="25">
        <f>VLOOKUP($D52,Résultats!$B$2:$AZ$212,AK$2,FALSE)</f>
        <v>597.89896220000003</v>
      </c>
      <c r="AL52" s="25">
        <f>VLOOKUP($D52,Résultats!$B$2:$AZ$212,AL$2,FALSE)</f>
        <v>602.1109768</v>
      </c>
      <c r="AM52" s="102">
        <f>VLOOKUP($D52,Résultats!$B$2:$AZ$212,AM$2,FALSE)</f>
        <v>604.18003350000004</v>
      </c>
    </row>
    <row r="53" spans="2:40" x14ac:dyDescent="0.25">
      <c r="B53" s="230"/>
      <c r="C53" s="218" t="s">
        <v>30</v>
      </c>
      <c r="D53" s="54" t="s">
        <v>141</v>
      </c>
      <c r="E53" s="25">
        <f>VLOOKUP($D53,Résultats!$B$2:$AZ$212,E$2,FALSE)</f>
        <v>1.5834689479999999</v>
      </c>
      <c r="F53" s="25">
        <f>VLOOKUP($D53,Résultats!$B$2:$AZ$212,F$2,FALSE)</f>
        <v>99.662075259999995</v>
      </c>
      <c r="G53" s="25">
        <f>VLOOKUP($D53,Résultats!$B$2:$AZ$212,G$2,FALSE)</f>
        <v>233.26186139999999</v>
      </c>
      <c r="H53" s="25">
        <f>VLOOKUP($D53,Résultats!$B$2:$AZ$212,H$2,FALSE)</f>
        <v>307.32972919999997</v>
      </c>
      <c r="I53" s="25">
        <f>VLOOKUP($D53,Résultats!$B$2:$AZ$212,I$2,FALSE)</f>
        <v>384.69600910000003</v>
      </c>
      <c r="J53" s="25">
        <f>VLOOKUP($D53,Résultats!$B$2:$AZ$212,J$2,FALSE)</f>
        <v>468.09702770000001</v>
      </c>
      <c r="K53" s="25">
        <f>VLOOKUP($D53,Résultats!$B$2:$AZ$212,K$2,FALSE)</f>
        <v>566.95162849999997</v>
      </c>
      <c r="L53" s="25">
        <f>VLOOKUP($D53,Résultats!$B$2:$AZ$212,L$2,FALSE)</f>
        <v>690.19727599999999</v>
      </c>
      <c r="M53" s="25">
        <f>VLOOKUP($D53,Résultats!$B$2:$AZ$212,M$2,FALSE)</f>
        <v>885.30173830000001</v>
      </c>
      <c r="N53" s="25">
        <f>VLOOKUP($D53,Résultats!$B$2:$AZ$212,N$2,FALSE)</f>
        <v>1131.0935030000001</v>
      </c>
      <c r="O53" s="25">
        <f>VLOOKUP($D53,Résultats!$B$2:$AZ$212,O$2,FALSE)</f>
        <v>1371.867393</v>
      </c>
      <c r="P53" s="25">
        <f>VLOOKUP($D53,Résultats!$B$2:$AZ$212,P$2,FALSE)</f>
        <v>1655.910862</v>
      </c>
      <c r="Q53" s="25">
        <f>VLOOKUP($D53,Résultats!$B$2:$AZ$212,Q$2,FALSE)</f>
        <v>2019.458447</v>
      </c>
      <c r="R53" s="25">
        <f>VLOOKUP($D53,Résultats!$B$2:$AZ$212,R$2,FALSE)</f>
        <v>2466.5380890000001</v>
      </c>
      <c r="S53" s="25">
        <f>VLOOKUP($D53,Résultats!$B$2:$AZ$212,S$2,FALSE)</f>
        <v>2991.2072149999999</v>
      </c>
      <c r="T53" s="25">
        <f>VLOOKUP($D53,Résultats!$B$2:$AZ$212,T$2,FALSE)</f>
        <v>3572.1748550000002</v>
      </c>
      <c r="U53" s="25">
        <f>VLOOKUP($D53,Résultats!$B$2:$AZ$212,U$2,FALSE)</f>
        <v>4189.6262740000002</v>
      </c>
      <c r="V53" s="25">
        <f>VLOOKUP($D53,Résultats!$B$2:$AZ$212,V$2,FALSE)</f>
        <v>4814.7838890000003</v>
      </c>
      <c r="W53" s="25">
        <f>VLOOKUP($D53,Résultats!$B$2:$AZ$212,W$2,FALSE)</f>
        <v>5426.5654860000004</v>
      </c>
      <c r="X53" s="25">
        <f>VLOOKUP($D53,Résultats!$B$2:$AZ$212,X$2,FALSE)</f>
        <v>6010.5534479999997</v>
      </c>
      <c r="Y53" s="25">
        <f>VLOOKUP($D53,Résultats!$B$2:$AZ$212,Y$2,FALSE)</f>
        <v>6582.7002149999998</v>
      </c>
      <c r="Z53" s="25">
        <f>VLOOKUP($D53,Résultats!$B$2:$AZ$212,Z$2,FALSE)</f>
        <v>7130.7358409999997</v>
      </c>
      <c r="AA53" s="25">
        <f>VLOOKUP($D53,Résultats!$B$2:$AZ$212,AA$2,FALSE)</f>
        <v>7643.808282</v>
      </c>
      <c r="AB53" s="25">
        <f>VLOOKUP($D53,Résultats!$B$2:$AZ$212,AB$2,FALSE)</f>
        <v>8121.7001179999997</v>
      </c>
      <c r="AC53" s="25">
        <f>VLOOKUP($D53,Résultats!$B$2:$AZ$212,AC$2,FALSE)</f>
        <v>8560.4991200000004</v>
      </c>
      <c r="AD53" s="25">
        <f>VLOOKUP($D53,Résultats!$B$2:$AZ$212,AD$2,FALSE)</f>
        <v>8961.547853</v>
      </c>
      <c r="AE53" s="25">
        <f>VLOOKUP($D53,Résultats!$B$2:$AZ$212,AE$2,FALSE)</f>
        <v>9328.5832829999999</v>
      </c>
      <c r="AF53" s="25">
        <f>VLOOKUP($D53,Résultats!$B$2:$AZ$212,AF$2,FALSE)</f>
        <v>9660.5507130000005</v>
      </c>
      <c r="AG53" s="25">
        <f>VLOOKUP($D53,Résultats!$B$2:$AZ$212,AG$2,FALSE)</f>
        <v>9958.7744089999997</v>
      </c>
      <c r="AH53" s="25">
        <f>VLOOKUP($D53,Résultats!$B$2:$AZ$212,AH$2,FALSE)</f>
        <v>10204.441290000001</v>
      </c>
      <c r="AI53" s="25">
        <f>VLOOKUP($D53,Résultats!$B$2:$AZ$212,AI$2,FALSE)</f>
        <v>10432.78794</v>
      </c>
      <c r="AJ53" s="25">
        <f>VLOOKUP($D53,Résultats!$B$2:$AZ$212,AJ$2,FALSE)</f>
        <v>10640.25035</v>
      </c>
      <c r="AK53" s="25">
        <f>VLOOKUP($D53,Résultats!$B$2:$AZ$212,AK$2,FALSE)</f>
        <v>10826.194289999999</v>
      </c>
      <c r="AL53" s="25">
        <f>VLOOKUP($D53,Résultats!$B$2:$AZ$212,AL$2,FALSE)</f>
        <v>10989.65107</v>
      </c>
      <c r="AM53" s="102">
        <f>VLOOKUP($D53,Résultats!$B$2:$AZ$212,AM$2,FALSE)</f>
        <v>11122.06057</v>
      </c>
    </row>
    <row r="54" spans="2:40" x14ac:dyDescent="0.25">
      <c r="B54" s="230"/>
      <c r="C54" s="218" t="s">
        <v>31</v>
      </c>
      <c r="D54" s="54" t="s">
        <v>142</v>
      </c>
      <c r="E54" s="25">
        <f>VLOOKUP($D54,Résultats!$B$2:$AZ$212,E$2,FALSE)</f>
        <v>0.62410555599999995</v>
      </c>
      <c r="F54" s="25">
        <f>VLOOKUP($D54,Résultats!$B$2:$AZ$212,F$2,FALSE)</f>
        <v>38.490475199999999</v>
      </c>
      <c r="G54" s="25">
        <f>VLOOKUP($D54,Résultats!$B$2:$AZ$212,G$2,FALSE)</f>
        <v>89.949685020000004</v>
      </c>
      <c r="H54" s="25">
        <f>VLOOKUP($D54,Résultats!$B$2:$AZ$212,H$2,FALSE)</f>
        <v>118.3988475</v>
      </c>
      <c r="I54" s="25">
        <f>VLOOKUP($D54,Résultats!$B$2:$AZ$212,I$2,FALSE)</f>
        <v>147.95145539999999</v>
      </c>
      <c r="J54" s="25">
        <f>VLOOKUP($D54,Résultats!$B$2:$AZ$212,J$2,FALSE)</f>
        <v>179.6629342</v>
      </c>
      <c r="K54" s="25">
        <f>VLOOKUP($D54,Résultats!$B$2:$AZ$212,K$2,FALSE)</f>
        <v>216.04067190000001</v>
      </c>
      <c r="L54" s="25">
        <f>VLOOKUP($D54,Résultats!$B$2:$AZ$212,L$2,FALSE)</f>
        <v>260.47683009999997</v>
      </c>
      <c r="M54" s="25">
        <f>VLOOKUP($D54,Résultats!$B$2:$AZ$212,M$2,FALSE)</f>
        <v>330.80158039999998</v>
      </c>
      <c r="N54" s="25">
        <f>VLOOKUP($D54,Résultats!$B$2:$AZ$212,N$2,FALSE)</f>
        <v>419.06835059999997</v>
      </c>
      <c r="O54" s="25">
        <f>VLOOKUP($D54,Résultats!$B$2:$AZ$212,O$2,FALSE)</f>
        <v>504.89619099999999</v>
      </c>
      <c r="P54" s="25">
        <f>VLOOKUP($D54,Résultats!$B$2:$AZ$212,P$2,FALSE)</f>
        <v>605.57255250000003</v>
      </c>
      <c r="Q54" s="25">
        <f>VLOOKUP($D54,Résultats!$B$2:$AZ$212,Q$2,FALSE)</f>
        <v>733.77211199999999</v>
      </c>
      <c r="R54" s="25">
        <f>VLOOKUP($D54,Résultats!$B$2:$AZ$212,R$2,FALSE)</f>
        <v>890.53289050000001</v>
      </c>
      <c r="S54" s="25">
        <f>VLOOKUP($D54,Résultats!$B$2:$AZ$212,S$2,FALSE)</f>
        <v>1073.3460789999999</v>
      </c>
      <c r="T54" s="25">
        <f>VLOOKUP($D54,Résultats!$B$2:$AZ$212,T$2,FALSE)</f>
        <v>1274.379402</v>
      </c>
      <c r="U54" s="25">
        <f>VLOOKUP($D54,Résultats!$B$2:$AZ$212,U$2,FALSE)</f>
        <v>1486.433145</v>
      </c>
      <c r="V54" s="25">
        <f>VLOOKUP($D54,Résultats!$B$2:$AZ$212,V$2,FALSE)</f>
        <v>1699.3329940000001</v>
      </c>
      <c r="W54" s="25">
        <f>VLOOKUP($D54,Résultats!$B$2:$AZ$212,W$2,FALSE)</f>
        <v>1905.73578</v>
      </c>
      <c r="X54" s="25">
        <f>VLOOKUP($D54,Résultats!$B$2:$AZ$212,X$2,FALSE)</f>
        <v>2100.7230679999998</v>
      </c>
      <c r="Y54" s="25">
        <f>VLOOKUP($D54,Résultats!$B$2:$AZ$212,Y$2,FALSE)</f>
        <v>2289.7533119999998</v>
      </c>
      <c r="Z54" s="25">
        <f>VLOOKUP($D54,Résultats!$B$2:$AZ$212,Z$2,FALSE)</f>
        <v>2468.7112480000001</v>
      </c>
      <c r="AA54" s="25">
        <f>VLOOKUP($D54,Résultats!$B$2:$AZ$212,AA$2,FALSE)</f>
        <v>2634.013336</v>
      </c>
      <c r="AB54" s="25">
        <f>VLOOKUP($D54,Résultats!$B$2:$AZ$212,AB$2,FALSE)</f>
        <v>2785.7547239999999</v>
      </c>
      <c r="AC54" s="25">
        <f>VLOOKUP($D54,Résultats!$B$2:$AZ$212,AC$2,FALSE)</f>
        <v>2922.7590260000002</v>
      </c>
      <c r="AD54" s="25">
        <f>VLOOKUP($D54,Résultats!$B$2:$AZ$212,AD$2,FALSE)</f>
        <v>3046.0137549999999</v>
      </c>
      <c r="AE54" s="25">
        <f>VLOOKUP($D54,Résultats!$B$2:$AZ$212,AE$2,FALSE)</f>
        <v>3156.914569</v>
      </c>
      <c r="AF54" s="25">
        <f>VLOOKUP($D54,Résultats!$B$2:$AZ$212,AF$2,FALSE)</f>
        <v>3255.2122460000001</v>
      </c>
      <c r="AG54" s="25">
        <f>VLOOKUP($D54,Résultats!$B$2:$AZ$212,AG$2,FALSE)</f>
        <v>3341.4666269999998</v>
      </c>
      <c r="AH54" s="25">
        <f>VLOOKUP($D54,Résultats!$B$2:$AZ$212,AH$2,FALSE)</f>
        <v>3404.010151</v>
      </c>
      <c r="AI54" s="25">
        <f>VLOOKUP($D54,Résultats!$B$2:$AZ$212,AI$2,FALSE)</f>
        <v>3460.4685949999998</v>
      </c>
      <c r="AJ54" s="25">
        <f>VLOOKUP($D54,Résultats!$B$2:$AZ$212,AJ$2,FALSE)</f>
        <v>3509.8114810000002</v>
      </c>
      <c r="AK54" s="25">
        <f>VLOOKUP($D54,Résultats!$B$2:$AZ$212,AK$2,FALSE)</f>
        <v>3551.9343260000001</v>
      </c>
      <c r="AL54" s="25">
        <f>VLOOKUP($D54,Résultats!$B$2:$AZ$212,AL$2,FALSE)</f>
        <v>3586.635037</v>
      </c>
      <c r="AM54" s="102">
        <f>VLOOKUP($D54,Résultats!$B$2:$AZ$212,AM$2,FALSE)</f>
        <v>3611.4002009999999</v>
      </c>
    </row>
    <row r="55" spans="2:40" x14ac:dyDescent="0.25">
      <c r="B55" s="230"/>
      <c r="C55" s="218" t="s">
        <v>32</v>
      </c>
      <c r="D55" s="54" t="s">
        <v>143</v>
      </c>
      <c r="E55" s="25">
        <f>VLOOKUP($D55,Résultats!$B$2:$AZ$212,E$2,FALSE)</f>
        <v>8.5085212099999998E-3</v>
      </c>
      <c r="F55" s="25">
        <f>VLOOKUP($D55,Résultats!$B$2:$AZ$212,F$2,FALSE)</f>
        <v>0.15945208289999999</v>
      </c>
      <c r="G55" s="25">
        <f>VLOOKUP($D55,Résultats!$B$2:$AZ$212,G$2,FALSE)</f>
        <v>0.36189747700000002</v>
      </c>
      <c r="H55" s="25">
        <f>VLOOKUP($D55,Résultats!$B$2:$AZ$212,H$2,FALSE)</f>
        <v>0.47443909169999998</v>
      </c>
      <c r="I55" s="25">
        <f>VLOOKUP($D55,Résultats!$B$2:$AZ$212,I$2,FALSE)</f>
        <v>0.59205258579999998</v>
      </c>
      <c r="J55" s="25">
        <f>VLOOKUP($D55,Résultats!$B$2:$AZ$212,J$2,FALSE)</f>
        <v>0.71891032529999999</v>
      </c>
      <c r="K55" s="25">
        <f>VLOOKUP($D55,Résultats!$B$2:$AZ$212,K$2,FALSE)</f>
        <v>0.86968150560000002</v>
      </c>
      <c r="L55" s="25">
        <f>VLOOKUP($D55,Résultats!$B$2:$AZ$212,L$2,FALSE)</f>
        <v>1.058151053</v>
      </c>
      <c r="M55" s="25">
        <f>VLOOKUP($D55,Résultats!$B$2:$AZ$212,M$2,FALSE)</f>
        <v>1.3567764490000001</v>
      </c>
      <c r="N55" s="25">
        <f>VLOOKUP($D55,Résultats!$B$2:$AZ$212,N$2,FALSE)</f>
        <v>1.733287552</v>
      </c>
      <c r="O55" s="25">
        <f>VLOOKUP($D55,Résultats!$B$2:$AZ$212,O$2,FALSE)</f>
        <v>2.102494445</v>
      </c>
      <c r="P55" s="25">
        <f>VLOOKUP($D55,Résultats!$B$2:$AZ$212,P$2,FALSE)</f>
        <v>2.538500998</v>
      </c>
      <c r="Q55" s="25">
        <f>VLOOKUP($D55,Résultats!$B$2:$AZ$212,Q$2,FALSE)</f>
        <v>3.0971142610000002</v>
      </c>
      <c r="R55" s="25">
        <f>VLOOKUP($D55,Résultats!$B$2:$AZ$212,R$2,FALSE)</f>
        <v>3.7848237569999998</v>
      </c>
      <c r="S55" s="25">
        <f>VLOOKUP($D55,Résultats!$B$2:$AZ$212,S$2,FALSE)</f>
        <v>4.5928357819999999</v>
      </c>
      <c r="T55" s="25">
        <f>VLOOKUP($D55,Résultats!$B$2:$AZ$212,T$2,FALSE)</f>
        <v>5.4887164200000003</v>
      </c>
      <c r="U55" s="25">
        <f>VLOOKUP($D55,Résultats!$B$2:$AZ$212,U$2,FALSE)</f>
        <v>6.4422399830000003</v>
      </c>
      <c r="V55" s="25">
        <f>VLOOKUP($D55,Résultats!$B$2:$AZ$212,V$2,FALSE)</f>
        <v>7.4092689219999999</v>
      </c>
      <c r="W55" s="25">
        <f>VLOOKUP($D55,Résultats!$B$2:$AZ$212,W$2,FALSE)</f>
        <v>8.3574104919999996</v>
      </c>
      <c r="X55" s="25">
        <f>VLOOKUP($D55,Résultats!$B$2:$AZ$212,X$2,FALSE)</f>
        <v>9.2644563049999995</v>
      </c>
      <c r="Y55" s="25">
        <f>VLOOKUP($D55,Résultats!$B$2:$AZ$212,Y$2,FALSE)</f>
        <v>10.155186090000001</v>
      </c>
      <c r="Z55" s="25">
        <f>VLOOKUP($D55,Résultats!$B$2:$AZ$212,Z$2,FALSE)</f>
        <v>11.01065622</v>
      </c>
      <c r="AA55" s="25">
        <f>VLOOKUP($D55,Résultats!$B$2:$AZ$212,AA$2,FALSE)</f>
        <v>11.814071419999999</v>
      </c>
      <c r="AB55" s="25">
        <f>VLOOKUP($D55,Résultats!$B$2:$AZ$212,AB$2,FALSE)</f>
        <v>12.565029190000001</v>
      </c>
      <c r="AC55" s="25">
        <f>VLOOKUP($D55,Résultats!$B$2:$AZ$212,AC$2,FALSE)</f>
        <v>13.257421600000001</v>
      </c>
      <c r="AD55" s="25">
        <f>VLOOKUP($D55,Résultats!$B$2:$AZ$212,AD$2,FALSE)</f>
        <v>13.89277023</v>
      </c>
      <c r="AE55" s="25">
        <f>VLOOKUP($D55,Résultats!$B$2:$AZ$212,AE$2,FALSE)</f>
        <v>14.4767797</v>
      </c>
      <c r="AF55" s="25">
        <f>VLOOKUP($D55,Résultats!$B$2:$AZ$212,AF$2,FALSE)</f>
        <v>15.007762209999999</v>
      </c>
      <c r="AG55" s="25">
        <f>VLOOKUP($D55,Résultats!$B$2:$AZ$212,AG$2,FALSE)</f>
        <v>15.487702280000001</v>
      </c>
      <c r="AH55" s="25">
        <f>VLOOKUP($D55,Résultats!$B$2:$AZ$212,AH$2,FALSE)</f>
        <v>15.89639603</v>
      </c>
      <c r="AI55" s="25">
        <f>VLOOKUP($D55,Résultats!$B$2:$AZ$212,AI$2,FALSE)</f>
        <v>16.279360870000001</v>
      </c>
      <c r="AJ55" s="25">
        <f>VLOOKUP($D55,Résultats!$B$2:$AZ$212,AJ$2,FALSE)</f>
        <v>16.630886919999998</v>
      </c>
      <c r="AK55" s="25">
        <f>VLOOKUP($D55,Résultats!$B$2:$AZ$212,AK$2,FALSE)</f>
        <v>16.949885989999999</v>
      </c>
      <c r="AL55" s="25">
        <f>VLOOKUP($D55,Résultats!$B$2:$AZ$212,AL$2,FALSE)</f>
        <v>17.234717289999999</v>
      </c>
      <c r="AM55" s="102">
        <f>VLOOKUP($D55,Résultats!$B$2:$AZ$212,AM$2,FALSE)</f>
        <v>17.471560050000001</v>
      </c>
    </row>
    <row r="56" spans="2:40" x14ac:dyDescent="0.25">
      <c r="B56" s="230"/>
      <c r="C56" s="218" t="s">
        <v>33</v>
      </c>
      <c r="D56" s="54" t="s">
        <v>144</v>
      </c>
      <c r="E56" s="25">
        <f>VLOOKUP($D56,Résultats!$B$2:$AZ$212,E$2,FALSE)</f>
        <v>0.1045332606</v>
      </c>
      <c r="F56" s="25">
        <f>VLOOKUP($D56,Résultats!$B$2:$AZ$212,F$2,FALSE)</f>
        <v>5.6642500470000003</v>
      </c>
      <c r="G56" s="25">
        <f>VLOOKUP($D56,Résultats!$B$2:$AZ$212,G$2,FALSE)</f>
        <v>13.104224670000001</v>
      </c>
      <c r="H56" s="25">
        <f>VLOOKUP($D56,Résultats!$B$2:$AZ$212,H$2,FALSE)</f>
        <v>17.14172984</v>
      </c>
      <c r="I56" s="25">
        <f>VLOOKUP($D56,Résultats!$B$2:$AZ$212,I$2,FALSE)</f>
        <v>21.192864220000001</v>
      </c>
      <c r="J56" s="25">
        <f>VLOOKUP($D56,Résultats!$B$2:$AZ$212,J$2,FALSE)</f>
        <v>25.41636462</v>
      </c>
      <c r="K56" s="25">
        <f>VLOOKUP($D56,Résultats!$B$2:$AZ$212,K$2,FALSE)</f>
        <v>29.361614800000002</v>
      </c>
      <c r="L56" s="25">
        <f>VLOOKUP($D56,Résultats!$B$2:$AZ$212,L$2,FALSE)</f>
        <v>33.614028840000003</v>
      </c>
      <c r="M56" s="25">
        <f>VLOOKUP($D56,Résultats!$B$2:$AZ$212,M$2,FALSE)</f>
        <v>40.38826633</v>
      </c>
      <c r="N56" s="25">
        <f>VLOOKUP($D56,Résultats!$B$2:$AZ$212,N$2,FALSE)</f>
        <v>48.737406389999997</v>
      </c>
      <c r="O56" s="25">
        <f>VLOOKUP($D56,Résultats!$B$2:$AZ$212,O$2,FALSE)</f>
        <v>56.518597110000002</v>
      </c>
      <c r="P56" s="25">
        <f>VLOOKUP($D56,Résultats!$B$2:$AZ$212,P$2,FALSE)</f>
        <v>65.380590010000006</v>
      </c>
      <c r="Q56" s="25">
        <f>VLOOKUP($D56,Résultats!$B$2:$AZ$212,Q$2,FALSE)</f>
        <v>76.392360240000002</v>
      </c>
      <c r="R56" s="25">
        <f>VLOOKUP($D56,Résultats!$B$2:$AZ$212,R$2,FALSE)</f>
        <v>89.488265400000003</v>
      </c>
      <c r="S56" s="25">
        <f>VLOOKUP($D56,Résultats!$B$2:$AZ$212,S$2,FALSE)</f>
        <v>104.2955711</v>
      </c>
      <c r="T56" s="25">
        <f>VLOOKUP($D56,Résultats!$B$2:$AZ$212,T$2,FALSE)</f>
        <v>120.0311116</v>
      </c>
      <c r="U56" s="25">
        <f>VLOOKUP($D56,Résultats!$B$2:$AZ$212,U$2,FALSE)</f>
        <v>136.02513160000001</v>
      </c>
      <c r="V56" s="25">
        <f>VLOOKUP($D56,Résultats!$B$2:$AZ$212,V$2,FALSE)</f>
        <v>151.4306522</v>
      </c>
      <c r="W56" s="25">
        <f>VLOOKUP($D56,Résultats!$B$2:$AZ$212,W$2,FALSE)</f>
        <v>165.69353559999999</v>
      </c>
      <c r="X56" s="25">
        <f>VLOOKUP($D56,Résultats!$B$2:$AZ$212,X$2,FALSE)</f>
        <v>178.4946181</v>
      </c>
      <c r="Y56" s="25">
        <f>VLOOKUP($D56,Résultats!$B$2:$AZ$212,Y$2,FALSE)</f>
        <v>190.2932734</v>
      </c>
      <c r="Z56" s="25">
        <f>VLOOKUP($D56,Résultats!$B$2:$AZ$212,Z$2,FALSE)</f>
        <v>200.850348</v>
      </c>
      <c r="AA56" s="25">
        <f>VLOOKUP($D56,Résultats!$B$2:$AZ$212,AA$2,FALSE)</f>
        <v>209.9784022</v>
      </c>
      <c r="AB56" s="25">
        <f>VLOOKUP($D56,Résultats!$B$2:$AZ$212,AB$2,FALSE)</f>
        <v>217.77126949999999</v>
      </c>
      <c r="AC56" s="25">
        <f>VLOOKUP($D56,Résultats!$B$2:$AZ$212,AC$2,FALSE)</f>
        <v>224.2213788</v>
      </c>
      <c r="AD56" s="25">
        <f>VLOOKUP($D56,Résultats!$B$2:$AZ$212,AD$2,FALSE)</f>
        <v>229.5505416</v>
      </c>
      <c r="AE56" s="25">
        <f>VLOOKUP($D56,Résultats!$B$2:$AZ$212,AE$2,FALSE)</f>
        <v>233.90751230000001</v>
      </c>
      <c r="AF56" s="25">
        <f>VLOOKUP($D56,Résultats!$B$2:$AZ$212,AF$2,FALSE)</f>
        <v>237.31751560000001</v>
      </c>
      <c r="AG56" s="25">
        <f>VLOOKUP($D56,Résultats!$B$2:$AZ$212,AG$2,FALSE)</f>
        <v>239.8600951</v>
      </c>
      <c r="AH56" s="25">
        <f>VLOOKUP($D56,Résultats!$B$2:$AZ$212,AH$2,FALSE)</f>
        <v>240.0219108</v>
      </c>
      <c r="AI56" s="25">
        <f>VLOOKUP($D56,Résultats!$B$2:$AZ$212,AI$2,FALSE)</f>
        <v>239.88285239999999</v>
      </c>
      <c r="AJ56" s="25">
        <f>VLOOKUP($D56,Résultats!$B$2:$AZ$212,AJ$2,FALSE)</f>
        <v>239.4046755</v>
      </c>
      <c r="AK56" s="25">
        <f>VLOOKUP($D56,Résultats!$B$2:$AZ$212,AK$2,FALSE)</f>
        <v>238.59990329999999</v>
      </c>
      <c r="AL56" s="25">
        <f>VLOOKUP($D56,Résultats!$B$2:$AZ$212,AL$2,FALSE)</f>
        <v>237.47385700000001</v>
      </c>
      <c r="AM56" s="102">
        <f>VLOOKUP($D56,Résultats!$B$2:$AZ$212,AM$2,FALSE)</f>
        <v>235.90500879999999</v>
      </c>
    </row>
    <row r="57" spans="2:40" x14ac:dyDescent="0.25">
      <c r="B57" s="230"/>
      <c r="C57" s="223" t="s">
        <v>46</v>
      </c>
      <c r="D57" s="52" t="s">
        <v>146</v>
      </c>
      <c r="E57" s="61">
        <f>VLOOKUP($D57,Résultats!$B$2:$AZ$212,E$2,FALSE)</f>
        <v>31999.388770000001</v>
      </c>
      <c r="F57" s="61">
        <f>VLOOKUP($D57,Résultats!$B$2:$AZ$212,F$2,FALSE)</f>
        <v>35758.76528</v>
      </c>
      <c r="G57" s="61">
        <f>VLOOKUP($D57,Résultats!$B$2:$AZ$212,G$2,FALSE)</f>
        <v>36351.668870000001</v>
      </c>
      <c r="H57" s="61">
        <f>VLOOKUP($D57,Résultats!$B$2:$AZ$212,H$2,FALSE)</f>
        <v>36642.938629999997</v>
      </c>
      <c r="I57" s="61">
        <f>VLOOKUP($D57,Résultats!$B$2:$AZ$212,I$2,FALSE)</f>
        <v>36599.194000000003</v>
      </c>
      <c r="J57" s="61">
        <f>VLOOKUP($D57,Résultats!$B$2:$AZ$212,J$2,FALSE)</f>
        <v>36332.528789999997</v>
      </c>
      <c r="K57" s="61">
        <f>VLOOKUP($D57,Résultats!$B$2:$AZ$212,K$2,FALSE)</f>
        <v>35840.556920000003</v>
      </c>
      <c r="L57" s="61">
        <f>VLOOKUP($D57,Résultats!$B$2:$AZ$212,L$2,FALSE)</f>
        <v>35278.235339999999</v>
      </c>
      <c r="M57" s="61">
        <f>VLOOKUP($D57,Résultats!$B$2:$AZ$212,M$2,FALSE)</f>
        <v>35091.783640000001</v>
      </c>
      <c r="N57" s="61">
        <f>VLOOKUP($D57,Résultats!$B$2:$AZ$212,N$2,FALSE)</f>
        <v>34987.094120000002</v>
      </c>
      <c r="O57" s="61">
        <f>VLOOKUP($D57,Résultats!$B$2:$AZ$212,O$2,FALSE)</f>
        <v>34479.217940000002</v>
      </c>
      <c r="P57" s="61">
        <f>VLOOKUP($D57,Résultats!$B$2:$AZ$212,P$2,FALSE)</f>
        <v>33719.788930000002</v>
      </c>
      <c r="Q57" s="61">
        <f>VLOOKUP($D57,Résultats!$B$2:$AZ$212,Q$2,FALSE)</f>
        <v>32734.757679999999</v>
      </c>
      <c r="R57" s="61">
        <f>VLOOKUP($D57,Résultats!$B$2:$AZ$212,R$2,FALSE)</f>
        <v>31549.215110000001</v>
      </c>
      <c r="S57" s="61">
        <f>VLOOKUP($D57,Résultats!$B$2:$AZ$212,S$2,FALSE)</f>
        <v>30199.260389999999</v>
      </c>
      <c r="T57" s="61">
        <f>VLOOKUP($D57,Résultats!$B$2:$AZ$212,T$2,FALSE)</f>
        <v>28732.13998</v>
      </c>
      <c r="U57" s="61">
        <f>VLOOKUP($D57,Résultats!$B$2:$AZ$212,U$2,FALSE)</f>
        <v>27206.979340000002</v>
      </c>
      <c r="V57" s="61">
        <f>VLOOKUP($D57,Résultats!$B$2:$AZ$212,V$2,FALSE)</f>
        <v>25674.397629999999</v>
      </c>
      <c r="W57" s="61">
        <f>VLOOKUP($D57,Résultats!$B$2:$AZ$212,W$2,FALSE)</f>
        <v>24172.910680000001</v>
      </c>
      <c r="X57" s="61">
        <f>VLOOKUP($D57,Résultats!$B$2:$AZ$212,X$2,FALSE)</f>
        <v>22726.064750000001</v>
      </c>
      <c r="Y57" s="61">
        <f>VLOOKUP($D57,Résultats!$B$2:$AZ$212,Y$2,FALSE)</f>
        <v>21346.212179999999</v>
      </c>
      <c r="Z57" s="61">
        <f>VLOOKUP($D57,Résultats!$B$2:$AZ$212,Z$2,FALSE)</f>
        <v>20037.348000000002</v>
      </c>
      <c r="AA57" s="61">
        <f>VLOOKUP($D57,Résultats!$B$2:$AZ$212,AA$2,FALSE)</f>
        <v>18799.7899</v>
      </c>
      <c r="AB57" s="61">
        <f>VLOOKUP($D57,Résultats!$B$2:$AZ$212,AB$2,FALSE)</f>
        <v>17631.896049999999</v>
      </c>
      <c r="AC57" s="61">
        <f>VLOOKUP($D57,Résultats!$B$2:$AZ$212,AC$2,FALSE)</f>
        <v>16531.00606</v>
      </c>
      <c r="AD57" s="61">
        <f>VLOOKUP($D57,Résultats!$B$2:$AZ$212,AD$2,FALSE)</f>
        <v>15498.365040000001</v>
      </c>
      <c r="AE57" s="61">
        <f>VLOOKUP($D57,Résultats!$B$2:$AZ$212,AE$2,FALSE)</f>
        <v>14529.98855</v>
      </c>
      <c r="AF57" s="61">
        <f>VLOOKUP($D57,Résultats!$B$2:$AZ$212,AF$2,FALSE)</f>
        <v>13621.998390000001</v>
      </c>
      <c r="AG57" s="61">
        <f>VLOOKUP($D57,Résultats!$B$2:$AZ$212,AG$2,FALSE)</f>
        <v>12770.68973</v>
      </c>
      <c r="AH57" s="61">
        <f>VLOOKUP($D57,Résultats!$B$2:$AZ$212,AH$2,FALSE)</f>
        <v>11919.344150000001</v>
      </c>
      <c r="AI57" s="61">
        <f>VLOOKUP($D57,Résultats!$B$2:$AZ$212,AI$2,FALSE)</f>
        <v>11124.738090000001</v>
      </c>
      <c r="AJ57" s="61">
        <f>VLOOKUP($D57,Résultats!$B$2:$AZ$212,AJ$2,FALSE)</f>
        <v>10383.09729</v>
      </c>
      <c r="AK57" s="61">
        <f>VLOOKUP($D57,Résultats!$B$2:$AZ$212,AK$2,FALSE)</f>
        <v>9690.8949790000006</v>
      </c>
      <c r="AL57" s="61">
        <f>VLOOKUP($D57,Résultats!$B$2:$AZ$212,AL$2,FALSE)</f>
        <v>9044.8373819999997</v>
      </c>
      <c r="AM57" s="225">
        <f>VLOOKUP($D57,Résultats!$B$2:$AZ$212,AM$2,FALSE)</f>
        <v>8441.849236</v>
      </c>
      <c r="AN57" s="212"/>
    </row>
    <row r="58" spans="2:40" x14ac:dyDescent="0.25">
      <c r="B58" s="230"/>
      <c r="C58" s="218" t="s">
        <v>27</v>
      </c>
      <c r="D58" s="54" t="s">
        <v>131</v>
      </c>
      <c r="E58" s="65">
        <f>VLOOKUP($D58,Résultats!$B$2:$AZ$212,E$2,FALSE)</f>
        <v>18.581072330000001</v>
      </c>
      <c r="F58" s="65">
        <f>VLOOKUP($D58,Résultats!$B$2:$AZ$212,F$2,FALSE)</f>
        <v>295.34810540000001</v>
      </c>
      <c r="G58" s="65">
        <f>VLOOKUP($D58,Résultats!$B$2:$AZ$212,G$2,FALSE)</f>
        <v>373.90997979999997</v>
      </c>
      <c r="H58" s="65">
        <f>VLOOKUP($D58,Résultats!$B$2:$AZ$212,H$2,FALSE)</f>
        <v>414.6795338</v>
      </c>
      <c r="I58" s="65">
        <f>VLOOKUP($D58,Résultats!$B$2:$AZ$212,I$2,FALSE)</f>
        <v>467.1058941</v>
      </c>
      <c r="J58" s="65">
        <f>VLOOKUP($D58,Résultats!$B$2:$AZ$212,J$2,FALSE)</f>
        <v>504.44035209999998</v>
      </c>
      <c r="K58" s="65">
        <f>VLOOKUP($D58,Résultats!$B$2:$AZ$212,K$2,FALSE)</f>
        <v>560.93890839999995</v>
      </c>
      <c r="L58" s="65">
        <f>VLOOKUP($D58,Résultats!$B$2:$AZ$212,L$2,FALSE)</f>
        <v>627.66615409999997</v>
      </c>
      <c r="M58" s="65">
        <f>VLOOKUP($D58,Résultats!$B$2:$AZ$212,M$2,FALSE)</f>
        <v>718.91293719999999</v>
      </c>
      <c r="N58" s="65">
        <f>VLOOKUP($D58,Résultats!$B$2:$AZ$212,N$2,FALSE)</f>
        <v>817.30222879999997</v>
      </c>
      <c r="O58" s="65">
        <f>VLOOKUP($D58,Résultats!$B$2:$AZ$212,O$2,FALSE)</f>
        <v>885.75586120000003</v>
      </c>
      <c r="P58" s="65">
        <f>VLOOKUP($D58,Résultats!$B$2:$AZ$212,P$2,FALSE)</f>
        <v>933.08926499999995</v>
      </c>
      <c r="Q58" s="65">
        <f>VLOOKUP($D58,Résultats!$B$2:$AZ$212,Q$2,FALSE)</f>
        <v>960.10002540000005</v>
      </c>
      <c r="R58" s="65">
        <f>VLOOKUP($D58,Résultats!$B$2:$AZ$212,R$2,FALSE)</f>
        <v>968.18727420000005</v>
      </c>
      <c r="S58" s="65">
        <f>VLOOKUP($D58,Résultats!$B$2:$AZ$212,S$2,FALSE)</f>
        <v>958.64852710000002</v>
      </c>
      <c r="T58" s="65">
        <f>VLOOKUP($D58,Résultats!$B$2:$AZ$212,T$2,FALSE)</f>
        <v>933.64546740000003</v>
      </c>
      <c r="U58" s="65">
        <f>VLOOKUP($D58,Résultats!$B$2:$AZ$212,U$2,FALSE)</f>
        <v>897.67620039999997</v>
      </c>
      <c r="V58" s="65">
        <f>VLOOKUP($D58,Résultats!$B$2:$AZ$212,V$2,FALSE)</f>
        <v>855.10980199999995</v>
      </c>
      <c r="W58" s="65">
        <f>VLOOKUP($D58,Résultats!$B$2:$AZ$212,W$2,FALSE)</f>
        <v>809.58721309999999</v>
      </c>
      <c r="X58" s="65">
        <f>VLOOKUP($D58,Résultats!$B$2:$AZ$212,X$2,FALSE)</f>
        <v>763.56278829999997</v>
      </c>
      <c r="Y58" s="65">
        <f>VLOOKUP($D58,Résultats!$B$2:$AZ$212,Y$2,FALSE)</f>
        <v>718.52278020000006</v>
      </c>
      <c r="Z58" s="65">
        <f>VLOOKUP($D58,Résultats!$B$2:$AZ$212,Z$2,FALSE)</f>
        <v>675.16924140000003</v>
      </c>
      <c r="AA58" s="65">
        <f>VLOOKUP($D58,Résultats!$B$2:$AZ$212,AA$2,FALSE)</f>
        <v>633.83785609999995</v>
      </c>
      <c r="AB58" s="65">
        <f>VLOOKUP($D58,Résultats!$B$2:$AZ$212,AB$2,FALSE)</f>
        <v>594.6545787</v>
      </c>
      <c r="AC58" s="65">
        <f>VLOOKUP($D58,Résultats!$B$2:$AZ$212,AC$2,FALSE)</f>
        <v>557.62545160000002</v>
      </c>
      <c r="AD58" s="65">
        <f>VLOOKUP($D58,Résultats!$B$2:$AZ$212,AD$2,FALSE)</f>
        <v>522.84370430000001</v>
      </c>
      <c r="AE58" s="65">
        <f>VLOOKUP($D58,Résultats!$B$2:$AZ$212,AE$2,FALSE)</f>
        <v>490.2016342</v>
      </c>
      <c r="AF58" s="65">
        <f>VLOOKUP($D58,Résultats!$B$2:$AZ$212,AF$2,FALSE)</f>
        <v>459.58215890000002</v>
      </c>
      <c r="AG58" s="65">
        <f>VLOOKUP($D58,Résultats!$B$2:$AZ$212,AG$2,FALSE)</f>
        <v>430.86748230000001</v>
      </c>
      <c r="AH58" s="65">
        <f>VLOOKUP($D58,Résultats!$B$2:$AZ$212,AH$2,FALSE)</f>
        <v>402.14810629999999</v>
      </c>
      <c r="AI58" s="65">
        <f>VLOOKUP($D58,Résultats!$B$2:$AZ$212,AI$2,FALSE)</f>
        <v>375.34086739999998</v>
      </c>
      <c r="AJ58" s="65">
        <f>VLOOKUP($D58,Résultats!$B$2:$AZ$212,AJ$2,FALSE)</f>
        <v>350.31949059999999</v>
      </c>
      <c r="AK58" s="65">
        <f>VLOOKUP($D58,Résultats!$B$2:$AZ$212,AK$2,FALSE)</f>
        <v>326.96554529999997</v>
      </c>
      <c r="AL58" s="65">
        <f>VLOOKUP($D58,Résultats!$B$2:$AZ$212,AL$2,FALSE)</f>
        <v>305.16819179999999</v>
      </c>
      <c r="AM58" s="226">
        <f>VLOOKUP($D58,Résultats!$B$2:$AZ$212,AM$2,FALSE)</f>
        <v>284.82382130000002</v>
      </c>
    </row>
    <row r="59" spans="2:40" x14ac:dyDescent="0.25">
      <c r="B59" s="230"/>
      <c r="C59" s="218" t="s">
        <v>28</v>
      </c>
      <c r="D59" s="54" t="s">
        <v>132</v>
      </c>
      <c r="E59" s="65">
        <f>VLOOKUP($D59,Résultats!$B$2:$AZ$212,E$2,FALSE)</f>
        <v>1622.772802</v>
      </c>
      <c r="F59" s="65">
        <f>VLOOKUP($D59,Résultats!$B$2:$AZ$212,F$2,FALSE)</f>
        <v>4073.5224579999999</v>
      </c>
      <c r="G59" s="65">
        <f>VLOOKUP($D59,Résultats!$B$2:$AZ$212,G$2,FALSE)</f>
        <v>4604.4583810000004</v>
      </c>
      <c r="H59" s="65">
        <f>VLOOKUP($D59,Résultats!$B$2:$AZ$212,H$2,FALSE)</f>
        <v>4787.2975640000004</v>
      </c>
      <c r="I59" s="65">
        <f>VLOOKUP($D59,Résultats!$B$2:$AZ$212,I$2,FALSE)</f>
        <v>4911.8373099999999</v>
      </c>
      <c r="J59" s="65">
        <f>VLOOKUP($D59,Résultats!$B$2:$AZ$212,J$2,FALSE)</f>
        <v>4978.6477050000003</v>
      </c>
      <c r="K59" s="65">
        <f>VLOOKUP($D59,Résultats!$B$2:$AZ$212,K$2,FALSE)</f>
        <v>5020.2061890000004</v>
      </c>
      <c r="L59" s="65">
        <f>VLOOKUP($D59,Résultats!$B$2:$AZ$212,L$2,FALSE)</f>
        <v>5052.0667890000004</v>
      </c>
      <c r="M59" s="65">
        <f>VLOOKUP($D59,Résultats!$B$2:$AZ$212,M$2,FALSE)</f>
        <v>5155.7135639999997</v>
      </c>
      <c r="N59" s="65">
        <f>VLOOKUP($D59,Résultats!$B$2:$AZ$212,N$2,FALSE)</f>
        <v>5269.665317</v>
      </c>
      <c r="O59" s="65">
        <f>VLOOKUP($D59,Résultats!$B$2:$AZ$212,O$2,FALSE)</f>
        <v>5291.670083</v>
      </c>
      <c r="P59" s="65">
        <f>VLOOKUP($D59,Résultats!$B$2:$AZ$212,P$2,FALSE)</f>
        <v>5253.6923729999999</v>
      </c>
      <c r="Q59" s="65">
        <f>VLOOKUP($D59,Résultats!$B$2:$AZ$212,Q$2,FALSE)</f>
        <v>5161.2502189999996</v>
      </c>
      <c r="R59" s="65">
        <f>VLOOKUP($D59,Résultats!$B$2:$AZ$212,R$2,FALSE)</f>
        <v>5019.4751429999997</v>
      </c>
      <c r="S59" s="65">
        <f>VLOOKUP($D59,Résultats!$B$2:$AZ$212,S$2,FALSE)</f>
        <v>4836.1486210000003</v>
      </c>
      <c r="T59" s="65">
        <f>VLOOKUP($D59,Résultats!$B$2:$AZ$212,T$2,FALSE)</f>
        <v>4621.5234049999999</v>
      </c>
      <c r="U59" s="65">
        <f>VLOOKUP($D59,Résultats!$B$2:$AZ$212,U$2,FALSE)</f>
        <v>4388.492389</v>
      </c>
      <c r="V59" s="65">
        <f>VLOOKUP($D59,Résultats!$B$2:$AZ$212,V$2,FALSE)</f>
        <v>4148.2438529999999</v>
      </c>
      <c r="W59" s="65">
        <f>VLOOKUP($D59,Résultats!$B$2:$AZ$212,W$2,FALSE)</f>
        <v>3909.4046130000002</v>
      </c>
      <c r="X59" s="65">
        <f>VLOOKUP($D59,Résultats!$B$2:$AZ$212,X$2,FALSE)</f>
        <v>3677.3781170000002</v>
      </c>
      <c r="Y59" s="65">
        <f>VLOOKUP($D59,Résultats!$B$2:$AZ$212,Y$2,FALSE)</f>
        <v>3455.136806</v>
      </c>
      <c r="Z59" s="65">
        <f>VLOOKUP($D59,Résultats!$B$2:$AZ$212,Z$2,FALSE)</f>
        <v>3243.8183060000001</v>
      </c>
      <c r="AA59" s="65">
        <f>VLOOKUP($D59,Résultats!$B$2:$AZ$212,AA$2,FALSE)</f>
        <v>3043.7452790000002</v>
      </c>
      <c r="AB59" s="65">
        <f>VLOOKUP($D59,Résultats!$B$2:$AZ$212,AB$2,FALSE)</f>
        <v>2854.7984820000001</v>
      </c>
      <c r="AC59" s="65">
        <f>VLOOKUP($D59,Résultats!$B$2:$AZ$212,AC$2,FALSE)</f>
        <v>2676.6222640000001</v>
      </c>
      <c r="AD59" s="65">
        <f>VLOOKUP($D59,Résultats!$B$2:$AZ$212,AD$2,FALSE)</f>
        <v>2509.4568960000001</v>
      </c>
      <c r="AE59" s="65">
        <f>VLOOKUP($D59,Résultats!$B$2:$AZ$212,AE$2,FALSE)</f>
        <v>2352.6772540000002</v>
      </c>
      <c r="AF59" s="65">
        <f>VLOOKUP($D59,Résultats!$B$2:$AZ$212,AF$2,FALSE)</f>
        <v>2205.6653449999999</v>
      </c>
      <c r="AG59" s="65">
        <f>VLOOKUP($D59,Résultats!$B$2:$AZ$212,AG$2,FALSE)</f>
        <v>2067.8263120000001</v>
      </c>
      <c r="AH59" s="65">
        <f>VLOOKUP($D59,Résultats!$B$2:$AZ$212,AH$2,FALSE)</f>
        <v>1929.9789740000001</v>
      </c>
      <c r="AI59" s="65">
        <f>VLOOKUP($D59,Résultats!$B$2:$AZ$212,AI$2,FALSE)</f>
        <v>1801.3175920000001</v>
      </c>
      <c r="AJ59" s="65">
        <f>VLOOKUP($D59,Résultats!$B$2:$AZ$212,AJ$2,FALSE)</f>
        <v>1681.231687</v>
      </c>
      <c r="AK59" s="65">
        <f>VLOOKUP($D59,Résultats!$B$2:$AZ$212,AK$2,FALSE)</f>
        <v>1569.150537</v>
      </c>
      <c r="AL59" s="65">
        <f>VLOOKUP($D59,Résultats!$B$2:$AZ$212,AL$2,FALSE)</f>
        <v>1464.540978</v>
      </c>
      <c r="AM59" s="226">
        <f>VLOOKUP($D59,Résultats!$B$2:$AZ$212,AM$2,FALSE)</f>
        <v>1366.9051460000001</v>
      </c>
    </row>
    <row r="60" spans="2:40" x14ac:dyDescent="0.25">
      <c r="B60" s="230"/>
      <c r="C60" s="218" t="s">
        <v>29</v>
      </c>
      <c r="D60" s="54" t="s">
        <v>133</v>
      </c>
      <c r="E60" s="65">
        <f>VLOOKUP($D60,Résultats!$B$2:$AZ$212,E$2,FALSE)</f>
        <v>3840.9962489999998</v>
      </c>
      <c r="F60" s="65">
        <f>VLOOKUP($D60,Résultats!$B$2:$AZ$212,F$2,FALSE)</f>
        <v>7004.6758049999999</v>
      </c>
      <c r="G60" s="65">
        <f>VLOOKUP($D60,Résultats!$B$2:$AZ$212,G$2,FALSE)</f>
        <v>7677.7033819999997</v>
      </c>
      <c r="H60" s="65">
        <f>VLOOKUP($D60,Résultats!$B$2:$AZ$212,H$2,FALSE)</f>
        <v>7909.8433679999998</v>
      </c>
      <c r="I60" s="65">
        <f>VLOOKUP($D60,Résultats!$B$2:$AZ$212,I$2,FALSE)</f>
        <v>8043.0971760000002</v>
      </c>
      <c r="J60" s="65">
        <f>VLOOKUP($D60,Résultats!$B$2:$AZ$212,J$2,FALSE)</f>
        <v>8101.3640740000001</v>
      </c>
      <c r="K60" s="65">
        <f>VLOOKUP($D60,Résultats!$B$2:$AZ$212,K$2,FALSE)</f>
        <v>8103.7328360000001</v>
      </c>
      <c r="L60" s="65">
        <f>VLOOKUP($D60,Résultats!$B$2:$AZ$212,L$2,FALSE)</f>
        <v>8084.1623120000004</v>
      </c>
      <c r="M60" s="65">
        <f>VLOOKUP($D60,Résultats!$B$2:$AZ$212,M$2,FALSE)</f>
        <v>8166.1696789999996</v>
      </c>
      <c r="N60" s="65">
        <f>VLOOKUP($D60,Résultats!$B$2:$AZ$212,N$2,FALSE)</f>
        <v>8263.0882540000002</v>
      </c>
      <c r="O60" s="65">
        <f>VLOOKUP($D60,Résultats!$B$2:$AZ$212,O$2,FALSE)</f>
        <v>8233.595722</v>
      </c>
      <c r="P60" s="65">
        <f>VLOOKUP($D60,Résultats!$B$2:$AZ$212,P$2,FALSE)</f>
        <v>8122.9867919999997</v>
      </c>
      <c r="Q60" s="65">
        <f>VLOOKUP($D60,Résultats!$B$2:$AZ$212,Q$2,FALSE)</f>
        <v>7939.4105810000001</v>
      </c>
      <c r="R60" s="65">
        <f>VLOOKUP($D60,Résultats!$B$2:$AZ$212,R$2,FALSE)</f>
        <v>7690.5580250000003</v>
      </c>
      <c r="S60" s="65">
        <f>VLOOKUP($D60,Résultats!$B$2:$AZ$212,S$2,FALSE)</f>
        <v>7387.6429740000003</v>
      </c>
      <c r="T60" s="65">
        <f>VLOOKUP($D60,Résultats!$B$2:$AZ$212,T$2,FALSE)</f>
        <v>7045.1817449999999</v>
      </c>
      <c r="U60" s="65">
        <f>VLOOKUP($D60,Résultats!$B$2:$AZ$212,U$2,FALSE)</f>
        <v>6680.8886210000001</v>
      </c>
      <c r="V60" s="65">
        <f>VLOOKUP($D60,Résultats!$B$2:$AZ$212,V$2,FALSE)</f>
        <v>6309.8792139999996</v>
      </c>
      <c r="W60" s="65">
        <f>VLOOKUP($D60,Résultats!$B$2:$AZ$212,W$2,FALSE)</f>
        <v>5943.6602130000001</v>
      </c>
      <c r="X60" s="65">
        <f>VLOOKUP($D60,Résultats!$B$2:$AZ$212,X$2,FALSE)</f>
        <v>5589.3271889999996</v>
      </c>
      <c r="Y60" s="65">
        <f>VLOOKUP($D60,Résultats!$B$2:$AZ$212,Y$2,FALSE)</f>
        <v>5250.6875030000001</v>
      </c>
      <c r="Z60" s="65">
        <f>VLOOKUP($D60,Résultats!$B$2:$AZ$212,Z$2,FALSE)</f>
        <v>4929.1006440000001</v>
      </c>
      <c r="AA60" s="65">
        <f>VLOOKUP($D60,Résultats!$B$2:$AZ$212,AA$2,FALSE)</f>
        <v>4624.8464629999999</v>
      </c>
      <c r="AB60" s="65">
        <f>VLOOKUP($D60,Résultats!$B$2:$AZ$212,AB$2,FALSE)</f>
        <v>4337.6267600000001</v>
      </c>
      <c r="AC60" s="65">
        <f>VLOOKUP($D60,Résultats!$B$2:$AZ$212,AC$2,FALSE)</f>
        <v>4066.83959</v>
      </c>
      <c r="AD60" s="65">
        <f>VLOOKUP($D60,Résultats!$B$2:$AZ$212,AD$2,FALSE)</f>
        <v>3812.8174469999999</v>
      </c>
      <c r="AE60" s="65">
        <f>VLOOKUP($D60,Résultats!$B$2:$AZ$212,AE$2,FALSE)</f>
        <v>3574.593159</v>
      </c>
      <c r="AF60" s="65">
        <f>VLOOKUP($D60,Résultats!$B$2:$AZ$212,AF$2,FALSE)</f>
        <v>3351.2189210000001</v>
      </c>
      <c r="AG60" s="65">
        <f>VLOOKUP($D60,Résultats!$B$2:$AZ$212,AG$2,FALSE)</f>
        <v>3141.7863510000002</v>
      </c>
      <c r="AH60" s="65">
        <f>VLOOKUP($D60,Résultats!$B$2:$AZ$212,AH$2,FALSE)</f>
        <v>2932.343284</v>
      </c>
      <c r="AI60" s="65">
        <f>VLOOKUP($D60,Résultats!$B$2:$AZ$212,AI$2,FALSE)</f>
        <v>2736.858393</v>
      </c>
      <c r="AJ60" s="65">
        <f>VLOOKUP($D60,Résultats!$B$2:$AZ$212,AJ$2,FALSE)</f>
        <v>2554.403476</v>
      </c>
      <c r="AK60" s="65">
        <f>VLOOKUP($D60,Résultats!$B$2:$AZ$212,AK$2,FALSE)</f>
        <v>2384.1110530000001</v>
      </c>
      <c r="AL60" s="65">
        <f>VLOOKUP($D60,Résultats!$B$2:$AZ$212,AL$2,FALSE)</f>
        <v>2225.1708779999999</v>
      </c>
      <c r="AM60" s="226">
        <f>VLOOKUP($D60,Résultats!$B$2:$AZ$212,AM$2,FALSE)</f>
        <v>2076.826427</v>
      </c>
    </row>
    <row r="61" spans="2:40" x14ac:dyDescent="0.25">
      <c r="B61" s="230"/>
      <c r="C61" s="218" t="s">
        <v>30</v>
      </c>
      <c r="D61" s="54" t="s">
        <v>134</v>
      </c>
      <c r="E61" s="65">
        <f>VLOOKUP($D61,Résultats!$B$2:$AZ$212,E$2,FALSE)</f>
        <v>5377.3855290000001</v>
      </c>
      <c r="F61" s="65">
        <f>VLOOKUP($D61,Résultats!$B$2:$AZ$212,F$2,FALSE)</f>
        <v>7819.8114809999997</v>
      </c>
      <c r="G61" s="65">
        <f>VLOOKUP($D61,Résultats!$B$2:$AZ$212,G$2,FALSE)</f>
        <v>8297.1232720000007</v>
      </c>
      <c r="H61" s="65">
        <f>VLOOKUP($D61,Résultats!$B$2:$AZ$212,H$2,FALSE)</f>
        <v>8468.411795</v>
      </c>
      <c r="I61" s="65">
        <f>VLOOKUP($D61,Résultats!$B$2:$AZ$212,I$2,FALSE)</f>
        <v>8536.6393559999997</v>
      </c>
      <c r="J61" s="65">
        <f>VLOOKUP($D61,Résultats!$B$2:$AZ$212,J$2,FALSE)</f>
        <v>8550.0502209999995</v>
      </c>
      <c r="K61" s="65">
        <f>VLOOKUP($D61,Résultats!$B$2:$AZ$212,K$2,FALSE)</f>
        <v>8499.59405899999</v>
      </c>
      <c r="L61" s="65">
        <f>VLOOKUP($D61,Résultats!$B$2:$AZ$212,L$2,FALSE)</f>
        <v>8424.5865740000008</v>
      </c>
      <c r="M61" s="65">
        <f>VLOOKUP($D61,Résultats!$B$2:$AZ$212,M$2,FALSE)</f>
        <v>8445.9898379999995</v>
      </c>
      <c r="N61" s="65">
        <f>VLOOKUP($D61,Résultats!$B$2:$AZ$212,N$2,FALSE)</f>
        <v>8482.7555570000004</v>
      </c>
      <c r="O61" s="65">
        <f>VLOOKUP($D61,Résultats!$B$2:$AZ$212,O$2,FALSE)</f>
        <v>8404.3081760000005</v>
      </c>
      <c r="P61" s="65">
        <f>VLOOKUP($D61,Résultats!$B$2:$AZ$212,P$2,FALSE)</f>
        <v>8252.9936149999994</v>
      </c>
      <c r="Q61" s="65">
        <f>VLOOKUP($D61,Résultats!$B$2:$AZ$212,Q$2,FALSE)</f>
        <v>8036.5494769999996</v>
      </c>
      <c r="R61" s="65">
        <f>VLOOKUP($D61,Résultats!$B$2:$AZ$212,R$2,FALSE)</f>
        <v>7762.2768029999997</v>
      </c>
      <c r="S61" s="65">
        <f>VLOOKUP($D61,Résultats!$B$2:$AZ$212,S$2,FALSE)</f>
        <v>7440.7384830000001</v>
      </c>
      <c r="T61" s="65">
        <f>VLOOKUP($D61,Résultats!$B$2:$AZ$212,T$2,FALSE)</f>
        <v>7085.4993629999999</v>
      </c>
      <c r="U61" s="65">
        <f>VLOOKUP($D61,Résultats!$B$2:$AZ$212,U$2,FALSE)</f>
        <v>6712.8149199999998</v>
      </c>
      <c r="V61" s="65">
        <f>VLOOKUP($D61,Résultats!$B$2:$AZ$212,V$2,FALSE)</f>
        <v>6336.4208570000001</v>
      </c>
      <c r="W61" s="65">
        <f>VLOOKUP($D61,Résultats!$B$2:$AZ$212,W$2,FALSE)</f>
        <v>5966.6872309999999</v>
      </c>
      <c r="X61" s="65">
        <f>VLOOKUP($D61,Résultats!$B$2:$AZ$212,X$2,FALSE)</f>
        <v>5609.9356699999998</v>
      </c>
      <c r="Y61" s="65">
        <f>VLOOKUP($D61,Résultats!$B$2:$AZ$212,Y$2,FALSE)</f>
        <v>5269.4901760000002</v>
      </c>
      <c r="Z61" s="65">
        <f>VLOOKUP($D61,Résultats!$B$2:$AZ$212,Z$2,FALSE)</f>
        <v>4946.460376</v>
      </c>
      <c r="AA61" s="65">
        <f>VLOOKUP($D61,Résultats!$B$2:$AZ$212,AA$2,FALSE)</f>
        <v>4640.9845960000002</v>
      </c>
      <c r="AB61" s="65">
        <f>VLOOKUP($D61,Résultats!$B$2:$AZ$212,AB$2,FALSE)</f>
        <v>4352.6856859999998</v>
      </c>
      <c r="AC61" s="65">
        <f>VLOOKUP($D61,Résultats!$B$2:$AZ$212,AC$2,FALSE)</f>
        <v>4080.9192480000002</v>
      </c>
      <c r="AD61" s="65">
        <f>VLOOKUP($D61,Résultats!$B$2:$AZ$212,AD$2,FALSE)</f>
        <v>3825.9978729999998</v>
      </c>
      <c r="AE61" s="65">
        <f>VLOOKUP($D61,Résultats!$B$2:$AZ$212,AE$2,FALSE)</f>
        <v>3586.9400740000001</v>
      </c>
      <c r="AF61" s="65">
        <f>VLOOKUP($D61,Résultats!$B$2:$AZ$212,AF$2,FALSE)</f>
        <v>3362.789256</v>
      </c>
      <c r="AG61" s="65">
        <f>VLOOKUP($D61,Résultats!$B$2:$AZ$212,AG$2,FALSE)</f>
        <v>3152.631077</v>
      </c>
      <c r="AH61" s="65">
        <f>VLOOKUP($D61,Résultats!$B$2:$AZ$212,AH$2,FALSE)</f>
        <v>2942.4636869999999</v>
      </c>
      <c r="AI61" s="65">
        <f>VLOOKUP($D61,Résultats!$B$2:$AZ$212,AI$2,FALSE)</f>
        <v>2746.3034210000001</v>
      </c>
      <c r="AJ61" s="65">
        <f>VLOOKUP($D61,Résultats!$B$2:$AZ$212,AJ$2,FALSE)</f>
        <v>2563.218492</v>
      </c>
      <c r="AK61" s="65">
        <f>VLOOKUP($D61,Résultats!$B$2:$AZ$212,AK$2,FALSE)</f>
        <v>2392.3382280000001</v>
      </c>
      <c r="AL61" s="65">
        <f>VLOOKUP($D61,Résultats!$B$2:$AZ$212,AL$2,FALSE)</f>
        <v>2232.8494879999998</v>
      </c>
      <c r="AM61" s="226">
        <f>VLOOKUP($D61,Résultats!$B$2:$AZ$212,AM$2,FALSE)</f>
        <v>2083.9930869999998</v>
      </c>
    </row>
    <row r="62" spans="2:40" x14ac:dyDescent="0.25">
      <c r="B62" s="230"/>
      <c r="C62" s="218" t="s">
        <v>31</v>
      </c>
      <c r="D62" s="54" t="s">
        <v>135</v>
      </c>
      <c r="E62" s="65">
        <f>VLOOKUP($D62,Résultats!$B$2:$AZ$212,E$2,FALSE)</f>
        <v>13959.64589</v>
      </c>
      <c r="F62" s="65">
        <f>VLOOKUP($D62,Résultats!$B$2:$AZ$212,F$2,FALSE)</f>
        <v>11249.14604</v>
      </c>
      <c r="G62" s="65">
        <f>VLOOKUP($D62,Résultats!$B$2:$AZ$212,G$2,FALSE)</f>
        <v>10562.837729999999</v>
      </c>
      <c r="H62" s="65">
        <f>VLOOKUP($D62,Résultats!$B$2:$AZ$212,H$2,FALSE)</f>
        <v>10371.297049999999</v>
      </c>
      <c r="I62" s="65">
        <f>VLOOKUP($D62,Résultats!$B$2:$AZ$212,I$2,FALSE)</f>
        <v>10118.124019999999</v>
      </c>
      <c r="J62" s="65">
        <f>VLOOKUP($D62,Résultats!$B$2:$AZ$212,J$2,FALSE)</f>
        <v>9862.4326980000005</v>
      </c>
      <c r="K62" s="65">
        <f>VLOOKUP($D62,Résultats!$B$2:$AZ$212,K$2,FALSE)</f>
        <v>9534.7479509999994</v>
      </c>
      <c r="L62" s="65">
        <f>VLOOKUP($D62,Résultats!$B$2:$AZ$212,L$2,FALSE)</f>
        <v>9188.1048769999998</v>
      </c>
      <c r="M62" s="65">
        <f>VLOOKUP($D62,Résultats!$B$2:$AZ$212,M$2,FALSE)</f>
        <v>8906.3206219999902</v>
      </c>
      <c r="N62" s="65">
        <f>VLOOKUP($D62,Résultats!$B$2:$AZ$212,N$2,FALSE)</f>
        <v>8647.1152189999902</v>
      </c>
      <c r="O62" s="65">
        <f>VLOOKUP($D62,Résultats!$B$2:$AZ$212,O$2,FALSE)</f>
        <v>8344.2123580000007</v>
      </c>
      <c r="P62" s="65">
        <f>VLOOKUP($D62,Résultats!$B$2:$AZ$212,P$2,FALSE)</f>
        <v>8018.7669310000001</v>
      </c>
      <c r="Q62" s="65">
        <f>VLOOKUP($D62,Résultats!$B$2:$AZ$212,Q$2,FALSE)</f>
        <v>7674.3793830000004</v>
      </c>
      <c r="R62" s="65">
        <f>VLOOKUP($D62,Résultats!$B$2:$AZ$212,R$2,FALSE)</f>
        <v>7314.4809839999998</v>
      </c>
      <c r="S62" s="65">
        <f>VLOOKUP($D62,Résultats!$B$2:$AZ$212,S$2,FALSE)</f>
        <v>6944.052506</v>
      </c>
      <c r="T62" s="65">
        <f>VLOOKUP($D62,Résultats!$B$2:$AZ$212,T$2,FALSE)</f>
        <v>6569.4843410000003</v>
      </c>
      <c r="U62" s="65">
        <f>VLOOKUP($D62,Résultats!$B$2:$AZ$212,U$2,FALSE)</f>
        <v>6198.2029270000003</v>
      </c>
      <c r="V62" s="65">
        <f>VLOOKUP($D62,Résultats!$B$2:$AZ$212,V$2,FALSE)</f>
        <v>5836.2573389999998</v>
      </c>
      <c r="W62" s="65">
        <f>VLOOKUP($D62,Résultats!$B$2:$AZ$212,W$2,FALSE)</f>
        <v>5488.016764</v>
      </c>
      <c r="X62" s="65">
        <f>VLOOKUP($D62,Résultats!$B$2:$AZ$212,X$2,FALSE)</f>
        <v>5155.9062350000004</v>
      </c>
      <c r="Y62" s="65">
        <f>VLOOKUP($D62,Résultats!$B$2:$AZ$212,Y$2,FALSE)</f>
        <v>4840.9415600000002</v>
      </c>
      <c r="Z62" s="65">
        <f>VLOOKUP($D62,Résultats!$B$2:$AZ$212,Z$2,FALSE)</f>
        <v>4543.1232900000005</v>
      </c>
      <c r="AA62" s="65">
        <f>VLOOKUP($D62,Résultats!$B$2:$AZ$212,AA$2,FALSE)</f>
        <v>4262.0229870000003</v>
      </c>
      <c r="AB62" s="65">
        <f>VLOOKUP($D62,Résultats!$B$2:$AZ$212,AB$2,FALSE)</f>
        <v>3996.99791</v>
      </c>
      <c r="AC62" s="65">
        <f>VLOOKUP($D62,Résultats!$B$2:$AZ$212,AC$2,FALSE)</f>
        <v>3747.3062810000001</v>
      </c>
      <c r="AD62" s="65">
        <f>VLOOKUP($D62,Résultats!$B$2:$AZ$212,AD$2,FALSE)</f>
        <v>3513.1587</v>
      </c>
      <c r="AE62" s="65">
        <f>VLOOKUP($D62,Résultats!$B$2:$AZ$212,AE$2,FALSE)</f>
        <v>3293.6152160000001</v>
      </c>
      <c r="AF62" s="65">
        <f>VLOOKUP($D62,Résultats!$B$2:$AZ$212,AF$2,FALSE)</f>
        <v>3087.7783960000002</v>
      </c>
      <c r="AG62" s="65">
        <f>VLOOKUP($D62,Résultats!$B$2:$AZ$212,AG$2,FALSE)</f>
        <v>2894.7991350000002</v>
      </c>
      <c r="AH62" s="65">
        <f>VLOOKUP($D62,Résultats!$B$2:$AZ$212,AH$2,FALSE)</f>
        <v>2701.8158749999998</v>
      </c>
      <c r="AI62" s="65">
        <f>VLOOKUP($D62,Résultats!$B$2:$AZ$212,AI$2,FALSE)</f>
        <v>2521.6964720000001</v>
      </c>
      <c r="AJ62" s="65">
        <f>VLOOKUP($D62,Résultats!$B$2:$AZ$212,AJ$2,FALSE)</f>
        <v>2353.5841890000002</v>
      </c>
      <c r="AK62" s="65">
        <f>VLOOKUP($D62,Résultats!$B$2:$AZ$212,AK$2,FALSE)</f>
        <v>2196.678977</v>
      </c>
      <c r="AL62" s="65">
        <f>VLOOKUP($D62,Résultats!$B$2:$AZ$212,AL$2,FALSE)</f>
        <v>2050.2339069999998</v>
      </c>
      <c r="AM62" s="226">
        <f>VLOOKUP($D62,Résultats!$B$2:$AZ$212,AM$2,FALSE)</f>
        <v>1913.5517420000001</v>
      </c>
    </row>
    <row r="63" spans="2:40" x14ac:dyDescent="0.25">
      <c r="B63" s="230"/>
      <c r="C63" s="218" t="s">
        <v>32</v>
      </c>
      <c r="D63" s="54" t="s">
        <v>136</v>
      </c>
      <c r="E63" s="65">
        <f>VLOOKUP($D63,Résultats!$B$2:$AZ$212,E$2,FALSE)</f>
        <v>4923.9468200000001</v>
      </c>
      <c r="F63" s="65">
        <f>VLOOKUP($D63,Résultats!$B$2:$AZ$212,F$2,FALSE)</f>
        <v>3807.2207469999998</v>
      </c>
      <c r="G63" s="65">
        <f>VLOOKUP($D63,Résultats!$B$2:$AZ$212,G$2,FALSE)</f>
        <v>3509.1237249999999</v>
      </c>
      <c r="H63" s="65">
        <f>VLOOKUP($D63,Résultats!$B$2:$AZ$212,H$2,FALSE)</f>
        <v>3421.7870360000002</v>
      </c>
      <c r="I63" s="65">
        <f>VLOOKUP($D63,Résultats!$B$2:$AZ$212,I$2,FALSE)</f>
        <v>3312.0870100000002</v>
      </c>
      <c r="J63" s="65">
        <f>VLOOKUP($D63,Résultats!$B$2:$AZ$212,J$2,FALSE)</f>
        <v>3185.8056670000001</v>
      </c>
      <c r="K63" s="65">
        <f>VLOOKUP($D63,Résultats!$B$2:$AZ$212,K$2,FALSE)</f>
        <v>3035.4260119999999</v>
      </c>
      <c r="L63" s="65">
        <f>VLOOKUP($D63,Résultats!$B$2:$AZ$212,L$2,FALSE)</f>
        <v>2879.6147860000001</v>
      </c>
      <c r="M63" s="65">
        <f>VLOOKUP($D63,Résultats!$B$2:$AZ$212,M$2,FALSE)</f>
        <v>2736.7627900000002</v>
      </c>
      <c r="N63" s="65">
        <f>VLOOKUP($D63,Résultats!$B$2:$AZ$212,N$2,FALSE)</f>
        <v>2601.8365269999999</v>
      </c>
      <c r="O63" s="65">
        <f>VLOOKUP($D63,Résultats!$B$2:$AZ$212,O$2,FALSE)</f>
        <v>2467.8091509999999</v>
      </c>
      <c r="P63" s="65">
        <f>VLOOKUP($D63,Résultats!$B$2:$AZ$212,P$2,FALSE)</f>
        <v>2336.8992859999998</v>
      </c>
      <c r="Q63" s="65">
        <f>VLOOKUP($D63,Résultats!$B$2:$AZ$212,Q$2,FALSE)</f>
        <v>2209.4073709999998</v>
      </c>
      <c r="R63" s="65">
        <f>VLOOKUP($D63,Résultats!$B$2:$AZ$212,R$2,FALSE)</f>
        <v>2085.6157389999998</v>
      </c>
      <c r="S63" s="65">
        <f>VLOOKUP($D63,Résultats!$B$2:$AZ$212,S$2,FALSE)</f>
        <v>1965.9254040000001</v>
      </c>
      <c r="T63" s="65">
        <f>VLOOKUP($D63,Résultats!$B$2:$AZ$212,T$2,FALSE)</f>
        <v>1850.8285269999999</v>
      </c>
      <c r="U63" s="65">
        <f>VLOOKUP($D63,Résultats!$B$2:$AZ$212,U$2,FALSE)</f>
        <v>1740.788665</v>
      </c>
      <c r="V63" s="65">
        <f>VLOOKUP($D63,Résultats!$B$2:$AZ$212,V$2,FALSE)</f>
        <v>1636.0864690000001</v>
      </c>
      <c r="W63" s="65">
        <f>VLOOKUP($D63,Résultats!$B$2:$AZ$212,W$2,FALSE)</f>
        <v>1536.8374879999999</v>
      </c>
      <c r="X63" s="65">
        <f>VLOOKUP($D63,Résultats!$B$2:$AZ$212,X$2,FALSE)</f>
        <v>1442.9957790000001</v>
      </c>
      <c r="Y63" s="65">
        <f>VLOOKUP($D63,Résultats!$B$2:$AZ$212,Y$2,FALSE)</f>
        <v>1354.4103930000001</v>
      </c>
      <c r="Z63" s="65">
        <f>VLOOKUP($D63,Résultats!$B$2:$AZ$212,Z$2,FALSE)</f>
        <v>1270.864472</v>
      </c>
      <c r="AA63" s="65">
        <f>VLOOKUP($D63,Résultats!$B$2:$AZ$212,AA$2,FALSE)</f>
        <v>1192.1202840000001</v>
      </c>
      <c r="AB63" s="65">
        <f>VLOOKUP($D63,Résultats!$B$2:$AZ$212,AB$2,FALSE)</f>
        <v>1117.9354169999999</v>
      </c>
      <c r="AC63" s="65">
        <f>VLOOKUP($D63,Résultats!$B$2:$AZ$212,AC$2,FALSE)</f>
        <v>1048.0708320000001</v>
      </c>
      <c r="AD63" s="65">
        <f>VLOOKUP($D63,Résultats!$B$2:$AZ$212,AD$2,FALSE)</f>
        <v>982.56942760000004</v>
      </c>
      <c r="AE63" s="65">
        <f>VLOOKUP($D63,Résultats!$B$2:$AZ$212,AE$2,FALSE)</f>
        <v>921.16027550000001</v>
      </c>
      <c r="AF63" s="65">
        <f>VLOOKUP($D63,Résultats!$B$2:$AZ$212,AF$2,FALSE)</f>
        <v>863.58844079999994</v>
      </c>
      <c r="AG63" s="65">
        <f>VLOOKUP($D63,Résultats!$B$2:$AZ$212,AG$2,FALSE)</f>
        <v>809.61448680000001</v>
      </c>
      <c r="AH63" s="65">
        <f>VLOOKUP($D63,Résultats!$B$2:$AZ$212,AH$2,FALSE)</f>
        <v>755.64033099999995</v>
      </c>
      <c r="AI63" s="65">
        <f>VLOOKUP($D63,Résultats!$B$2:$AZ$212,AI$2,FALSE)</f>
        <v>705.26437840000006</v>
      </c>
      <c r="AJ63" s="65">
        <f>VLOOKUP($D63,Résultats!$B$2:$AZ$212,AJ$2,FALSE)</f>
        <v>658.2467868</v>
      </c>
      <c r="AK63" s="65">
        <f>VLOOKUP($D63,Résultats!$B$2:$AZ$212,AK$2,FALSE)</f>
        <v>614.36368389999996</v>
      </c>
      <c r="AL63" s="65">
        <f>VLOOKUP($D63,Résultats!$B$2:$AZ$212,AL$2,FALSE)</f>
        <v>573.40611279999996</v>
      </c>
      <c r="AM63" s="226">
        <f>VLOOKUP($D63,Résultats!$B$2:$AZ$212,AM$2,FALSE)</f>
        <v>535.17904239999996</v>
      </c>
    </row>
    <row r="64" spans="2:40" x14ac:dyDescent="0.25">
      <c r="B64" s="230"/>
      <c r="C64" s="219" t="s">
        <v>33</v>
      </c>
      <c r="D64" s="54" t="s">
        <v>137</v>
      </c>
      <c r="E64" s="224">
        <f>VLOOKUP($D64,Résultats!$B$2:$AZ$212,E$2,FALSE)</f>
        <v>2256.0604069999999</v>
      </c>
      <c r="F64" s="224">
        <f>VLOOKUP($D64,Résultats!$B$2:$AZ$212,F$2,FALSE)</f>
        <v>1509.0406519999999</v>
      </c>
      <c r="G64" s="224">
        <f>VLOOKUP($D64,Résultats!$B$2:$AZ$212,G$2,FALSE)</f>
        <v>1326.5124020000001</v>
      </c>
      <c r="H64" s="224">
        <f>VLOOKUP($D64,Résultats!$B$2:$AZ$212,H$2,FALSE)</f>
        <v>1269.622292</v>
      </c>
      <c r="I64" s="224">
        <f>VLOOKUP($D64,Résultats!$B$2:$AZ$212,I$2,FALSE)</f>
        <v>1210.3032370000001</v>
      </c>
      <c r="J64" s="224">
        <f>VLOOKUP($D64,Résultats!$B$2:$AZ$212,J$2,FALSE)</f>
        <v>1149.7880749999999</v>
      </c>
      <c r="K64" s="224">
        <f>VLOOKUP($D64,Résultats!$B$2:$AZ$212,K$2,FALSE)</f>
        <v>1085.9109599999999</v>
      </c>
      <c r="L64" s="224">
        <f>VLOOKUP($D64,Résultats!$B$2:$AZ$212,L$2,FALSE)</f>
        <v>1022.033845</v>
      </c>
      <c r="M64" s="224">
        <f>VLOOKUP($D64,Résultats!$B$2:$AZ$212,M$2,FALSE)</f>
        <v>961.91420670000002</v>
      </c>
      <c r="N64" s="224">
        <f>VLOOKUP($D64,Résultats!$B$2:$AZ$212,N$2,FALSE)</f>
        <v>905.33101810000005</v>
      </c>
      <c r="O64" s="224">
        <f>VLOOKUP($D64,Résultats!$B$2:$AZ$212,O$2,FALSE)</f>
        <v>851.86658790000001</v>
      </c>
      <c r="P64" s="224">
        <f>VLOOKUP($D64,Résultats!$B$2:$AZ$212,P$2,FALSE)</f>
        <v>801.36066370000003</v>
      </c>
      <c r="Q64" s="224">
        <f>VLOOKUP($D64,Résultats!$B$2:$AZ$212,Q$2,FALSE)</f>
        <v>753.66062420000003</v>
      </c>
      <c r="R64" s="224">
        <f>VLOOKUP($D64,Résultats!$B$2:$AZ$212,R$2,FALSE)</f>
        <v>708.62114469999995</v>
      </c>
      <c r="S64" s="224">
        <f>VLOOKUP($D64,Résultats!$B$2:$AZ$212,S$2,FALSE)</f>
        <v>666.10387600000001</v>
      </c>
      <c r="T64" s="224">
        <f>VLOOKUP($D64,Résultats!$B$2:$AZ$212,T$2,FALSE)</f>
        <v>625.97713650000003</v>
      </c>
      <c r="U64" s="224">
        <f>VLOOKUP($D64,Résultats!$B$2:$AZ$212,U$2,FALSE)</f>
        <v>588.11561610000001</v>
      </c>
      <c r="V64" s="224">
        <f>VLOOKUP($D64,Résultats!$B$2:$AZ$212,V$2,FALSE)</f>
        <v>552.4000929</v>
      </c>
      <c r="W64" s="224">
        <f>VLOOKUP($D64,Résultats!$B$2:$AZ$212,W$2,FALSE)</f>
        <v>518.71716040000001</v>
      </c>
      <c r="X64" s="224">
        <f>VLOOKUP($D64,Résultats!$B$2:$AZ$212,X$2,FALSE)</f>
        <v>486.95896690000001</v>
      </c>
      <c r="Y64" s="224">
        <f>VLOOKUP($D64,Résultats!$B$2:$AZ$212,Y$2,FALSE)</f>
        <v>457.02296480000001</v>
      </c>
      <c r="Z64" s="224">
        <f>VLOOKUP($D64,Résultats!$B$2:$AZ$212,Z$2,FALSE)</f>
        <v>428.81167069999998</v>
      </c>
      <c r="AA64" s="224">
        <f>VLOOKUP($D64,Résultats!$B$2:$AZ$212,AA$2,FALSE)</f>
        <v>402.23243489999999</v>
      </c>
      <c r="AB64" s="224">
        <f>VLOOKUP($D64,Résultats!$B$2:$AZ$212,AB$2,FALSE)</f>
        <v>377.19722109999998</v>
      </c>
      <c r="AC64" s="224">
        <f>VLOOKUP($D64,Résultats!$B$2:$AZ$212,AC$2,FALSE)</f>
        <v>353.6223948</v>
      </c>
      <c r="AD64" s="224">
        <f>VLOOKUP($D64,Résultats!$B$2:$AZ$212,AD$2,FALSE)</f>
        <v>331.52099509999999</v>
      </c>
      <c r="AE64" s="224">
        <f>VLOOKUP($D64,Résultats!$B$2:$AZ$212,AE$2,FALSE)</f>
        <v>310.80093290000002</v>
      </c>
      <c r="AF64" s="224">
        <f>VLOOKUP($D64,Résultats!$B$2:$AZ$212,AF$2,FALSE)</f>
        <v>291.37587459999997</v>
      </c>
      <c r="AG64" s="224">
        <f>VLOOKUP($D64,Résultats!$B$2:$AZ$212,AG$2,FALSE)</f>
        <v>273.16488249999998</v>
      </c>
      <c r="AH64" s="224">
        <f>VLOOKUP($D64,Résultats!$B$2:$AZ$212,AH$2,FALSE)</f>
        <v>254.95389030000001</v>
      </c>
      <c r="AI64" s="224">
        <f>VLOOKUP($D64,Résultats!$B$2:$AZ$212,AI$2,FALSE)</f>
        <v>237.95696430000001</v>
      </c>
      <c r="AJ64" s="224">
        <f>VLOOKUP($D64,Résultats!$B$2:$AZ$212,AJ$2,FALSE)</f>
        <v>222.09316670000001</v>
      </c>
      <c r="AK64" s="224">
        <f>VLOOKUP($D64,Résultats!$B$2:$AZ$212,AK$2,FALSE)</f>
        <v>207.2869555</v>
      </c>
      <c r="AL64" s="224">
        <f>VLOOKUP($D64,Résultats!$B$2:$AZ$212,AL$2,FALSE)</f>
        <v>193.46782519999999</v>
      </c>
      <c r="AM64" s="227">
        <f>VLOOKUP($D64,Résultats!$B$2:$AZ$212,AM$2,FALSE)</f>
        <v>180.5699702</v>
      </c>
    </row>
    <row r="65" spans="2:39" s="3" customFormat="1" x14ac:dyDescent="0.25"/>
    <row r="66" spans="2:39" s="3" customFormat="1" x14ac:dyDescent="0.25"/>
    <row r="67" spans="2:39" x14ac:dyDescent="0.25">
      <c r="C67" s="11"/>
      <c r="D67" s="11"/>
      <c r="E67" s="93">
        <v>2006</v>
      </c>
      <c r="F67" s="93">
        <v>2015</v>
      </c>
      <c r="G67" s="93">
        <v>2018</v>
      </c>
      <c r="H67" s="93">
        <v>2019</v>
      </c>
      <c r="I67" s="93">
        <v>2020</v>
      </c>
      <c r="J67" s="20">
        <v>2021</v>
      </c>
      <c r="K67" s="4">
        <v>2022</v>
      </c>
      <c r="L67" s="4">
        <v>2023</v>
      </c>
      <c r="M67" s="4">
        <v>2024</v>
      </c>
      <c r="N67" s="92">
        <v>2025</v>
      </c>
      <c r="O67" s="20">
        <v>2026</v>
      </c>
      <c r="P67" s="4">
        <v>2027</v>
      </c>
      <c r="Q67" s="4">
        <v>2028</v>
      </c>
      <c r="R67" s="4">
        <v>2029</v>
      </c>
      <c r="S67" s="92">
        <v>2030</v>
      </c>
      <c r="T67" s="92">
        <v>2031</v>
      </c>
      <c r="U67" s="92">
        <v>2032</v>
      </c>
      <c r="V67" s="92">
        <v>2033</v>
      </c>
      <c r="W67" s="92">
        <v>2034</v>
      </c>
      <c r="X67" s="93">
        <v>2035</v>
      </c>
      <c r="Y67" s="93">
        <v>2036</v>
      </c>
      <c r="Z67" s="93">
        <v>2037</v>
      </c>
      <c r="AA67" s="93">
        <v>2038</v>
      </c>
      <c r="AB67" s="93">
        <v>2039</v>
      </c>
      <c r="AC67" s="93">
        <v>2040</v>
      </c>
      <c r="AD67" s="93">
        <v>2041</v>
      </c>
      <c r="AE67" s="93">
        <v>2042</v>
      </c>
      <c r="AF67" s="93">
        <v>2043</v>
      </c>
      <c r="AG67" s="93">
        <v>2044</v>
      </c>
      <c r="AH67" s="93">
        <v>2045</v>
      </c>
      <c r="AI67" s="93">
        <v>2046</v>
      </c>
      <c r="AJ67" s="93">
        <v>2047</v>
      </c>
      <c r="AK67" s="93">
        <v>2048</v>
      </c>
      <c r="AL67" s="93">
        <v>2049</v>
      </c>
      <c r="AM67" s="93">
        <v>2050</v>
      </c>
    </row>
    <row r="68" spans="2:39" x14ac:dyDescent="0.25">
      <c r="B68" s="229" t="s">
        <v>79</v>
      </c>
      <c r="C68" s="50" t="s">
        <v>51</v>
      </c>
      <c r="D68" s="50" t="s">
        <v>149</v>
      </c>
      <c r="E68" s="51">
        <f t="shared" ref="E68:AM68" si="11">E26</f>
        <v>2373</v>
      </c>
      <c r="F68" s="51">
        <f t="shared" si="11"/>
        <v>1940.3869999999999</v>
      </c>
      <c r="G68" s="51">
        <f t="shared" si="11"/>
        <v>2203.7420000000002</v>
      </c>
      <c r="H68" s="51">
        <f t="shared" si="11"/>
        <v>2240.3020000000001</v>
      </c>
      <c r="I68" s="51">
        <f t="shared" si="11"/>
        <v>1930.8286780000001</v>
      </c>
      <c r="J68" s="51">
        <f t="shared" si="11"/>
        <v>1721.154794</v>
      </c>
      <c r="K68" s="51">
        <f t="shared" si="11"/>
        <v>1720.3899369999999</v>
      </c>
      <c r="L68" s="51">
        <f t="shared" si="11"/>
        <v>1790.6855700000001</v>
      </c>
      <c r="M68" s="51">
        <f t="shared" si="11"/>
        <v>2257.7016159999998</v>
      </c>
      <c r="N68" s="51">
        <f t="shared" si="11"/>
        <v>2426.6313500000001</v>
      </c>
      <c r="O68" s="51">
        <f t="shared" si="11"/>
        <v>2041.6830660000001</v>
      </c>
      <c r="P68" s="51">
        <f t="shared" si="11"/>
        <v>1860.2812859999999</v>
      </c>
      <c r="Q68" s="51">
        <f t="shared" si="11"/>
        <v>1751.5333720000001</v>
      </c>
      <c r="R68" s="51">
        <f t="shared" si="11"/>
        <v>1668.9333140000001</v>
      </c>
      <c r="S68" s="51">
        <f t="shared" si="11"/>
        <v>1609.628659</v>
      </c>
      <c r="T68" s="51">
        <f t="shared" si="11"/>
        <v>1561.932519</v>
      </c>
      <c r="U68" s="51">
        <f t="shared" si="11"/>
        <v>1540.7058380000001</v>
      </c>
      <c r="V68" s="51">
        <f t="shared" si="11"/>
        <v>1524.6280509999999</v>
      </c>
      <c r="W68" s="51">
        <f t="shared" si="11"/>
        <v>1513.8919840000001</v>
      </c>
      <c r="X68" s="51">
        <f t="shared" si="11"/>
        <v>1504.2597760000001</v>
      </c>
      <c r="Y68" s="51">
        <f t="shared" si="11"/>
        <v>1533.258752</v>
      </c>
      <c r="Z68" s="51">
        <f t="shared" si="11"/>
        <v>1549.52379</v>
      </c>
      <c r="AA68" s="51">
        <f t="shared" si="11"/>
        <v>1550.6265069999999</v>
      </c>
      <c r="AB68" s="51">
        <f t="shared" si="11"/>
        <v>1550.513815</v>
      </c>
      <c r="AC68" s="51">
        <f t="shared" si="11"/>
        <v>1542.13861</v>
      </c>
      <c r="AD68" s="51">
        <f t="shared" si="11"/>
        <v>1528.5618239999999</v>
      </c>
      <c r="AE68" s="51">
        <f t="shared" si="11"/>
        <v>1517.4090200000001</v>
      </c>
      <c r="AF68" s="51">
        <f t="shared" si="11"/>
        <v>1501.2449340000001</v>
      </c>
      <c r="AG68" s="51">
        <f t="shared" si="11"/>
        <v>1483.697328</v>
      </c>
      <c r="AH68" s="51">
        <f t="shared" si="11"/>
        <v>1512.542357</v>
      </c>
      <c r="AI68" s="51">
        <f t="shared" si="11"/>
        <v>1515.1225480000001</v>
      </c>
      <c r="AJ68" s="51">
        <f t="shared" si="11"/>
        <v>1509.8701140000001</v>
      </c>
      <c r="AK68" s="51">
        <f t="shared" si="11"/>
        <v>1501.2255990000001</v>
      </c>
      <c r="AL68" s="51">
        <f t="shared" si="11"/>
        <v>1488.524445</v>
      </c>
      <c r="AM68" s="100">
        <f t="shared" si="11"/>
        <v>1458.8246429999999</v>
      </c>
    </row>
    <row r="69" spans="2:39" x14ac:dyDescent="0.25">
      <c r="B69" s="230"/>
      <c r="C69" s="52" t="s">
        <v>45</v>
      </c>
      <c r="D69" s="52" t="s">
        <v>425</v>
      </c>
      <c r="E69" s="124">
        <f t="shared" ref="E69:AM69" si="12">E27/E$26</f>
        <v>9.1847195870206491E-4</v>
      </c>
      <c r="F69" s="124">
        <f t="shared" si="12"/>
        <v>2.1684127259149852E-2</v>
      </c>
      <c r="G69" s="124">
        <f t="shared" si="12"/>
        <v>4.6230079383158276E-2</v>
      </c>
      <c r="H69" s="124">
        <f t="shared" si="12"/>
        <v>5.8674584765803894E-2</v>
      </c>
      <c r="I69" s="124">
        <f t="shared" si="12"/>
        <v>7.3764380197381754E-2</v>
      </c>
      <c r="J69" s="123">
        <f t="shared" si="12"/>
        <v>9.1717667318654897E-2</v>
      </c>
      <c r="K69" s="67">
        <f t="shared" si="12"/>
        <v>0.11270002650567701</v>
      </c>
      <c r="L69" s="67">
        <f t="shared" si="12"/>
        <v>0.13667340537065922</v>
      </c>
      <c r="M69" s="67">
        <f t="shared" si="12"/>
        <v>0.16342416552533487</v>
      </c>
      <c r="N69" s="124">
        <f t="shared" si="12"/>
        <v>0.19248836379699785</v>
      </c>
      <c r="O69" s="123">
        <f t="shared" si="12"/>
        <v>0.23676166088160128</v>
      </c>
      <c r="P69" s="67">
        <f t="shared" si="12"/>
        <v>0.30935530837781061</v>
      </c>
      <c r="Q69" s="67">
        <f t="shared" si="12"/>
        <v>0.41645471086119845</v>
      </c>
      <c r="R69" s="67">
        <f t="shared" si="12"/>
        <v>0.53819733494756039</v>
      </c>
      <c r="S69" s="124">
        <f t="shared" si="12"/>
        <v>0.66265624001914591</v>
      </c>
      <c r="T69" s="124">
        <f t="shared" si="12"/>
        <v>0.77456635116001449</v>
      </c>
      <c r="U69" s="124">
        <f t="shared" si="12"/>
        <v>0.86196560319647464</v>
      </c>
      <c r="V69" s="124">
        <f t="shared" si="12"/>
        <v>0.92151266145109123</v>
      </c>
      <c r="W69" s="124">
        <f t="shared" si="12"/>
        <v>0.95770827266630132</v>
      </c>
      <c r="X69" s="118">
        <f t="shared" si="12"/>
        <v>0.97797708379327164</v>
      </c>
      <c r="Y69" s="118">
        <f t="shared" si="12"/>
        <v>0.98875494369263517</v>
      </c>
      <c r="Z69" s="118">
        <f t="shared" si="12"/>
        <v>0.99431874808453258</v>
      </c>
      <c r="AA69" s="118">
        <f t="shared" si="12"/>
        <v>0.99714548798178138</v>
      </c>
      <c r="AB69" s="118">
        <f t="shared" si="12"/>
        <v>0.99856979152423742</v>
      </c>
      <c r="AC69" s="118">
        <f t="shared" si="12"/>
        <v>0.99928442813580809</v>
      </c>
      <c r="AD69" s="118">
        <f t="shared" si="12"/>
        <v>0.99964223887355186</v>
      </c>
      <c r="AE69" s="118">
        <f t="shared" si="12"/>
        <v>0.99982119652880408</v>
      </c>
      <c r="AF69" s="118">
        <f t="shared" si="12"/>
        <v>0.99991065348700781</v>
      </c>
      <c r="AG69" s="118">
        <f t="shared" si="12"/>
        <v>0.99995535881965281</v>
      </c>
      <c r="AH69" s="118">
        <f t="shared" si="12"/>
        <v>0.99997769517009305</v>
      </c>
      <c r="AI69" s="118">
        <f t="shared" si="12"/>
        <v>0.999988856346952</v>
      </c>
      <c r="AJ69" s="118">
        <f t="shared" si="12"/>
        <v>0.99999443263369336</v>
      </c>
      <c r="AK69" s="118">
        <f t="shared" si="12"/>
        <v>0.99999721893897708</v>
      </c>
      <c r="AL69" s="118">
        <f t="shared" si="12"/>
        <v>0.99999861003290402</v>
      </c>
      <c r="AM69" s="118">
        <f t="shared" si="12"/>
        <v>0.99999930560536887</v>
      </c>
    </row>
    <row r="70" spans="2:39" x14ac:dyDescent="0.25">
      <c r="B70" s="230"/>
      <c r="C70" s="35" t="s">
        <v>27</v>
      </c>
      <c r="D70" s="54" t="s">
        <v>426</v>
      </c>
      <c r="E70" s="111">
        <f t="shared" ref="E70:AM70" si="13">E28/E$26</f>
        <v>2.7354262241887905E-6</v>
      </c>
      <c r="F70" s="111">
        <f t="shared" si="13"/>
        <v>3.523950411438543E-4</v>
      </c>
      <c r="G70" s="111">
        <f t="shared" si="13"/>
        <v>6.0278107146843863E-4</v>
      </c>
      <c r="H70" s="111">
        <f t="shared" si="13"/>
        <v>8.6759345391826631E-4</v>
      </c>
      <c r="I70" s="111">
        <f t="shared" si="13"/>
        <v>1.2460965291297584E-3</v>
      </c>
      <c r="J70" s="110">
        <f t="shared" si="13"/>
        <v>1.7094875267796511E-3</v>
      </c>
      <c r="K70" s="68">
        <f t="shared" si="13"/>
        <v>3.3925524455099159E-3</v>
      </c>
      <c r="L70" s="68">
        <f t="shared" si="13"/>
        <v>5.1356042133069739E-3</v>
      </c>
      <c r="M70" s="68">
        <f t="shared" si="13"/>
        <v>6.4388813681036938E-3</v>
      </c>
      <c r="N70" s="111">
        <f t="shared" si="13"/>
        <v>7.9719762913307776E-3</v>
      </c>
      <c r="O70" s="110">
        <f t="shared" si="13"/>
        <v>1.0404616428356075E-2</v>
      </c>
      <c r="P70" s="68">
        <f t="shared" si="13"/>
        <v>1.4345857290960246E-2</v>
      </c>
      <c r="Q70" s="68">
        <f t="shared" si="13"/>
        <v>2.0326129367062951E-2</v>
      </c>
      <c r="R70" s="68">
        <f t="shared" si="13"/>
        <v>2.761171242939189E-2</v>
      </c>
      <c r="S70" s="111">
        <f t="shared" si="13"/>
        <v>3.5693060569444046E-2</v>
      </c>
      <c r="T70" s="111">
        <f t="shared" si="13"/>
        <v>4.3735973416915583E-2</v>
      </c>
      <c r="U70" s="111">
        <f t="shared" si="13"/>
        <v>5.0961224552716983E-2</v>
      </c>
      <c r="V70" s="111">
        <f t="shared" si="13"/>
        <v>5.6994433332776193E-2</v>
      </c>
      <c r="W70" s="111">
        <f t="shared" si="13"/>
        <v>6.1906811410925598E-2</v>
      </c>
      <c r="X70" s="116">
        <f t="shared" si="13"/>
        <v>6.5999564233511748E-2</v>
      </c>
      <c r="Y70" s="116">
        <f t="shared" si="13"/>
        <v>6.9583125392784329E-2</v>
      </c>
      <c r="Z70" s="116">
        <f t="shared" si="13"/>
        <v>7.2890543164877766E-2</v>
      </c>
      <c r="AA70" s="116">
        <f t="shared" si="13"/>
        <v>7.6111838967808904E-2</v>
      </c>
      <c r="AB70" s="116">
        <f t="shared" si="13"/>
        <v>7.9231253028209866E-2</v>
      </c>
      <c r="AC70" s="116">
        <f t="shared" si="13"/>
        <v>8.238444020281678E-2</v>
      </c>
      <c r="AD70" s="116">
        <f t="shared" si="13"/>
        <v>8.5041277335996063E-2</v>
      </c>
      <c r="AE70" s="116">
        <f t="shared" si="13"/>
        <v>8.7653015928427794E-2</v>
      </c>
      <c r="AF70" s="116">
        <f t="shared" si="13"/>
        <v>9.0344320922118082E-2</v>
      </c>
      <c r="AG70" s="116">
        <f t="shared" si="13"/>
        <v>9.3073823949085116E-2</v>
      </c>
      <c r="AH70" s="116">
        <f t="shared" si="13"/>
        <v>0.10451152998685907</v>
      </c>
      <c r="AI70" s="116">
        <f t="shared" si="13"/>
        <v>0.10739034866505068</v>
      </c>
      <c r="AJ70" s="116">
        <f t="shared" si="13"/>
        <v>0.11029895959646764</v>
      </c>
      <c r="AK70" s="116">
        <f t="shared" si="13"/>
        <v>0.11323601443596219</v>
      </c>
      <c r="AL70" s="116">
        <f t="shared" si="13"/>
        <v>0.11620266834113026</v>
      </c>
      <c r="AM70" s="116">
        <f t="shared" si="13"/>
        <v>0.11920386513514634</v>
      </c>
    </row>
    <row r="71" spans="2:39" x14ac:dyDescent="0.25">
      <c r="B71" s="230"/>
      <c r="C71" s="35" t="s">
        <v>28</v>
      </c>
      <c r="D71" s="54" t="s">
        <v>427</v>
      </c>
      <c r="E71" s="111">
        <f t="shared" ref="E71:AM71" si="14">E29/E$26</f>
        <v>6.270438558786346E-6</v>
      </c>
      <c r="F71" s="111">
        <f t="shared" si="14"/>
        <v>3.4081029928565798E-4</v>
      </c>
      <c r="G71" s="111">
        <f t="shared" si="14"/>
        <v>6.2916462907182424E-4</v>
      </c>
      <c r="H71" s="111">
        <f t="shared" si="14"/>
        <v>8.660022081844322E-4</v>
      </c>
      <c r="I71" s="111">
        <f t="shared" si="14"/>
        <v>1.1901706371900075E-3</v>
      </c>
      <c r="J71" s="110">
        <f t="shared" si="14"/>
        <v>1.5835716796080341E-3</v>
      </c>
      <c r="K71" s="68">
        <f t="shared" si="14"/>
        <v>2.7598578606426718E-3</v>
      </c>
      <c r="L71" s="68">
        <f t="shared" si="14"/>
        <v>3.9635254608099621E-3</v>
      </c>
      <c r="M71" s="68">
        <f t="shared" si="14"/>
        <v>4.9152829015825092E-3</v>
      </c>
      <c r="N71" s="111">
        <f t="shared" si="14"/>
        <v>6.0163232664079769E-3</v>
      </c>
      <c r="O71" s="110">
        <f t="shared" si="14"/>
        <v>7.7464407739766209E-3</v>
      </c>
      <c r="P71" s="68">
        <f t="shared" si="14"/>
        <v>1.0550323420283012E-2</v>
      </c>
      <c r="Q71" s="68">
        <f t="shared" si="14"/>
        <v>1.4774214670230101E-2</v>
      </c>
      <c r="R71" s="68">
        <f t="shared" si="14"/>
        <v>1.9840575811047655E-2</v>
      </c>
      <c r="S71" s="111">
        <f t="shared" si="14"/>
        <v>2.535931137394094E-2</v>
      </c>
      <c r="T71" s="111">
        <f t="shared" si="14"/>
        <v>3.0731848640126815E-2</v>
      </c>
      <c r="U71" s="111">
        <f t="shared" si="14"/>
        <v>3.5419884292020185E-2</v>
      </c>
      <c r="V71" s="111">
        <f t="shared" si="14"/>
        <v>3.9185001771950216E-2</v>
      </c>
      <c r="W71" s="111">
        <f t="shared" si="14"/>
        <v>4.210418785069675E-2</v>
      </c>
      <c r="X71" s="116">
        <f t="shared" si="14"/>
        <v>4.4407340644067046E-2</v>
      </c>
      <c r="Y71" s="116">
        <f t="shared" si="14"/>
        <v>4.6320846659024979E-2</v>
      </c>
      <c r="Z71" s="116">
        <f t="shared" si="14"/>
        <v>4.8009034524084331E-2</v>
      </c>
      <c r="AA71" s="116">
        <f t="shared" si="14"/>
        <v>4.9593239766537796E-2</v>
      </c>
      <c r="AB71" s="116">
        <f t="shared" si="14"/>
        <v>5.1081879654197089E-2</v>
      </c>
      <c r="AC71" s="116">
        <f t="shared" si="14"/>
        <v>5.2547139721766001E-2</v>
      </c>
      <c r="AD71" s="116">
        <f t="shared" si="14"/>
        <v>5.3754741450353014E-2</v>
      </c>
      <c r="AE71" s="116">
        <f t="shared" si="14"/>
        <v>5.4918058487618583E-2</v>
      </c>
      <c r="AF71" s="116">
        <f t="shared" si="14"/>
        <v>5.6093225630828344E-2</v>
      </c>
      <c r="AG71" s="116">
        <f t="shared" si="14"/>
        <v>5.7261361038186083E-2</v>
      </c>
      <c r="AH71" s="116">
        <f t="shared" si="14"/>
        <v>6.1902276955540493E-2</v>
      </c>
      <c r="AI71" s="116">
        <f t="shared" si="14"/>
        <v>6.3006904118755078E-2</v>
      </c>
      <c r="AJ71" s="116">
        <f t="shared" si="14"/>
        <v>6.4097021454124894E-2</v>
      </c>
      <c r="AK71" s="116">
        <f t="shared" si="14"/>
        <v>6.517148788641193E-2</v>
      </c>
      <c r="AL71" s="116">
        <f t="shared" si="14"/>
        <v>6.6230071754044995E-2</v>
      </c>
      <c r="AM71" s="116">
        <f t="shared" si="14"/>
        <v>6.727379082943008E-2</v>
      </c>
    </row>
    <row r="72" spans="2:39" x14ac:dyDescent="0.25">
      <c r="B72" s="230"/>
      <c r="C72" s="35" t="s">
        <v>29</v>
      </c>
      <c r="D72" s="54" t="s">
        <v>428</v>
      </c>
      <c r="E72" s="111">
        <f t="shared" ref="E72:AM72" si="15">E30/E$26</f>
        <v>2.5670923008849558E-5</v>
      </c>
      <c r="F72" s="111">
        <f t="shared" si="15"/>
        <v>6.772440198785088E-4</v>
      </c>
      <c r="G72" s="111">
        <f t="shared" si="15"/>
        <v>1.4113409273862367E-3</v>
      </c>
      <c r="H72" s="111">
        <f t="shared" si="15"/>
        <v>1.8140640172619584E-3</v>
      </c>
      <c r="I72" s="111">
        <f t="shared" si="15"/>
        <v>2.3137698501700002E-3</v>
      </c>
      <c r="J72" s="110">
        <f t="shared" si="15"/>
        <v>2.9096531627822893E-3</v>
      </c>
      <c r="K72" s="68">
        <f t="shared" si="15"/>
        <v>3.7994075862814122E-3</v>
      </c>
      <c r="L72" s="68">
        <f t="shared" si="15"/>
        <v>4.7389911831366349E-3</v>
      </c>
      <c r="M72" s="68">
        <f t="shared" si="15"/>
        <v>5.69830211345342E-3</v>
      </c>
      <c r="N72" s="111">
        <f t="shared" si="15"/>
        <v>6.7495152364202326E-3</v>
      </c>
      <c r="O72" s="110">
        <f t="shared" si="15"/>
        <v>8.3538410118742679E-3</v>
      </c>
      <c r="P72" s="68">
        <f t="shared" si="15"/>
        <v>1.0971478030554139E-2</v>
      </c>
      <c r="Q72" s="68">
        <f t="shared" si="15"/>
        <v>1.4834122315541013E-2</v>
      </c>
      <c r="R72" s="68">
        <f t="shared" si="15"/>
        <v>1.9240232057588371E-2</v>
      </c>
      <c r="S72" s="111">
        <f t="shared" si="15"/>
        <v>2.3757374464093709E-2</v>
      </c>
      <c r="T72" s="111">
        <f t="shared" si="15"/>
        <v>2.7825865747276884E-2</v>
      </c>
      <c r="U72" s="111">
        <f t="shared" si="15"/>
        <v>3.1001742196293279E-2</v>
      </c>
      <c r="V72" s="111">
        <f t="shared" si="15"/>
        <v>3.3151919720254448E-2</v>
      </c>
      <c r="W72" s="111">
        <f t="shared" si="15"/>
        <v>3.4429431855687795E-2</v>
      </c>
      <c r="X72" s="116">
        <f t="shared" si="15"/>
        <v>3.509697014593309E-2</v>
      </c>
      <c r="Y72" s="116">
        <f t="shared" si="15"/>
        <v>3.538436094966442E-2</v>
      </c>
      <c r="Z72" s="116">
        <f t="shared" si="15"/>
        <v>3.5444437138974161E-2</v>
      </c>
      <c r="AA72" s="116">
        <f t="shared" si="15"/>
        <v>3.5362266640267107E-2</v>
      </c>
      <c r="AB72" s="116">
        <f t="shared" si="15"/>
        <v>3.5190879340859016E-2</v>
      </c>
      <c r="AC72" s="116">
        <f t="shared" si="15"/>
        <v>3.4947667408443919E-2</v>
      </c>
      <c r="AD72" s="116">
        <f t="shared" si="15"/>
        <v>3.4701007383002656E-2</v>
      </c>
      <c r="AE72" s="116">
        <f t="shared" si="15"/>
        <v>3.4423174735049349E-2</v>
      </c>
      <c r="AF72" s="116">
        <f t="shared" si="15"/>
        <v>3.4103996050520557E-2</v>
      </c>
      <c r="AG72" s="116">
        <f t="shared" si="15"/>
        <v>3.374884513507731E-2</v>
      </c>
      <c r="AH72" s="116">
        <f t="shared" si="15"/>
        <v>3.1942149875277839E-2</v>
      </c>
      <c r="AI72" s="116">
        <f t="shared" si="15"/>
        <v>3.1411732161747224E-2</v>
      </c>
      <c r="AJ72" s="116">
        <f t="shared" si="15"/>
        <v>3.0845829610215064E-2</v>
      </c>
      <c r="AK72" s="116">
        <f t="shared" si="15"/>
        <v>3.0244632912098376E-2</v>
      </c>
      <c r="AL72" s="116">
        <f t="shared" si="15"/>
        <v>2.9607807616488284E-2</v>
      </c>
      <c r="AM72" s="116">
        <f t="shared" si="15"/>
        <v>2.893410710638784E-2</v>
      </c>
    </row>
    <row r="73" spans="2:39" x14ac:dyDescent="0.25">
      <c r="B73" s="230"/>
      <c r="C73" s="35" t="s">
        <v>30</v>
      </c>
      <c r="D73" s="54" t="s">
        <v>429</v>
      </c>
      <c r="E73" s="111">
        <f t="shared" ref="E73:AM73" si="16">E31/E$26</f>
        <v>6.0305627349346814E-4</v>
      </c>
      <c r="F73" s="111">
        <f t="shared" si="16"/>
        <v>1.412571101022631E-2</v>
      </c>
      <c r="G73" s="111">
        <f t="shared" si="16"/>
        <v>3.0193494156757001E-2</v>
      </c>
      <c r="H73" s="111">
        <f t="shared" si="16"/>
        <v>3.8267591088165791E-2</v>
      </c>
      <c r="I73" s="111">
        <f t="shared" si="16"/>
        <v>4.8027444089992946E-2</v>
      </c>
      <c r="J73" s="110">
        <f t="shared" si="16"/>
        <v>5.9631951442015392E-2</v>
      </c>
      <c r="K73" s="68">
        <f t="shared" si="16"/>
        <v>7.2576564483822603E-2</v>
      </c>
      <c r="L73" s="68">
        <f t="shared" si="16"/>
        <v>8.7450162062790285E-2</v>
      </c>
      <c r="M73" s="68">
        <f t="shared" si="16"/>
        <v>0.10440011218913883</v>
      </c>
      <c r="N73" s="111">
        <f t="shared" si="16"/>
        <v>0.12274972793044975</v>
      </c>
      <c r="O73" s="110">
        <f t="shared" si="16"/>
        <v>0.15064568792382782</v>
      </c>
      <c r="P73" s="68">
        <f t="shared" si="16"/>
        <v>0.19641087767196946</v>
      </c>
      <c r="Q73" s="68">
        <f t="shared" si="16"/>
        <v>0.26383380179181648</v>
      </c>
      <c r="R73" s="68">
        <f t="shared" si="16"/>
        <v>0.3401959832890003</v>
      </c>
      <c r="S73" s="111">
        <f t="shared" si="16"/>
        <v>0.41789850549622953</v>
      </c>
      <c r="T73" s="111">
        <f t="shared" si="16"/>
        <v>0.48731993017682984</v>
      </c>
      <c r="U73" s="111">
        <f t="shared" si="16"/>
        <v>0.54099255116861567</v>
      </c>
      <c r="V73" s="111">
        <f t="shared" si="16"/>
        <v>0.57691996400242018</v>
      </c>
      <c r="W73" s="111">
        <f t="shared" si="16"/>
        <v>0.59803869085021844</v>
      </c>
      <c r="X73" s="116">
        <f t="shared" si="16"/>
        <v>0.60908805747392392</v>
      </c>
      <c r="Y73" s="116">
        <f t="shared" si="16"/>
        <v>0.61414813564357862</v>
      </c>
      <c r="Z73" s="116">
        <f t="shared" si="16"/>
        <v>0.61591512931853731</v>
      </c>
      <c r="AA73" s="116">
        <f t="shared" si="16"/>
        <v>0.61591891741084492</v>
      </c>
      <c r="AB73" s="116">
        <f t="shared" si="16"/>
        <v>0.61505259003448476</v>
      </c>
      <c r="AC73" s="116">
        <f t="shared" si="16"/>
        <v>0.6136966248448964</v>
      </c>
      <c r="AD73" s="116">
        <f t="shared" si="16"/>
        <v>0.61239258563348764</v>
      </c>
      <c r="AE73" s="116">
        <f t="shared" si="16"/>
        <v>0.61099687597744745</v>
      </c>
      <c r="AF73" s="116">
        <f t="shared" si="16"/>
        <v>0.60949673499447754</v>
      </c>
      <c r="AG73" s="116">
        <f t="shared" si="16"/>
        <v>0.60794617492227498</v>
      </c>
      <c r="AH73" s="116">
        <f t="shared" si="16"/>
        <v>0.60136178507032712</v>
      </c>
      <c r="AI73" s="116">
        <f t="shared" si="16"/>
        <v>0.59971567369215861</v>
      </c>
      <c r="AJ73" s="116">
        <f t="shared" si="16"/>
        <v>0.5980525090385358</v>
      </c>
      <c r="AK73" s="116">
        <f t="shared" si="16"/>
        <v>0.59637535877111025</v>
      </c>
      <c r="AL73" s="116">
        <f t="shared" si="16"/>
        <v>0.59468493800919742</v>
      </c>
      <c r="AM73" s="116">
        <f t="shared" si="16"/>
        <v>0.59297936393579287</v>
      </c>
    </row>
    <row r="74" spans="2:39" x14ac:dyDescent="0.25">
      <c r="B74" s="230"/>
      <c r="C74" s="35" t="s">
        <v>31</v>
      </c>
      <c r="D74" s="54" t="s">
        <v>430</v>
      </c>
      <c r="E74" s="111">
        <f t="shared" ref="E74:AM74" si="17">E32/E$26</f>
        <v>2.3768749700800673E-4</v>
      </c>
      <c r="F74" s="111">
        <f t="shared" si="17"/>
        <v>5.4110898444485562E-3</v>
      </c>
      <c r="G74" s="111">
        <f t="shared" si="17"/>
        <v>1.1647865122142245E-2</v>
      </c>
      <c r="H74" s="111">
        <f t="shared" si="17"/>
        <v>1.470634172535667E-2</v>
      </c>
      <c r="I74" s="111">
        <f t="shared" si="17"/>
        <v>1.837167153884587E-2</v>
      </c>
      <c r="J74" s="110">
        <f t="shared" si="17"/>
        <v>2.2722564929276195E-2</v>
      </c>
      <c r="K74" s="68">
        <f t="shared" si="17"/>
        <v>2.6946804798707678E-2</v>
      </c>
      <c r="L74" s="68">
        <f t="shared" si="17"/>
        <v>3.1912041911411615E-2</v>
      </c>
      <c r="M74" s="68">
        <f t="shared" si="17"/>
        <v>3.7935445589015293E-2</v>
      </c>
      <c r="N74" s="111">
        <f t="shared" si="17"/>
        <v>4.4393099388582442E-2</v>
      </c>
      <c r="O74" s="110">
        <f t="shared" si="17"/>
        <v>5.4159224436649167E-2</v>
      </c>
      <c r="P74" s="68">
        <f t="shared" si="17"/>
        <v>7.0210305980576329E-2</v>
      </c>
      <c r="Q74" s="68">
        <f t="shared" si="17"/>
        <v>9.3772432444410192E-2</v>
      </c>
      <c r="R74" s="68">
        <f t="shared" si="17"/>
        <v>0.12020354541259998</v>
      </c>
      <c r="S74" s="111">
        <f t="shared" si="17"/>
        <v>0.14676997752187759</v>
      </c>
      <c r="T74" s="111">
        <f t="shared" si="17"/>
        <v>0.17010512398455288</v>
      </c>
      <c r="U74" s="111">
        <f t="shared" si="17"/>
        <v>0.18766278154389648</v>
      </c>
      <c r="V74" s="111">
        <f t="shared" si="17"/>
        <v>0.19884788771999315</v>
      </c>
      <c r="W74" s="111">
        <f t="shared" si="17"/>
        <v>0.20478386541215743</v>
      </c>
      <c r="X74" s="116">
        <f t="shared" si="17"/>
        <v>0.20718827543787224</v>
      </c>
      <c r="Y74" s="116">
        <f t="shared" si="17"/>
        <v>0.20751425992838554</v>
      </c>
      <c r="Z74" s="116">
        <f t="shared" si="17"/>
        <v>0.20670914165183615</v>
      </c>
      <c r="AA74" s="116">
        <f t="shared" si="17"/>
        <v>0.20528565664458878</v>
      </c>
      <c r="AB74" s="116">
        <f t="shared" si="17"/>
        <v>0.20359968646909476</v>
      </c>
      <c r="AC74" s="116">
        <f t="shared" si="17"/>
        <v>0.20174189932252587</v>
      </c>
      <c r="AD74" s="116">
        <f t="shared" si="17"/>
        <v>0.20014052679886896</v>
      </c>
      <c r="AE74" s="116">
        <f t="shared" si="17"/>
        <v>0.19854677929883402</v>
      </c>
      <c r="AF74" s="116">
        <f t="shared" si="17"/>
        <v>0.19690646776230855</v>
      </c>
      <c r="AG74" s="116">
        <f t="shared" si="17"/>
        <v>0.19525892541069534</v>
      </c>
      <c r="AH74" s="116">
        <f t="shared" si="17"/>
        <v>0.18862808368942752</v>
      </c>
      <c r="AI74" s="116">
        <f t="shared" si="17"/>
        <v>0.18704259577819971</v>
      </c>
      <c r="AJ74" s="116">
        <f t="shared" si="17"/>
        <v>0.18547343212066517</v>
      </c>
      <c r="AK74" s="116">
        <f t="shared" si="17"/>
        <v>0.18392324077335426</v>
      </c>
      <c r="AL74" s="116">
        <f t="shared" si="17"/>
        <v>0.18239292858909012</v>
      </c>
      <c r="AM74" s="116">
        <f t="shared" si="17"/>
        <v>0.18088134695706534</v>
      </c>
    </row>
    <row r="75" spans="2:39" x14ac:dyDescent="0.25">
      <c r="B75" s="230"/>
      <c r="C75" s="35" t="s">
        <v>32</v>
      </c>
      <c r="D75" s="54" t="s">
        <v>431</v>
      </c>
      <c r="E75" s="111">
        <f t="shared" ref="E75:AM75" si="18">E33/E$26</f>
        <v>3.2404279856721449E-6</v>
      </c>
      <c r="F75" s="111">
        <f t="shared" si="18"/>
        <v>2.1527756834074851E-5</v>
      </c>
      <c r="G75" s="111">
        <f t="shared" si="18"/>
        <v>4.6001991793957727E-5</v>
      </c>
      <c r="H75" s="111">
        <f t="shared" si="18"/>
        <v>5.8311999230460891E-5</v>
      </c>
      <c r="I75" s="111">
        <f t="shared" si="18"/>
        <v>7.3199372999990204E-5</v>
      </c>
      <c r="J75" s="110">
        <f t="shared" si="18"/>
        <v>9.0904298291720069E-5</v>
      </c>
      <c r="K75" s="68">
        <f t="shared" si="18"/>
        <v>1.1085314950897671E-4</v>
      </c>
      <c r="L75" s="68">
        <f t="shared" si="18"/>
        <v>1.3381873770278944E-4</v>
      </c>
      <c r="M75" s="68">
        <f t="shared" si="18"/>
        <v>1.5983935753182364E-4</v>
      </c>
      <c r="N75" s="111">
        <f t="shared" si="18"/>
        <v>1.8804730380657118E-4</v>
      </c>
      <c r="O75" s="110">
        <f t="shared" si="18"/>
        <v>2.309694398964075E-4</v>
      </c>
      <c r="P75" s="68">
        <f t="shared" si="18"/>
        <v>3.0138473005098004E-4</v>
      </c>
      <c r="Q75" s="68">
        <f t="shared" si="18"/>
        <v>4.0519611230107922E-4</v>
      </c>
      <c r="R75" s="68">
        <f t="shared" si="18"/>
        <v>5.2296637539587154E-4</v>
      </c>
      <c r="S75" s="111">
        <f t="shared" si="18"/>
        <v>6.4306847744812683E-4</v>
      </c>
      <c r="T75" s="111">
        <f t="shared" si="18"/>
        <v>7.5070944342122369E-4</v>
      </c>
      <c r="U75" s="111">
        <f t="shared" si="18"/>
        <v>8.3435938729791445E-4</v>
      </c>
      <c r="V75" s="111">
        <f t="shared" si="18"/>
        <v>8.9087832741180492E-4</v>
      </c>
      <c r="W75" s="111">
        <f t="shared" si="18"/>
        <v>9.2472004264209111E-4</v>
      </c>
      <c r="X75" s="116">
        <f t="shared" si="18"/>
        <v>9.4313763396143612E-4</v>
      </c>
      <c r="Y75" s="116">
        <f t="shared" si="18"/>
        <v>9.5239373530085032E-4</v>
      </c>
      <c r="Z75" s="116">
        <f t="shared" si="18"/>
        <v>9.5663808814448726E-4</v>
      </c>
      <c r="AA75" s="116">
        <f t="shared" si="18"/>
        <v>9.5825389111576695E-4</v>
      </c>
      <c r="AB75" s="116">
        <f t="shared" si="18"/>
        <v>9.5856831949607622E-4</v>
      </c>
      <c r="AC75" s="116">
        <f t="shared" si="18"/>
        <v>9.5821914283048795E-4</v>
      </c>
      <c r="AD75" s="116">
        <f t="shared" si="18"/>
        <v>9.5772212612840974E-4</v>
      </c>
      <c r="AE75" s="116">
        <f t="shared" si="18"/>
        <v>9.5709699221374069E-4</v>
      </c>
      <c r="AF75" s="116">
        <f t="shared" si="18"/>
        <v>9.5639373061824433E-4</v>
      </c>
      <c r="AG75" s="116">
        <f t="shared" si="18"/>
        <v>9.5567011966742586E-4</v>
      </c>
      <c r="AH75" s="116">
        <f t="shared" si="18"/>
        <v>9.5283760440171249E-4</v>
      </c>
      <c r="AI75" s="116">
        <f t="shared" si="18"/>
        <v>9.5221642757837167E-4</v>
      </c>
      <c r="AJ75" s="116">
        <f t="shared" si="18"/>
        <v>9.5161614080401609E-4</v>
      </c>
      <c r="AK75" s="116">
        <f t="shared" si="18"/>
        <v>9.5103951661298577E-4</v>
      </c>
      <c r="AL75" s="116">
        <f t="shared" si="18"/>
        <v>9.5048738013838927E-4</v>
      </c>
      <c r="AM75" s="116">
        <f t="shared" si="18"/>
        <v>9.4995921521460081E-4</v>
      </c>
    </row>
    <row r="76" spans="2:39" x14ac:dyDescent="0.25">
      <c r="B76" s="230"/>
      <c r="C76" s="35" t="s">
        <v>33</v>
      </c>
      <c r="D76" s="54" t="s">
        <v>432</v>
      </c>
      <c r="E76" s="126">
        <f t="shared" ref="E76:AM76" si="19">E34/E$26</f>
        <v>3.9810972397808684E-5</v>
      </c>
      <c r="F76" s="126">
        <f t="shared" si="19"/>
        <v>7.5534928599294883E-4</v>
      </c>
      <c r="G76" s="126">
        <f t="shared" si="19"/>
        <v>1.6994314624851727E-3</v>
      </c>
      <c r="H76" s="126">
        <f t="shared" si="19"/>
        <v>2.0946802730167626E-3</v>
      </c>
      <c r="I76" s="126">
        <f t="shared" si="19"/>
        <v>2.5420281607190839E-3</v>
      </c>
      <c r="J76" s="125">
        <f t="shared" si="19"/>
        <v>3.0695342629362596E-3</v>
      </c>
      <c r="K76" s="69">
        <f t="shared" si="19"/>
        <v>3.1139861485948695E-3</v>
      </c>
      <c r="L76" s="69">
        <f t="shared" si="19"/>
        <v>3.3392617610695321E-3</v>
      </c>
      <c r="M76" s="69">
        <f t="shared" si="19"/>
        <v>3.8763020068636037E-3</v>
      </c>
      <c r="N76" s="126">
        <f t="shared" si="19"/>
        <v>4.4196743893546086E-3</v>
      </c>
      <c r="O76" s="125">
        <f t="shared" si="19"/>
        <v>5.2208808445884424E-3</v>
      </c>
      <c r="P76" s="69">
        <f t="shared" si="19"/>
        <v>6.5650812927653141E-3</v>
      </c>
      <c r="Q76" s="69">
        <f t="shared" si="19"/>
        <v>8.5088141957480219E-3</v>
      </c>
      <c r="R76" s="69">
        <f t="shared" si="19"/>
        <v>1.0582319558155815E-2</v>
      </c>
      <c r="S76" s="126">
        <f t="shared" si="19"/>
        <v>1.2534941868228752E-2</v>
      </c>
      <c r="T76" s="126">
        <f t="shared" si="19"/>
        <v>1.4096899796987965E-2</v>
      </c>
      <c r="U76" s="126">
        <f t="shared" si="19"/>
        <v>1.5093060379511587E-2</v>
      </c>
      <c r="V76" s="126">
        <f t="shared" si="19"/>
        <v>1.5522576876686367E-2</v>
      </c>
      <c r="W76" s="126">
        <f t="shared" si="19"/>
        <v>1.5520565554431258E-2</v>
      </c>
      <c r="X76" s="119">
        <f t="shared" si="19"/>
        <v>1.5253738075091625E-2</v>
      </c>
      <c r="Y76" s="119">
        <f t="shared" si="19"/>
        <v>1.4851821416506743E-2</v>
      </c>
      <c r="Z76" s="119">
        <f t="shared" si="19"/>
        <v>1.4393824098692928E-2</v>
      </c>
      <c r="AA76" s="119">
        <f t="shared" si="19"/>
        <v>1.3915314779279729E-2</v>
      </c>
      <c r="AB76" s="119">
        <f t="shared" si="19"/>
        <v>1.3454934937164684E-2</v>
      </c>
      <c r="AC76" s="119">
        <f t="shared" si="19"/>
        <v>1.3008437438707277E-2</v>
      </c>
      <c r="AD76" s="119">
        <f t="shared" si="19"/>
        <v>1.2654377884031207E-2</v>
      </c>
      <c r="AE76" s="119">
        <f t="shared" si="19"/>
        <v>1.2326195069013099E-2</v>
      </c>
      <c r="AF76" s="119">
        <f t="shared" si="19"/>
        <v>1.2009514478068507E-2</v>
      </c>
      <c r="AG76" s="119">
        <f t="shared" si="19"/>
        <v>1.171055846236585E-2</v>
      </c>
      <c r="AH76" s="119">
        <f t="shared" si="19"/>
        <v>1.0679032322795308E-2</v>
      </c>
      <c r="AI76" s="119">
        <f t="shared" si="19"/>
        <v>1.0469385655265161E-2</v>
      </c>
      <c r="AJ76" s="119">
        <f t="shared" si="19"/>
        <v>1.027506477951255E-2</v>
      </c>
      <c r="AK76" s="119">
        <f t="shared" si="19"/>
        <v>1.0095444375645768E-2</v>
      </c>
      <c r="AL76" s="119">
        <f t="shared" si="19"/>
        <v>9.9297085376384257E-3</v>
      </c>
      <c r="AM76" s="119">
        <f t="shared" si="19"/>
        <v>9.7768723392753932E-3</v>
      </c>
    </row>
    <row r="77" spans="2:39" x14ac:dyDescent="0.25">
      <c r="B77" s="230"/>
      <c r="C77" s="52" t="s">
        <v>46</v>
      </c>
      <c r="D77" s="52" t="s">
        <v>433</v>
      </c>
      <c r="E77" s="124">
        <f t="shared" ref="E77:AM77" si="20">E35/E$26</f>
        <v>0.99908152802359884</v>
      </c>
      <c r="F77" s="124">
        <f t="shared" si="20"/>
        <v>0.97831587255532015</v>
      </c>
      <c r="G77" s="124">
        <f t="shared" si="20"/>
        <v>0.95376992043533204</v>
      </c>
      <c r="H77" s="124">
        <f t="shared" si="20"/>
        <v>0.94132541505564882</v>
      </c>
      <c r="I77" s="124">
        <f t="shared" si="20"/>
        <v>0.92623561964724455</v>
      </c>
      <c r="J77" s="123">
        <f t="shared" si="20"/>
        <v>0.90828233314614926</v>
      </c>
      <c r="K77" s="67">
        <f t="shared" si="20"/>
        <v>0.88729997378495484</v>
      </c>
      <c r="L77" s="67">
        <f t="shared" si="20"/>
        <v>0.86332659451765159</v>
      </c>
      <c r="M77" s="67">
        <f t="shared" si="20"/>
        <v>0.8365758347404223</v>
      </c>
      <c r="N77" s="124">
        <f t="shared" si="20"/>
        <v>0.80751163624421152</v>
      </c>
      <c r="O77" s="123">
        <f t="shared" si="20"/>
        <v>0.76323833946125297</v>
      </c>
      <c r="P77" s="67">
        <f t="shared" si="20"/>
        <v>0.69064469156843411</v>
      </c>
      <c r="Q77" s="67">
        <f t="shared" si="20"/>
        <v>0.58354528913880155</v>
      </c>
      <c r="R77" s="67">
        <f t="shared" si="20"/>
        <v>0.46180266511235807</v>
      </c>
      <c r="S77" s="124">
        <f t="shared" si="20"/>
        <v>0.33734376047786313</v>
      </c>
      <c r="T77" s="124">
        <f t="shared" si="20"/>
        <v>0.22543364871193902</v>
      </c>
      <c r="U77" s="124">
        <f t="shared" si="20"/>
        <v>0.13803439628428277</v>
      </c>
      <c r="V77" s="124">
        <f t="shared" si="20"/>
        <v>7.8487338286549746E-2</v>
      </c>
      <c r="W77" s="124">
        <f t="shared" si="20"/>
        <v>4.2291727346909509E-2</v>
      </c>
      <c r="X77" s="118">
        <f t="shared" si="20"/>
        <v>2.2022916013942528E-2</v>
      </c>
      <c r="Y77" s="118">
        <f t="shared" si="20"/>
        <v>1.1245056366063384E-2</v>
      </c>
      <c r="Z77" s="118">
        <f t="shared" si="20"/>
        <v>5.6812518612573163E-3</v>
      </c>
      <c r="AA77" s="118">
        <f t="shared" si="20"/>
        <v>2.8545117621931633E-3</v>
      </c>
      <c r="AB77" s="118">
        <f t="shared" si="20"/>
        <v>1.4302081081425256E-3</v>
      </c>
      <c r="AC77" s="118">
        <f t="shared" si="20"/>
        <v>7.1557193487296195E-4</v>
      </c>
      <c r="AD77" s="118">
        <f t="shared" si="20"/>
        <v>3.5776154501160698E-4</v>
      </c>
      <c r="AE77" s="118">
        <f t="shared" si="20"/>
        <v>1.7880321048836261E-4</v>
      </c>
      <c r="AF77" s="118">
        <f t="shared" si="20"/>
        <v>8.9346403016737829E-5</v>
      </c>
      <c r="AG77" s="118">
        <f t="shared" si="20"/>
        <v>4.4641317302419509E-5</v>
      </c>
      <c r="AH77" s="118">
        <f t="shared" si="20"/>
        <v>2.2304266616977789E-5</v>
      </c>
      <c r="AI77" s="118">
        <f t="shared" si="20"/>
        <v>1.1143595296820835E-5</v>
      </c>
      <c r="AJ77" s="118">
        <f t="shared" si="20"/>
        <v>5.5674145623893052E-6</v>
      </c>
      <c r="AK77" s="118">
        <f t="shared" si="20"/>
        <v>2.7814812728889524E-6</v>
      </c>
      <c r="AL77" s="118">
        <f t="shared" si="20"/>
        <v>1.3896132354077666E-6</v>
      </c>
      <c r="AM77" s="118">
        <f t="shared" si="20"/>
        <v>6.9423683295977891E-7</v>
      </c>
    </row>
    <row r="78" spans="2:39" x14ac:dyDescent="0.25">
      <c r="B78" s="230"/>
      <c r="C78" s="35" t="s">
        <v>27</v>
      </c>
      <c r="D78" s="3" t="s">
        <v>434</v>
      </c>
      <c r="E78" s="111">
        <f t="shared" ref="E78:AM78" si="21">E36/E$26</f>
        <v>4.9979065950273916E-4</v>
      </c>
      <c r="F78" s="111">
        <f t="shared" si="21"/>
        <v>2.0381919019247189E-2</v>
      </c>
      <c r="G78" s="111">
        <f t="shared" si="21"/>
        <v>2.4859015197786306E-2</v>
      </c>
      <c r="H78" s="111">
        <f t="shared" si="21"/>
        <v>2.6543320043458427E-2</v>
      </c>
      <c r="I78" s="111">
        <f t="shared" si="21"/>
        <v>3.7890641346689118E-2</v>
      </c>
      <c r="J78" s="110">
        <f t="shared" si="21"/>
        <v>3.5261065949190852E-2</v>
      </c>
      <c r="K78" s="68">
        <f t="shared" si="21"/>
        <v>4.9130152741645575E-2</v>
      </c>
      <c r="L78" s="68">
        <f t="shared" si="21"/>
        <v>5.5690208086057222E-2</v>
      </c>
      <c r="M78" s="68">
        <f t="shared" si="21"/>
        <v>5.6769380236825769E-2</v>
      </c>
      <c r="N78" s="111">
        <f t="shared" si="21"/>
        <v>5.7972665646143562E-2</v>
      </c>
      <c r="O78" s="110">
        <f t="shared" si="21"/>
        <v>5.7168281426104556E-2</v>
      </c>
      <c r="P78" s="68">
        <f t="shared" si="21"/>
        <v>5.367391167208678E-2</v>
      </c>
      <c r="Q78" s="68">
        <f t="shared" si="21"/>
        <v>4.7131153382329039E-2</v>
      </c>
      <c r="R78" s="68">
        <f t="shared" si="21"/>
        <v>3.9224901193385849E-2</v>
      </c>
      <c r="S78" s="111">
        <f t="shared" si="21"/>
        <v>3.0163782887764799E-2</v>
      </c>
      <c r="T78" s="111">
        <f t="shared" si="21"/>
        <v>2.0965599461982901E-2</v>
      </c>
      <c r="U78" s="111">
        <f t="shared" si="21"/>
        <v>1.3306384920701519E-2</v>
      </c>
      <c r="V78" s="111">
        <f t="shared" si="21"/>
        <v>7.8368954330619231E-3</v>
      </c>
      <c r="W78" s="111">
        <f t="shared" si="21"/>
        <v>4.3716808946390453E-3</v>
      </c>
      <c r="X78" s="116">
        <f t="shared" si="21"/>
        <v>2.3547391331695091E-3</v>
      </c>
      <c r="Y78" s="116">
        <f t="shared" si="21"/>
        <v>1.2394041361389208E-3</v>
      </c>
      <c r="Z78" s="116">
        <f t="shared" si="21"/>
        <v>6.4517835528036648E-4</v>
      </c>
      <c r="AA78" s="116">
        <f t="shared" si="21"/>
        <v>3.340249066824446E-4</v>
      </c>
      <c r="AB78" s="116">
        <f t="shared" si="21"/>
        <v>1.723374011343459E-4</v>
      </c>
      <c r="AC78" s="116">
        <f t="shared" si="21"/>
        <v>8.8697674782943153E-5</v>
      </c>
      <c r="AD78" s="116">
        <f t="shared" si="21"/>
        <v>4.5692198577373345E-5</v>
      </c>
      <c r="AE78" s="116">
        <f t="shared" si="21"/>
        <v>2.350156868053941E-5</v>
      </c>
      <c r="AF78" s="116">
        <f t="shared" si="21"/>
        <v>1.2074487639869697E-5</v>
      </c>
      <c r="AG78" s="116">
        <f t="shared" si="21"/>
        <v>6.2063684460581569E-6</v>
      </c>
      <c r="AH78" s="116">
        <f t="shared" si="21"/>
        <v>3.3868966487396027E-6</v>
      </c>
      <c r="AI78" s="116">
        <f t="shared" si="21"/>
        <v>1.7390422929670504E-6</v>
      </c>
      <c r="AJ78" s="116">
        <f t="shared" si="21"/>
        <v>8.9258857268831261E-7</v>
      </c>
      <c r="AK78" s="116">
        <f t="shared" si="21"/>
        <v>4.5789573496341636E-7</v>
      </c>
      <c r="AL78" s="116">
        <f t="shared" si="21"/>
        <v>2.3480172675296576E-7</v>
      </c>
      <c r="AM78" s="116">
        <f t="shared" si="21"/>
        <v>1.2035842885058807E-7</v>
      </c>
    </row>
    <row r="79" spans="2:39" x14ac:dyDescent="0.25">
      <c r="B79" s="230"/>
      <c r="C79" s="35" t="s">
        <v>28</v>
      </c>
      <c r="D79" s="3" t="s">
        <v>435</v>
      </c>
      <c r="E79" s="111">
        <f t="shared" ref="E79:AM79" si="22">E37/E$26</f>
        <v>0.17992463737884534</v>
      </c>
      <c r="F79" s="111">
        <f t="shared" si="22"/>
        <v>0.18846103236107026</v>
      </c>
      <c r="G79" s="111">
        <f t="shared" si="22"/>
        <v>0.18564539623966869</v>
      </c>
      <c r="H79" s="111">
        <f t="shared" si="22"/>
        <v>0.1843778661091228</v>
      </c>
      <c r="I79" s="111">
        <f t="shared" si="22"/>
        <v>0.18847069537880562</v>
      </c>
      <c r="J79" s="110">
        <f t="shared" si="22"/>
        <v>0.18150735900631607</v>
      </c>
      <c r="K79" s="68">
        <f t="shared" si="22"/>
        <v>0.18492901874024389</v>
      </c>
      <c r="L79" s="68">
        <f t="shared" si="22"/>
        <v>0.18270479847559165</v>
      </c>
      <c r="M79" s="68">
        <f t="shared" si="22"/>
        <v>0.1775377100142006</v>
      </c>
      <c r="N79" s="111">
        <f t="shared" si="22"/>
        <v>0.1719375385552486</v>
      </c>
      <c r="O79" s="110">
        <f t="shared" si="22"/>
        <v>0.1632013698643274</v>
      </c>
      <c r="P79" s="68">
        <f t="shared" si="22"/>
        <v>0.14823439480646369</v>
      </c>
      <c r="Q79" s="68">
        <f t="shared" si="22"/>
        <v>0.12576273659489257</v>
      </c>
      <c r="R79" s="68">
        <f t="shared" si="22"/>
        <v>9.9863889948091714E-2</v>
      </c>
      <c r="S79" s="111">
        <f t="shared" si="22"/>
        <v>7.321066616272269E-2</v>
      </c>
      <c r="T79" s="111">
        <f t="shared" si="22"/>
        <v>4.9111621044365998E-2</v>
      </c>
      <c r="U79" s="111">
        <f t="shared" si="22"/>
        <v>3.0178771179550756E-2</v>
      </c>
      <c r="V79" s="111">
        <f t="shared" si="22"/>
        <v>1.7223282277127671E-2</v>
      </c>
      <c r="W79" s="111">
        <f t="shared" si="22"/>
        <v>9.3153663993507212E-3</v>
      </c>
      <c r="X79" s="116">
        <f t="shared" si="22"/>
        <v>4.8693762353185458E-3</v>
      </c>
      <c r="Y79" s="116">
        <f t="shared" si="22"/>
        <v>2.4960012965900228E-3</v>
      </c>
      <c r="Z79" s="116">
        <f t="shared" si="22"/>
        <v>1.2659046286730455E-3</v>
      </c>
      <c r="AA79" s="116">
        <f t="shared" si="22"/>
        <v>6.3851078104909499E-4</v>
      </c>
      <c r="AB79" s="116">
        <f t="shared" si="22"/>
        <v>3.21138282860124E-4</v>
      </c>
      <c r="AC79" s="116">
        <f t="shared" si="22"/>
        <v>1.6126157784221483E-4</v>
      </c>
      <c r="AD79" s="116">
        <f t="shared" si="22"/>
        <v>8.0809906973052859E-5</v>
      </c>
      <c r="AE79" s="116">
        <f t="shared" si="22"/>
        <v>4.0473202406560097E-5</v>
      </c>
      <c r="AF79" s="116">
        <f t="shared" si="22"/>
        <v>2.0262679467599789E-5</v>
      </c>
      <c r="AG79" s="116">
        <f t="shared" si="22"/>
        <v>1.0144541555715467E-5</v>
      </c>
      <c r="AH79" s="116">
        <f t="shared" si="22"/>
        <v>5.123357520625123E-6</v>
      </c>
      <c r="AI79" s="116">
        <f t="shared" si="22"/>
        <v>2.5626256206966567E-6</v>
      </c>
      <c r="AJ79" s="116">
        <f t="shared" si="22"/>
        <v>1.281545519749257E-6</v>
      </c>
      <c r="AK79" s="116">
        <f t="shared" si="22"/>
        <v>6.4077319800619779E-7</v>
      </c>
      <c r="AL79" s="116">
        <f t="shared" si="22"/>
        <v>3.2033314172411859E-7</v>
      </c>
      <c r="AM79" s="116">
        <f t="shared" si="22"/>
        <v>1.6011206427090773E-7</v>
      </c>
    </row>
    <row r="80" spans="2:39" x14ac:dyDescent="0.25">
      <c r="B80" s="230"/>
      <c r="C80" s="35" t="s">
        <v>29</v>
      </c>
      <c r="D80" s="3" t="s">
        <v>436</v>
      </c>
      <c r="E80" s="111">
        <f t="shared" ref="E80:AM80" si="23">E38/E$26</f>
        <v>0.28388109452170246</v>
      </c>
      <c r="F80" s="111">
        <f t="shared" si="23"/>
        <v>0.28407369277365807</v>
      </c>
      <c r="G80" s="111">
        <f t="shared" si="23"/>
        <v>0.27777677250785254</v>
      </c>
      <c r="H80" s="111">
        <f t="shared" si="23"/>
        <v>0.27497415776980066</v>
      </c>
      <c r="I80" s="111">
        <f t="shared" si="23"/>
        <v>0.27384406582757415</v>
      </c>
      <c r="J80" s="110">
        <f t="shared" si="23"/>
        <v>0.26750746557197808</v>
      </c>
      <c r="K80" s="68">
        <f t="shared" si="23"/>
        <v>0.26298953189006014</v>
      </c>
      <c r="L80" s="68">
        <f t="shared" si="23"/>
        <v>0.25527633112048809</v>
      </c>
      <c r="M80" s="68">
        <f t="shared" si="23"/>
        <v>0.24695306188769636</v>
      </c>
      <c r="N80" s="111">
        <f t="shared" si="23"/>
        <v>0.23789418920183322</v>
      </c>
      <c r="O80" s="110">
        <f t="shared" si="23"/>
        <v>0.22456233684606561</v>
      </c>
      <c r="P80" s="68">
        <f t="shared" si="23"/>
        <v>0.20295259751379341</v>
      </c>
      <c r="Q80" s="68">
        <f t="shared" si="23"/>
        <v>0.1712413321919852</v>
      </c>
      <c r="R80" s="68">
        <f t="shared" si="23"/>
        <v>0.13518467742684173</v>
      </c>
      <c r="S80" s="111">
        <f t="shared" si="23"/>
        <v>9.8481366999567083E-2</v>
      </c>
      <c r="T80" s="111">
        <f t="shared" si="23"/>
        <v>6.5673454231987852E-2</v>
      </c>
      <c r="U80" s="111">
        <f t="shared" si="23"/>
        <v>4.012884107082873E-2</v>
      </c>
      <c r="V80" s="111">
        <f t="shared" si="23"/>
        <v>2.2767896620577134E-2</v>
      </c>
      <c r="W80" s="111">
        <f t="shared" si="23"/>
        <v>1.2239797961701869E-2</v>
      </c>
      <c r="X80" s="116">
        <f t="shared" si="23"/>
        <v>6.3583034483799157E-3</v>
      </c>
      <c r="Y80" s="116">
        <f t="shared" si="23"/>
        <v>3.2391751213039872E-3</v>
      </c>
      <c r="Z80" s="116">
        <f t="shared" si="23"/>
        <v>1.6325361451856122E-3</v>
      </c>
      <c r="AA80" s="116">
        <f t="shared" si="23"/>
        <v>8.1811221933406563E-4</v>
      </c>
      <c r="AB80" s="116">
        <f t="shared" si="23"/>
        <v>4.0877481939752979E-4</v>
      </c>
      <c r="AC80" s="116">
        <f t="shared" si="23"/>
        <v>2.0393879166283245E-4</v>
      </c>
      <c r="AD80" s="116">
        <f t="shared" si="23"/>
        <v>1.0161968888737602E-4</v>
      </c>
      <c r="AE80" s="116">
        <f t="shared" si="23"/>
        <v>5.0613843457975486E-5</v>
      </c>
      <c r="AF80" s="116">
        <f t="shared" si="23"/>
        <v>2.5202445678994042E-5</v>
      </c>
      <c r="AG80" s="116">
        <f t="shared" si="23"/>
        <v>1.2544659108532142E-5</v>
      </c>
      <c r="AH80" s="116">
        <f t="shared" si="23"/>
        <v>6.1859631082053726E-6</v>
      </c>
      <c r="AI80" s="116">
        <f t="shared" si="23"/>
        <v>3.0762841171841636E-6</v>
      </c>
      <c r="AJ80" s="116">
        <f t="shared" si="23"/>
        <v>1.5295371890512167E-6</v>
      </c>
      <c r="AK80" s="116">
        <f t="shared" si="23"/>
        <v>7.6036747625431341E-7</v>
      </c>
      <c r="AL80" s="116">
        <f t="shared" si="23"/>
        <v>3.7792919349738996E-7</v>
      </c>
      <c r="AM80" s="116">
        <f t="shared" si="23"/>
        <v>1.8780957554745667E-7</v>
      </c>
    </row>
    <row r="81" spans="2:39" x14ac:dyDescent="0.25">
      <c r="B81" s="230"/>
      <c r="C81" s="35" t="s">
        <v>30</v>
      </c>
      <c r="D81" s="3" t="s">
        <v>437</v>
      </c>
      <c r="E81" s="111">
        <f t="shared" ref="E81:AM81" si="24">E39/E$26</f>
        <v>0.27988276923725242</v>
      </c>
      <c r="F81" s="111">
        <f t="shared" si="24"/>
        <v>0.27183294775732886</v>
      </c>
      <c r="G81" s="111">
        <f t="shared" si="24"/>
        <v>0.26353442190601256</v>
      </c>
      <c r="H81" s="111">
        <f t="shared" si="24"/>
        <v>0.26163646088786241</v>
      </c>
      <c r="I81" s="111">
        <f t="shared" si="24"/>
        <v>0.25463064450092032</v>
      </c>
      <c r="J81" s="110">
        <f t="shared" si="24"/>
        <v>0.25578340468544747</v>
      </c>
      <c r="K81" s="68">
        <f t="shared" si="24"/>
        <v>0.24677348917787817</v>
      </c>
      <c r="L81" s="68">
        <f t="shared" si="24"/>
        <v>0.23732175180257914</v>
      </c>
      <c r="M81" s="68">
        <f t="shared" si="24"/>
        <v>0.22897940823372295</v>
      </c>
      <c r="N81" s="111">
        <f t="shared" si="24"/>
        <v>0.21988863314569804</v>
      </c>
      <c r="O81" s="110">
        <f t="shared" si="24"/>
        <v>0.2069384602516951</v>
      </c>
      <c r="P81" s="68">
        <f t="shared" si="24"/>
        <v>0.1865118908689597</v>
      </c>
      <c r="Q81" s="68">
        <f t="shared" si="24"/>
        <v>0.15689423141633407</v>
      </c>
      <c r="R81" s="68">
        <f t="shared" si="24"/>
        <v>0.12343165845630664</v>
      </c>
      <c r="S81" s="111">
        <f t="shared" si="24"/>
        <v>8.9584816469150605E-2</v>
      </c>
      <c r="T81" s="111">
        <f t="shared" si="24"/>
        <v>5.9540432841196256E-2</v>
      </c>
      <c r="U81" s="111">
        <f t="shared" si="24"/>
        <v>3.6265187384848477E-2</v>
      </c>
      <c r="V81" s="111">
        <f t="shared" si="24"/>
        <v>2.0507796881667109E-2</v>
      </c>
      <c r="W81" s="111">
        <f t="shared" si="24"/>
        <v>1.0987243162521429E-2</v>
      </c>
      <c r="X81" s="116">
        <f t="shared" si="24"/>
        <v>5.6877281055476353E-3</v>
      </c>
      <c r="Y81" s="116">
        <f t="shared" si="24"/>
        <v>2.8877058306202973E-3</v>
      </c>
      <c r="Z81" s="116">
        <f t="shared" si="24"/>
        <v>1.4503624052135398E-3</v>
      </c>
      <c r="AA81" s="116">
        <f t="shared" si="24"/>
        <v>7.242257461293354E-4</v>
      </c>
      <c r="AB81" s="116">
        <f t="shared" si="24"/>
        <v>3.6055944325784681E-4</v>
      </c>
      <c r="AC81" s="116">
        <f t="shared" si="24"/>
        <v>1.7924321886993023E-4</v>
      </c>
      <c r="AD81" s="116">
        <f t="shared" si="24"/>
        <v>8.902369617206927E-5</v>
      </c>
      <c r="AE81" s="116">
        <f t="shared" si="24"/>
        <v>4.4198836316394114E-5</v>
      </c>
      <c r="AF81" s="116">
        <f t="shared" si="24"/>
        <v>2.1939665975918623E-5</v>
      </c>
      <c r="AG81" s="116">
        <f t="shared" si="24"/>
        <v>1.0884603480259149E-5</v>
      </c>
      <c r="AH81" s="116">
        <f t="shared" si="24"/>
        <v>5.299253123659796E-6</v>
      </c>
      <c r="AI81" s="116">
        <f t="shared" si="24"/>
        <v>2.6267851503190749E-6</v>
      </c>
      <c r="AJ81" s="116">
        <f t="shared" si="24"/>
        <v>1.3018374638813467E-6</v>
      </c>
      <c r="AK81" s="116">
        <f t="shared" si="24"/>
        <v>6.4511202223377481E-7</v>
      </c>
      <c r="AL81" s="116">
        <f t="shared" si="24"/>
        <v>3.1963046129215568E-7</v>
      </c>
      <c r="AM81" s="116">
        <f t="shared" si="24"/>
        <v>1.583410584050574E-7</v>
      </c>
    </row>
    <row r="82" spans="2:39" x14ac:dyDescent="0.25">
      <c r="B82" s="230"/>
      <c r="C82" s="35" t="s">
        <v>31</v>
      </c>
      <c r="D82" s="3" t="s">
        <v>438</v>
      </c>
      <c r="E82" s="111">
        <f t="shared" ref="E82:AM82" si="25">E40/E$26</f>
        <v>0.17992463737884534</v>
      </c>
      <c r="F82" s="111">
        <f t="shared" si="25"/>
        <v>0.16395663715537159</v>
      </c>
      <c r="G82" s="111">
        <f t="shared" si="25"/>
        <v>0.15437621817798997</v>
      </c>
      <c r="H82" s="111">
        <f t="shared" si="25"/>
        <v>0.15024813900090256</v>
      </c>
      <c r="I82" s="111">
        <f t="shared" si="25"/>
        <v>0.1374497015317275</v>
      </c>
      <c r="J82" s="110">
        <f t="shared" si="25"/>
        <v>0.14537616306927009</v>
      </c>
      <c r="K82" s="68">
        <f t="shared" si="25"/>
        <v>0.12801061943202938</v>
      </c>
      <c r="L82" s="68">
        <f t="shared" si="25"/>
        <v>0.11963264583630949</v>
      </c>
      <c r="M82" s="68">
        <f t="shared" si="25"/>
        <v>0.11458223698237369</v>
      </c>
      <c r="N82" s="111">
        <f t="shared" si="25"/>
        <v>0.10907953146653281</v>
      </c>
      <c r="O82" s="110">
        <f t="shared" si="25"/>
        <v>0.10175602323382349</v>
      </c>
      <c r="P82" s="68">
        <f t="shared" si="25"/>
        <v>9.0992003345885406E-2</v>
      </c>
      <c r="Q82" s="68">
        <f t="shared" si="25"/>
        <v>7.5887796044801822E-2</v>
      </c>
      <c r="R82" s="68">
        <f t="shared" si="25"/>
        <v>5.9157457150501816E-2</v>
      </c>
      <c r="S82" s="111">
        <f t="shared" si="25"/>
        <v>4.2519360522891882E-2</v>
      </c>
      <c r="T82" s="111">
        <f t="shared" si="25"/>
        <v>2.8009052886618337E-2</v>
      </c>
      <c r="U82" s="111">
        <f t="shared" si="25"/>
        <v>1.6918498247424696E-2</v>
      </c>
      <c r="V82" s="111">
        <f t="shared" si="25"/>
        <v>9.4865738765028147E-3</v>
      </c>
      <c r="W82" s="111">
        <f t="shared" si="25"/>
        <v>5.0391806262447313E-3</v>
      </c>
      <c r="X82" s="116">
        <f t="shared" si="25"/>
        <v>2.5863204109234919E-3</v>
      </c>
      <c r="Y82" s="116">
        <f t="shared" si="25"/>
        <v>1.3023068594230336E-3</v>
      </c>
      <c r="Z82" s="116">
        <f t="shared" si="25"/>
        <v>6.4876914668086515E-4</v>
      </c>
      <c r="AA82" s="116">
        <f t="shared" si="25"/>
        <v>3.2132046979124675E-4</v>
      </c>
      <c r="AB82" s="116">
        <f t="shared" si="25"/>
        <v>1.5869780657194597E-4</v>
      </c>
      <c r="AC82" s="116">
        <f t="shared" si="25"/>
        <v>7.8294131874436372E-5</v>
      </c>
      <c r="AD82" s="116">
        <f t="shared" si="25"/>
        <v>3.8638714818511652E-5</v>
      </c>
      <c r="AE82" s="116">
        <f t="shared" si="25"/>
        <v>1.9068658231648049E-5</v>
      </c>
      <c r="AF82" s="116">
        <f t="shared" si="25"/>
        <v>9.412463669302879E-6</v>
      </c>
      <c r="AG82" s="116">
        <f t="shared" si="25"/>
        <v>4.6430608790582121E-6</v>
      </c>
      <c r="AH82" s="116">
        <f t="shared" si="25"/>
        <v>2.2140742733593409E-6</v>
      </c>
      <c r="AI82" s="116">
        <f t="shared" si="25"/>
        <v>1.0929991057066626E-6</v>
      </c>
      <c r="AJ82" s="116">
        <f t="shared" si="25"/>
        <v>5.3966142812202181E-7</v>
      </c>
      <c r="AK82" s="116">
        <f t="shared" si="25"/>
        <v>2.6652103205975237E-7</v>
      </c>
      <c r="AL82" s="116">
        <f t="shared" si="25"/>
        <v>1.3165379625324191E-7</v>
      </c>
      <c r="AM82" s="116">
        <f t="shared" si="25"/>
        <v>6.5047199027882069E-8</v>
      </c>
    </row>
    <row r="83" spans="2:39" x14ac:dyDescent="0.25">
      <c r="B83" s="230"/>
      <c r="C83" s="35" t="s">
        <v>32</v>
      </c>
      <c r="D83" s="3" t="s">
        <v>439</v>
      </c>
      <c r="E83" s="111">
        <f t="shared" ref="E83:AM83" si="26">E41/E$26</f>
        <v>5.9974879140328695E-2</v>
      </c>
      <c r="F83" s="111">
        <f t="shared" si="26"/>
        <v>4.3117502410601596E-2</v>
      </c>
      <c r="G83" s="111">
        <f t="shared" si="26"/>
        <v>4.1748087761634523E-2</v>
      </c>
      <c r="H83" s="111">
        <f t="shared" si="26"/>
        <v>3.9333758136179849E-2</v>
      </c>
      <c r="I83" s="111">
        <f t="shared" si="26"/>
        <v>3.179428909953242E-2</v>
      </c>
      <c r="J83" s="110">
        <f t="shared" si="26"/>
        <v>2.2846874625734561E-2</v>
      </c>
      <c r="K83" s="68">
        <f t="shared" si="26"/>
        <v>1.5467161524091153E-2</v>
      </c>
      <c r="L83" s="68">
        <f t="shared" si="26"/>
        <v>1.270085915195039E-2</v>
      </c>
      <c r="M83" s="68">
        <f t="shared" si="26"/>
        <v>1.1754037266012216E-2</v>
      </c>
      <c r="N83" s="111">
        <f t="shared" si="26"/>
        <v>1.0739078088643337E-2</v>
      </c>
      <c r="O83" s="110">
        <f t="shared" si="26"/>
        <v>9.6118676727076306E-3</v>
      </c>
      <c r="P83" s="68">
        <f t="shared" si="26"/>
        <v>8.2798934257515295E-3</v>
      </c>
      <c r="Q83" s="68">
        <f t="shared" si="26"/>
        <v>6.6280393885638162E-3</v>
      </c>
      <c r="R83" s="68">
        <f t="shared" si="26"/>
        <v>4.940080992954521E-3</v>
      </c>
      <c r="S83" s="111">
        <f t="shared" si="26"/>
        <v>3.3837674177494871E-3</v>
      </c>
      <c r="T83" s="111">
        <f t="shared" si="26"/>
        <v>2.1334882701164889E-3</v>
      </c>
      <c r="U83" s="111">
        <f t="shared" si="26"/>
        <v>1.2367134556155292E-3</v>
      </c>
      <c r="V83" s="111">
        <f t="shared" si="26"/>
        <v>6.6489316940948769E-4</v>
      </c>
      <c r="W83" s="111">
        <f t="shared" si="26"/>
        <v>3.3845830364077017E-4</v>
      </c>
      <c r="X83" s="116">
        <f t="shared" si="26"/>
        <v>1.6644867827669677E-4</v>
      </c>
      <c r="Y83" s="116">
        <f t="shared" si="26"/>
        <v>8.046312394373992E-5</v>
      </c>
      <c r="Z83" s="116">
        <f t="shared" si="26"/>
        <v>3.8501180094821261E-5</v>
      </c>
      <c r="AA83" s="116">
        <f t="shared" si="26"/>
        <v>1.8317639400446544E-5</v>
      </c>
      <c r="AB83" s="116">
        <f t="shared" si="26"/>
        <v>8.7003547917436642E-6</v>
      </c>
      <c r="AC83" s="116">
        <f t="shared" si="26"/>
        <v>4.1365395682558002E-6</v>
      </c>
      <c r="AD83" s="116">
        <f t="shared" si="26"/>
        <v>1.977339674813179E-6</v>
      </c>
      <c r="AE83" s="116">
        <f t="shared" si="26"/>
        <v>9.4710144796687706E-7</v>
      </c>
      <c r="AF83" s="116">
        <f t="shared" si="26"/>
        <v>4.5466054108929302E-7</v>
      </c>
      <c r="AG83" s="116">
        <f t="shared" si="26"/>
        <v>2.1808379168288158E-7</v>
      </c>
      <c r="AH83" s="116">
        <f t="shared" si="26"/>
        <v>9.4721911976181438E-8</v>
      </c>
      <c r="AI83" s="116">
        <f t="shared" si="26"/>
        <v>4.5859033641680048E-8</v>
      </c>
      <c r="AJ83" s="116">
        <f t="shared" si="26"/>
        <v>2.2244383466219134E-8</v>
      </c>
      <c r="AK83" s="116">
        <f t="shared" si="26"/>
        <v>1.0811806440558838E-8</v>
      </c>
      <c r="AL83" s="116">
        <f t="shared" si="26"/>
        <v>5.2649165126744023E-9</v>
      </c>
      <c r="AM83" s="116">
        <f t="shared" si="26"/>
        <v>2.5685045546629145E-9</v>
      </c>
    </row>
    <row r="84" spans="2:39" x14ac:dyDescent="0.25">
      <c r="B84" s="230"/>
      <c r="C84" s="56" t="s">
        <v>33</v>
      </c>
      <c r="D84" s="7" t="s">
        <v>440</v>
      </c>
      <c r="E84" s="113">
        <f t="shared" ref="E84:AM84" si="27">E42/E$26</f>
        <v>1.4993719780868098E-2</v>
      </c>
      <c r="F84" s="113">
        <f t="shared" si="27"/>
        <v>6.4921412429582341E-3</v>
      </c>
      <c r="G84" s="113">
        <f t="shared" si="27"/>
        <v>5.8300088122838333E-3</v>
      </c>
      <c r="H84" s="113">
        <f t="shared" si="27"/>
        <v>4.2117132815129386E-3</v>
      </c>
      <c r="I84" s="113">
        <f t="shared" si="27"/>
        <v>2.1555821292809697E-3</v>
      </c>
      <c r="J84" s="112">
        <f t="shared" si="27"/>
        <v>9.9459678232752846E-12</v>
      </c>
      <c r="K84" s="70">
        <f t="shared" si="27"/>
        <v>0</v>
      </c>
      <c r="L84" s="70">
        <f t="shared" si="27"/>
        <v>0</v>
      </c>
      <c r="M84" s="70">
        <f t="shared" si="27"/>
        <v>0</v>
      </c>
      <c r="N84" s="113">
        <f t="shared" si="27"/>
        <v>0</v>
      </c>
      <c r="O84" s="112">
        <f t="shared" si="27"/>
        <v>0</v>
      </c>
      <c r="P84" s="70">
        <f t="shared" si="27"/>
        <v>0</v>
      </c>
      <c r="Q84" s="70">
        <f t="shared" si="27"/>
        <v>0</v>
      </c>
      <c r="R84" s="70">
        <f t="shared" si="27"/>
        <v>0</v>
      </c>
      <c r="S84" s="113">
        <f t="shared" si="27"/>
        <v>0</v>
      </c>
      <c r="T84" s="113">
        <f t="shared" si="27"/>
        <v>0</v>
      </c>
      <c r="U84" s="113">
        <f t="shared" si="27"/>
        <v>0</v>
      </c>
      <c r="V84" s="113">
        <f t="shared" si="27"/>
        <v>0</v>
      </c>
      <c r="W84" s="113">
        <f t="shared" si="27"/>
        <v>0</v>
      </c>
      <c r="X84" s="117">
        <f t="shared" si="27"/>
        <v>0</v>
      </c>
      <c r="Y84" s="117">
        <f t="shared" si="27"/>
        <v>0</v>
      </c>
      <c r="Z84" s="117">
        <f t="shared" si="27"/>
        <v>0</v>
      </c>
      <c r="AA84" s="117">
        <f t="shared" si="27"/>
        <v>0</v>
      </c>
      <c r="AB84" s="117">
        <f t="shared" si="27"/>
        <v>0</v>
      </c>
      <c r="AC84" s="117">
        <f t="shared" si="27"/>
        <v>0</v>
      </c>
      <c r="AD84" s="117">
        <f t="shared" si="27"/>
        <v>0</v>
      </c>
      <c r="AE84" s="117">
        <f t="shared" si="27"/>
        <v>0</v>
      </c>
      <c r="AF84" s="117">
        <f t="shared" si="27"/>
        <v>0</v>
      </c>
      <c r="AG84" s="117">
        <f t="shared" si="27"/>
        <v>0</v>
      </c>
      <c r="AH84" s="117">
        <f t="shared" si="27"/>
        <v>0</v>
      </c>
      <c r="AI84" s="117">
        <f t="shared" si="27"/>
        <v>0</v>
      </c>
      <c r="AJ84" s="117">
        <f t="shared" si="27"/>
        <v>0</v>
      </c>
      <c r="AK84" s="117">
        <f t="shared" si="27"/>
        <v>0</v>
      </c>
      <c r="AL84" s="117">
        <f t="shared" si="27"/>
        <v>0</v>
      </c>
      <c r="AM84" s="117">
        <f t="shared" si="27"/>
        <v>0</v>
      </c>
    </row>
    <row r="85" spans="2:39" x14ac:dyDescent="0.25">
      <c r="B85" s="229" t="s">
        <v>80</v>
      </c>
      <c r="C85" s="58" t="s">
        <v>52</v>
      </c>
      <c r="D85" s="58" t="s">
        <v>130</v>
      </c>
      <c r="E85" s="100">
        <f t="shared" ref="E85:AM85" si="28">E43</f>
        <v>32001.800439999999</v>
      </c>
      <c r="F85" s="100">
        <f t="shared" si="28"/>
        <v>35911.307350000003</v>
      </c>
      <c r="G85" s="100">
        <f t="shared" si="28"/>
        <v>36708.886160000002</v>
      </c>
      <c r="H85" s="100">
        <f t="shared" si="28"/>
        <v>37113.743849999999</v>
      </c>
      <c r="I85" s="100">
        <f t="shared" si="28"/>
        <v>37188.885329999997</v>
      </c>
      <c r="J85" s="99">
        <f t="shared" si="28"/>
        <v>37050.595860000001</v>
      </c>
      <c r="K85" s="51">
        <f t="shared" si="28"/>
        <v>36712.619359999997</v>
      </c>
      <c r="L85" s="51">
        <f t="shared" si="28"/>
        <v>36343.739090000003</v>
      </c>
      <c r="M85" s="51">
        <f t="shared" si="28"/>
        <v>36463.573700000001</v>
      </c>
      <c r="N85" s="100">
        <f t="shared" si="28"/>
        <v>36745.288950000002</v>
      </c>
      <c r="O85" s="99">
        <f t="shared" si="28"/>
        <v>36616.97464</v>
      </c>
      <c r="P85" s="51">
        <f t="shared" si="28"/>
        <v>36306.289049999999</v>
      </c>
      <c r="Q85" s="51">
        <f t="shared" si="28"/>
        <v>35896.733780000002</v>
      </c>
      <c r="R85" s="51">
        <f t="shared" si="28"/>
        <v>35420.443959999997</v>
      </c>
      <c r="S85" s="100">
        <f t="shared" si="28"/>
        <v>34904.845990000002</v>
      </c>
      <c r="T85" s="100">
        <f t="shared" si="28"/>
        <v>34364.076939999999</v>
      </c>
      <c r="U85" s="100">
        <f t="shared" si="28"/>
        <v>33826.310380000003</v>
      </c>
      <c r="V85" s="100">
        <f t="shared" si="28"/>
        <v>33296.709060000001</v>
      </c>
      <c r="W85" s="100">
        <f t="shared" si="28"/>
        <v>32780.313900000001</v>
      </c>
      <c r="X85" s="104">
        <f t="shared" si="28"/>
        <v>32277.615689999999</v>
      </c>
      <c r="Y85" s="104">
        <f t="shared" si="28"/>
        <v>31826.594779999999</v>
      </c>
      <c r="Z85" s="104">
        <f t="shared" si="28"/>
        <v>31411.51396</v>
      </c>
      <c r="AA85" s="104">
        <f t="shared" si="28"/>
        <v>31015.145799999998</v>
      </c>
      <c r="AB85" s="104">
        <f t="shared" si="28"/>
        <v>30635.25635</v>
      </c>
      <c r="AC85" s="104">
        <f t="shared" si="28"/>
        <v>30262.691439999999</v>
      </c>
      <c r="AD85" s="104">
        <f t="shared" si="28"/>
        <v>29899.835050000002</v>
      </c>
      <c r="AE85" s="104">
        <f t="shared" si="28"/>
        <v>29548.504369999999</v>
      </c>
      <c r="AF85" s="104">
        <f t="shared" si="28"/>
        <v>29202.967779999999</v>
      </c>
      <c r="AG85" s="104">
        <f t="shared" si="28"/>
        <v>28861.479630000002</v>
      </c>
      <c r="AH85" s="104">
        <f t="shared" si="28"/>
        <v>28449.923340000001</v>
      </c>
      <c r="AI85" s="104">
        <f t="shared" si="28"/>
        <v>28068.384330000001</v>
      </c>
      <c r="AJ85" s="104">
        <f t="shared" si="28"/>
        <v>27707.028829999999</v>
      </c>
      <c r="AK85" s="104">
        <f t="shared" si="28"/>
        <v>27361.119170000002</v>
      </c>
      <c r="AL85" s="104">
        <f t="shared" si="28"/>
        <v>27025.569</v>
      </c>
      <c r="AM85" s="104">
        <f t="shared" si="28"/>
        <v>26682.689050000001</v>
      </c>
    </row>
    <row r="86" spans="2:39" x14ac:dyDescent="0.25">
      <c r="B86" s="230"/>
      <c r="C86" s="35" t="s">
        <v>8</v>
      </c>
      <c r="D86" s="54" t="s">
        <v>441</v>
      </c>
      <c r="E86" s="111">
        <f t="shared" ref="E86:AM89" si="29">E44/E$43</f>
        <v>0</v>
      </c>
      <c r="F86" s="111">
        <f t="shared" si="29"/>
        <v>0</v>
      </c>
      <c r="G86" s="111">
        <f t="shared" si="29"/>
        <v>0</v>
      </c>
      <c r="H86" s="111">
        <f t="shared" si="29"/>
        <v>0</v>
      </c>
      <c r="I86" s="111">
        <f t="shared" si="29"/>
        <v>0</v>
      </c>
      <c r="J86" s="110">
        <f t="shared" si="29"/>
        <v>0</v>
      </c>
      <c r="K86" s="68">
        <f t="shared" si="29"/>
        <v>0</v>
      </c>
      <c r="L86" s="68">
        <f t="shared" si="29"/>
        <v>0</v>
      </c>
      <c r="M86" s="68">
        <f t="shared" si="29"/>
        <v>0</v>
      </c>
      <c r="N86" s="111">
        <f t="shared" si="29"/>
        <v>0</v>
      </c>
      <c r="O86" s="110">
        <f t="shared" si="29"/>
        <v>0</v>
      </c>
      <c r="P86" s="68">
        <f t="shared" si="29"/>
        <v>0</v>
      </c>
      <c r="Q86" s="68">
        <f t="shared" si="29"/>
        <v>0</v>
      </c>
      <c r="R86" s="68">
        <f t="shared" si="29"/>
        <v>0</v>
      </c>
      <c r="S86" s="111">
        <f t="shared" si="29"/>
        <v>0</v>
      </c>
      <c r="T86" s="111">
        <f t="shared" si="29"/>
        <v>0</v>
      </c>
      <c r="U86" s="111">
        <f t="shared" si="29"/>
        <v>0</v>
      </c>
      <c r="V86" s="111">
        <f t="shared" si="29"/>
        <v>0</v>
      </c>
      <c r="W86" s="111">
        <f t="shared" si="29"/>
        <v>0</v>
      </c>
      <c r="X86" s="116">
        <f t="shared" si="29"/>
        <v>0</v>
      </c>
      <c r="Y86" s="116">
        <f t="shared" si="29"/>
        <v>0</v>
      </c>
      <c r="Z86" s="116">
        <f t="shared" si="29"/>
        <v>0</v>
      </c>
      <c r="AA86" s="116">
        <f t="shared" si="29"/>
        <v>0</v>
      </c>
      <c r="AB86" s="116">
        <f t="shared" si="29"/>
        <v>0</v>
      </c>
      <c r="AC86" s="116">
        <f t="shared" si="29"/>
        <v>0</v>
      </c>
      <c r="AD86" s="116">
        <f t="shared" si="29"/>
        <v>0</v>
      </c>
      <c r="AE86" s="116">
        <f t="shared" si="29"/>
        <v>0</v>
      </c>
      <c r="AF86" s="116">
        <f t="shared" si="29"/>
        <v>0</v>
      </c>
      <c r="AG86" s="116">
        <f t="shared" si="29"/>
        <v>0</v>
      </c>
      <c r="AH86" s="116">
        <f t="shared" si="29"/>
        <v>0</v>
      </c>
      <c r="AI86" s="116">
        <f t="shared" si="29"/>
        <v>0</v>
      </c>
      <c r="AJ86" s="116">
        <f t="shared" si="29"/>
        <v>0</v>
      </c>
      <c r="AK86" s="116">
        <f t="shared" si="29"/>
        <v>0</v>
      </c>
      <c r="AL86" s="116">
        <f t="shared" si="29"/>
        <v>0</v>
      </c>
      <c r="AM86" s="116">
        <f t="shared" si="29"/>
        <v>0</v>
      </c>
    </row>
    <row r="87" spans="2:39" x14ac:dyDescent="0.25">
      <c r="B87" s="230"/>
      <c r="C87" s="35" t="s">
        <v>6</v>
      </c>
      <c r="D87" s="3" t="s">
        <v>424</v>
      </c>
      <c r="E87" s="111">
        <f t="shared" si="29"/>
        <v>0.9999246395525615</v>
      </c>
      <c r="F87" s="111">
        <f t="shared" si="29"/>
        <v>0.99575225517374533</v>
      </c>
      <c r="G87" s="111">
        <f t="shared" si="29"/>
        <v>0.99026891504027048</v>
      </c>
      <c r="H87" s="111">
        <f t="shared" si="29"/>
        <v>0.98731453172973271</v>
      </c>
      <c r="I87" s="111">
        <f t="shared" si="29"/>
        <v>0.98414334485243915</v>
      </c>
      <c r="J87" s="110">
        <f t="shared" si="29"/>
        <v>0.98061928416176347</v>
      </c>
      <c r="K87" s="68">
        <f t="shared" si="29"/>
        <v>0.97624624842350138</v>
      </c>
      <c r="L87" s="68">
        <f t="shared" si="29"/>
        <v>0.97068260512872828</v>
      </c>
      <c r="M87" s="68">
        <f t="shared" si="29"/>
        <v>0.96237916581390925</v>
      </c>
      <c r="N87" s="111">
        <f t="shared" si="29"/>
        <v>0.95215183006473536</v>
      </c>
      <c r="O87" s="110">
        <f t="shared" si="29"/>
        <v>0.94161842366778348</v>
      </c>
      <c r="P87" s="68">
        <f t="shared" si="29"/>
        <v>0.92875889583653282</v>
      </c>
      <c r="Q87" s="68">
        <f t="shared" si="29"/>
        <v>0.91191465721146725</v>
      </c>
      <c r="R87" s="68">
        <f t="shared" si="29"/>
        <v>0.8907063713156238</v>
      </c>
      <c r="S87" s="111">
        <f t="shared" si="29"/>
        <v>0.86518818615191373</v>
      </c>
      <c r="T87" s="111">
        <f t="shared" si="29"/>
        <v>0.83610975584086211</v>
      </c>
      <c r="U87" s="111">
        <f t="shared" si="29"/>
        <v>0.80431412809616631</v>
      </c>
      <c r="V87" s="111">
        <f t="shared" si="29"/>
        <v>0.77107913529037508</v>
      </c>
      <c r="W87" s="111">
        <f t="shared" si="29"/>
        <v>0.73742157423330834</v>
      </c>
      <c r="X87" s="116">
        <f t="shared" si="29"/>
        <v>0.70408127317287617</v>
      </c>
      <c r="Y87" s="116">
        <f t="shared" si="29"/>
        <v>0.67070361524865585</v>
      </c>
      <c r="Z87" s="116">
        <f t="shared" si="29"/>
        <v>0.63789819317578678</v>
      </c>
      <c r="AA87" s="116">
        <f t="shared" si="29"/>
        <v>0.60614868687800916</v>
      </c>
      <c r="AB87" s="116">
        <f t="shared" si="29"/>
        <v>0.57554263129252381</v>
      </c>
      <c r="AC87" s="116">
        <f t="shared" si="29"/>
        <v>0.54625035888744466</v>
      </c>
      <c r="AD87" s="116">
        <f t="shared" si="29"/>
        <v>0.51834282744646776</v>
      </c>
      <c r="AE87" s="116">
        <f t="shared" si="29"/>
        <v>0.49173346874205942</v>
      </c>
      <c r="AF87" s="116">
        <f t="shared" si="29"/>
        <v>0.46645938497145445</v>
      </c>
      <c r="AG87" s="116">
        <f t="shared" si="29"/>
        <v>0.44248215592957801</v>
      </c>
      <c r="AH87" s="116">
        <f t="shared" si="29"/>
        <v>0.41895874402029232</v>
      </c>
      <c r="AI87" s="116">
        <f t="shared" si="29"/>
        <v>0.39634408447620112</v>
      </c>
      <c r="AJ87" s="116">
        <f t="shared" si="29"/>
        <v>0.37474596622058665</v>
      </c>
      <c r="AK87" s="116">
        <f t="shared" si="29"/>
        <v>0.35418488983541091</v>
      </c>
      <c r="AL87" s="116">
        <f t="shared" si="29"/>
        <v>0.3346770379561666</v>
      </c>
      <c r="AM87" s="116">
        <f t="shared" si="29"/>
        <v>0.31637925323722199</v>
      </c>
    </row>
    <row r="88" spans="2:39" x14ac:dyDescent="0.25">
      <c r="B88" s="230"/>
      <c r="C88" s="35" t="s">
        <v>34</v>
      </c>
      <c r="D88" s="3" t="s">
        <v>423</v>
      </c>
      <c r="E88" s="111">
        <f t="shared" si="29"/>
        <v>7.5360400972489787E-5</v>
      </c>
      <c r="F88" s="111">
        <f t="shared" si="29"/>
        <v>4.2477448179006495E-3</v>
      </c>
      <c r="G88" s="111">
        <f t="shared" si="29"/>
        <v>9.7310849379364534E-3</v>
      </c>
      <c r="H88" s="111">
        <f t="shared" si="29"/>
        <v>1.2685468119379716E-2</v>
      </c>
      <c r="I88" s="111">
        <f t="shared" si="29"/>
        <v>1.5856655263186938E-2</v>
      </c>
      <c r="J88" s="110">
        <f t="shared" si="29"/>
        <v>1.9380715849032504E-2</v>
      </c>
      <c r="K88" s="68">
        <f t="shared" si="29"/>
        <v>2.3753751761721207E-2</v>
      </c>
      <c r="L88" s="68">
        <f t="shared" si="29"/>
        <v>2.9317394898786674E-2</v>
      </c>
      <c r="M88" s="68">
        <f t="shared" si="29"/>
        <v>3.7620834240940024E-2</v>
      </c>
      <c r="N88" s="111">
        <f t="shared" si="29"/>
        <v>4.7848169853621468E-2</v>
      </c>
      <c r="O88" s="110">
        <f t="shared" si="29"/>
        <v>5.8381576277597144E-2</v>
      </c>
      <c r="P88" s="68">
        <f t="shared" si="29"/>
        <v>7.1241104163467239E-2</v>
      </c>
      <c r="Q88" s="68">
        <f t="shared" si="29"/>
        <v>8.8085342899963406E-2</v>
      </c>
      <c r="R88" s="68">
        <f t="shared" si="29"/>
        <v>0.10929362868437632</v>
      </c>
      <c r="S88" s="111">
        <f t="shared" si="29"/>
        <v>0.13481181367619036</v>
      </c>
      <c r="T88" s="111">
        <f t="shared" si="29"/>
        <v>0.16389024398453694</v>
      </c>
      <c r="U88" s="111">
        <f t="shared" si="29"/>
        <v>0.19568587202208482</v>
      </c>
      <c r="V88" s="111">
        <f t="shared" si="29"/>
        <v>0.22892086470962483</v>
      </c>
      <c r="W88" s="111">
        <f t="shared" si="29"/>
        <v>0.26257842579719776</v>
      </c>
      <c r="X88" s="116">
        <f t="shared" si="29"/>
        <v>0.29591872679614278</v>
      </c>
      <c r="Y88" s="116">
        <f t="shared" si="29"/>
        <v>0.32929638475134415</v>
      </c>
      <c r="Z88" s="116">
        <f t="shared" si="29"/>
        <v>0.36210180682421333</v>
      </c>
      <c r="AA88" s="116">
        <f t="shared" si="29"/>
        <v>0.3938513131219909</v>
      </c>
      <c r="AB88" s="116">
        <f t="shared" si="29"/>
        <v>0.42445736838105486</v>
      </c>
      <c r="AC88" s="116">
        <f t="shared" si="29"/>
        <v>0.45374964078211544</v>
      </c>
      <c r="AD88" s="116">
        <f t="shared" si="29"/>
        <v>0.48165717221908216</v>
      </c>
      <c r="AE88" s="116">
        <f t="shared" si="29"/>
        <v>0.50826653159636725</v>
      </c>
      <c r="AF88" s="116">
        <f t="shared" si="29"/>
        <v>0.53354061502854555</v>
      </c>
      <c r="AG88" s="116">
        <f t="shared" si="29"/>
        <v>0.55751784407042193</v>
      </c>
      <c r="AH88" s="116">
        <f t="shared" si="29"/>
        <v>0.58104125597970768</v>
      </c>
      <c r="AI88" s="116">
        <f t="shared" si="29"/>
        <v>0.60365591552379883</v>
      </c>
      <c r="AJ88" s="116">
        <f t="shared" si="29"/>
        <v>0.62525403377941347</v>
      </c>
      <c r="AK88" s="116">
        <f t="shared" si="29"/>
        <v>0.64581511012804083</v>
      </c>
      <c r="AL88" s="116">
        <f t="shared" si="29"/>
        <v>0.66532296211783737</v>
      </c>
      <c r="AM88" s="116">
        <f t="shared" si="29"/>
        <v>0.68362074661286809</v>
      </c>
    </row>
    <row r="89" spans="2:39" x14ac:dyDescent="0.25">
      <c r="B89" s="230"/>
      <c r="C89" s="35" t="s">
        <v>35</v>
      </c>
      <c r="D89" s="3" t="s">
        <v>442</v>
      </c>
      <c r="E89" s="111">
        <f t="shared" si="29"/>
        <v>7.0669503868701714E-7</v>
      </c>
      <c r="F89" s="111">
        <f t="shared" si="29"/>
        <v>9.405264757090499E-6</v>
      </c>
      <c r="G89" s="111">
        <f t="shared" si="29"/>
        <v>1.163328244661728E-5</v>
      </c>
      <c r="H89" s="111">
        <f t="shared" si="29"/>
        <v>1.2752385876586795E-5</v>
      </c>
      <c r="I89" s="111">
        <f t="shared" si="29"/>
        <v>1.4322671501808093E-5</v>
      </c>
      <c r="J89" s="110">
        <f t="shared" si="29"/>
        <v>1.551638090983188E-5</v>
      </c>
      <c r="K89" s="68">
        <f t="shared" si="29"/>
        <v>1.7399039530150269E-5</v>
      </c>
      <c r="L89" s="68">
        <f t="shared" si="29"/>
        <v>1.9650814158978709E-5</v>
      </c>
      <c r="M89" s="68">
        <f t="shared" si="29"/>
        <v>2.2416276918573121E-5</v>
      </c>
      <c r="N89" s="111">
        <f t="shared" si="29"/>
        <v>2.5272652534142068E-5</v>
      </c>
      <c r="O89" s="110">
        <f t="shared" si="29"/>
        <v>2.7473904627310303E-5</v>
      </c>
      <c r="P89" s="68">
        <f t="shared" si="29"/>
        <v>2.9180899638102782E-5</v>
      </c>
      <c r="Q89" s="68">
        <f t="shared" si="29"/>
        <v>3.0361376989881664E-5</v>
      </c>
      <c r="R89" s="68">
        <f t="shared" si="29"/>
        <v>3.1023591890630839E-5</v>
      </c>
      <c r="S89" s="111">
        <f t="shared" si="29"/>
        <v>3.1167857732753741E-5</v>
      </c>
      <c r="T89" s="111">
        <f t="shared" si="29"/>
        <v>3.0830055550445992E-5</v>
      </c>
      <c r="U89" s="111">
        <f t="shared" si="29"/>
        <v>3.0111932976356731E-5</v>
      </c>
      <c r="V89" s="111">
        <f t="shared" si="29"/>
        <v>2.9139341613360033E-5</v>
      </c>
      <c r="W89" s="111">
        <f t="shared" si="29"/>
        <v>2.8022132472624064E-5</v>
      </c>
      <c r="X89" s="116">
        <f t="shared" si="29"/>
        <v>2.6840404462353272E-5</v>
      </c>
      <c r="Y89" s="116">
        <f t="shared" si="29"/>
        <v>2.5614936135495676E-5</v>
      </c>
      <c r="Z89" s="116">
        <f t="shared" si="29"/>
        <v>2.438737616644314E-5</v>
      </c>
      <c r="AA89" s="116">
        <f t="shared" si="29"/>
        <v>2.3187009454587185E-5</v>
      </c>
      <c r="AB89" s="116">
        <f t="shared" si="29"/>
        <v>2.2023337545859969E-5</v>
      </c>
      <c r="AC89" s="116">
        <f t="shared" si="29"/>
        <v>2.0906178052747581E-5</v>
      </c>
      <c r="AD89" s="116">
        <f t="shared" si="29"/>
        <v>1.9840039940287226E-5</v>
      </c>
      <c r="AE89" s="116">
        <f t="shared" si="29"/>
        <v>1.8822556838601847E-5</v>
      </c>
      <c r="AF89" s="116">
        <f t="shared" si="29"/>
        <v>1.7855642845214961E-5</v>
      </c>
      <c r="AG89" s="116">
        <f t="shared" si="29"/>
        <v>1.693808936226046E-5</v>
      </c>
      <c r="AH89" s="116">
        <f t="shared" si="29"/>
        <v>1.6037778251531835E-5</v>
      </c>
      <c r="AI89" s="116">
        <f t="shared" si="29"/>
        <v>1.5172170228723671E-5</v>
      </c>
      <c r="AJ89" s="116">
        <f t="shared" si="29"/>
        <v>1.4345431205876433E-5</v>
      </c>
      <c r="AK89" s="116">
        <f t="shared" si="29"/>
        <v>1.3558367239844159E-5</v>
      </c>
      <c r="AL89" s="116">
        <f t="shared" si="29"/>
        <v>1.2811609024772059E-5</v>
      </c>
      <c r="AM89" s="116">
        <f t="shared" si="29"/>
        <v>1.2111166411842588E-5</v>
      </c>
    </row>
    <row r="90" spans="2:39" x14ac:dyDescent="0.25">
      <c r="B90" s="230"/>
      <c r="C90" s="58" t="s">
        <v>52</v>
      </c>
      <c r="D90" s="58" t="s">
        <v>130</v>
      </c>
      <c r="E90" s="59">
        <f>E43</f>
        <v>32001.800439999999</v>
      </c>
      <c r="F90" s="59">
        <f t="shared" ref="F90:AM90" si="30">F43</f>
        <v>35911.307350000003</v>
      </c>
      <c r="G90" s="59">
        <f t="shared" si="30"/>
        <v>36708.886160000002</v>
      </c>
      <c r="H90" s="59">
        <f t="shared" si="30"/>
        <v>37113.743849999999</v>
      </c>
      <c r="I90" s="59">
        <f t="shared" si="30"/>
        <v>37188.885329999997</v>
      </c>
      <c r="J90" s="59">
        <f t="shared" si="30"/>
        <v>37050.595860000001</v>
      </c>
      <c r="K90" s="59">
        <f t="shared" si="30"/>
        <v>36712.619359999997</v>
      </c>
      <c r="L90" s="59">
        <f t="shared" si="30"/>
        <v>36343.739090000003</v>
      </c>
      <c r="M90" s="59">
        <f t="shared" si="30"/>
        <v>36463.573700000001</v>
      </c>
      <c r="N90" s="59">
        <f t="shared" si="30"/>
        <v>36745.288950000002</v>
      </c>
      <c r="O90" s="59">
        <f t="shared" si="30"/>
        <v>36616.97464</v>
      </c>
      <c r="P90" s="59">
        <f t="shared" si="30"/>
        <v>36306.289049999999</v>
      </c>
      <c r="Q90" s="59">
        <f t="shared" si="30"/>
        <v>35896.733780000002</v>
      </c>
      <c r="R90" s="59">
        <f t="shared" si="30"/>
        <v>35420.443959999997</v>
      </c>
      <c r="S90" s="59">
        <f t="shared" si="30"/>
        <v>34904.845990000002</v>
      </c>
      <c r="T90" s="59">
        <f t="shared" si="30"/>
        <v>34364.076939999999</v>
      </c>
      <c r="U90" s="59">
        <f t="shared" si="30"/>
        <v>33826.310380000003</v>
      </c>
      <c r="V90" s="59">
        <f t="shared" si="30"/>
        <v>33296.709060000001</v>
      </c>
      <c r="W90" s="59">
        <f t="shared" si="30"/>
        <v>32780.313900000001</v>
      </c>
      <c r="X90" s="59">
        <f t="shared" si="30"/>
        <v>32277.615689999999</v>
      </c>
      <c r="Y90" s="59">
        <f t="shared" si="30"/>
        <v>31826.594779999999</v>
      </c>
      <c r="Z90" s="59">
        <f t="shared" si="30"/>
        <v>31411.51396</v>
      </c>
      <c r="AA90" s="59">
        <f t="shared" si="30"/>
        <v>31015.145799999998</v>
      </c>
      <c r="AB90" s="59">
        <f t="shared" si="30"/>
        <v>30635.25635</v>
      </c>
      <c r="AC90" s="59">
        <f t="shared" si="30"/>
        <v>30262.691439999999</v>
      </c>
      <c r="AD90" s="59">
        <f t="shared" si="30"/>
        <v>29899.835050000002</v>
      </c>
      <c r="AE90" s="59">
        <f t="shared" si="30"/>
        <v>29548.504369999999</v>
      </c>
      <c r="AF90" s="59">
        <f t="shared" si="30"/>
        <v>29202.967779999999</v>
      </c>
      <c r="AG90" s="59">
        <f t="shared" si="30"/>
        <v>28861.479630000002</v>
      </c>
      <c r="AH90" s="59">
        <f t="shared" si="30"/>
        <v>28449.923340000001</v>
      </c>
      <c r="AI90" s="59">
        <f t="shared" si="30"/>
        <v>28068.384330000001</v>
      </c>
      <c r="AJ90" s="59">
        <f t="shared" si="30"/>
        <v>27707.028829999999</v>
      </c>
      <c r="AK90" s="59">
        <f t="shared" si="30"/>
        <v>27361.119170000002</v>
      </c>
      <c r="AL90" s="59">
        <f t="shared" si="30"/>
        <v>27025.569</v>
      </c>
      <c r="AM90" s="59">
        <f t="shared" si="30"/>
        <v>26682.689050000001</v>
      </c>
    </row>
    <row r="91" spans="2:39" x14ac:dyDescent="0.25">
      <c r="B91" s="230"/>
      <c r="C91" s="60" t="s">
        <v>45</v>
      </c>
      <c r="D91" s="3" t="s">
        <v>423</v>
      </c>
      <c r="E91" s="128">
        <f t="shared" ref="E91:AM98" si="31">E49/E$48</f>
        <v>7.5360400972489787E-5</v>
      </c>
      <c r="F91" s="128">
        <f t="shared" si="31"/>
        <v>4.2477448179006495E-3</v>
      </c>
      <c r="G91" s="128">
        <f t="shared" si="31"/>
        <v>9.7310849379364534E-3</v>
      </c>
      <c r="H91" s="128">
        <f t="shared" si="31"/>
        <v>1.2685468119379716E-2</v>
      </c>
      <c r="I91" s="128">
        <f t="shared" si="31"/>
        <v>1.5856655263186938E-2</v>
      </c>
      <c r="J91" s="127">
        <f t="shared" si="31"/>
        <v>1.9380715849032504E-2</v>
      </c>
      <c r="K91" s="71">
        <f t="shared" si="31"/>
        <v>2.3753751761721207E-2</v>
      </c>
      <c r="L91" s="71">
        <f t="shared" si="31"/>
        <v>2.9317394898786674E-2</v>
      </c>
      <c r="M91" s="71">
        <f t="shared" si="31"/>
        <v>3.7620834240940024E-2</v>
      </c>
      <c r="N91" s="128">
        <f t="shared" si="31"/>
        <v>4.7848169853621468E-2</v>
      </c>
      <c r="O91" s="127">
        <f t="shared" si="31"/>
        <v>5.8381576277597144E-2</v>
      </c>
      <c r="P91" s="71">
        <f t="shared" si="31"/>
        <v>7.1241104163467239E-2</v>
      </c>
      <c r="Q91" s="71">
        <f t="shared" si="31"/>
        <v>8.8085342899963406E-2</v>
      </c>
      <c r="R91" s="71">
        <f t="shared" si="31"/>
        <v>0.10929362868437632</v>
      </c>
      <c r="S91" s="128">
        <f t="shared" si="31"/>
        <v>0.13481181367619036</v>
      </c>
      <c r="T91" s="128">
        <f t="shared" si="31"/>
        <v>0.16389024398453694</v>
      </c>
      <c r="U91" s="128">
        <f t="shared" si="31"/>
        <v>0.19568587202208482</v>
      </c>
      <c r="V91" s="128">
        <f t="shared" si="31"/>
        <v>0.22892086470962483</v>
      </c>
      <c r="W91" s="128">
        <f t="shared" si="31"/>
        <v>0.26257842579719776</v>
      </c>
      <c r="X91" s="120">
        <f t="shared" si="31"/>
        <v>0.29591872679614278</v>
      </c>
      <c r="Y91" s="120">
        <f t="shared" si="31"/>
        <v>0.32929638475134415</v>
      </c>
      <c r="Z91" s="120">
        <f t="shared" si="31"/>
        <v>0.36210180682421333</v>
      </c>
      <c r="AA91" s="120">
        <f t="shared" si="31"/>
        <v>0.3938513131219909</v>
      </c>
      <c r="AB91" s="120">
        <f t="shared" si="31"/>
        <v>0.42445736838105486</v>
      </c>
      <c r="AC91" s="120">
        <f t="shared" si="31"/>
        <v>0.45374964078211544</v>
      </c>
      <c r="AD91" s="120">
        <f t="shared" si="31"/>
        <v>0.48165717221908216</v>
      </c>
      <c r="AE91" s="120">
        <f t="shared" si="31"/>
        <v>0.50826653159636725</v>
      </c>
      <c r="AF91" s="120">
        <f t="shared" si="31"/>
        <v>0.53354061502854555</v>
      </c>
      <c r="AG91" s="120">
        <f t="shared" si="31"/>
        <v>0.55751784407042193</v>
      </c>
      <c r="AH91" s="120">
        <f t="shared" si="31"/>
        <v>0.58104125597970768</v>
      </c>
      <c r="AI91" s="120">
        <f t="shared" si="31"/>
        <v>0.60365591552379883</v>
      </c>
      <c r="AJ91" s="120">
        <f t="shared" si="31"/>
        <v>0.62525403377941347</v>
      </c>
      <c r="AK91" s="120">
        <f t="shared" si="31"/>
        <v>0.64581511012804083</v>
      </c>
      <c r="AL91" s="120">
        <f t="shared" si="31"/>
        <v>0.66532296211783737</v>
      </c>
      <c r="AM91" s="120">
        <f t="shared" si="31"/>
        <v>0.68362074661286809</v>
      </c>
    </row>
    <row r="92" spans="2:39" x14ac:dyDescent="0.25">
      <c r="B92" s="230"/>
      <c r="C92" s="62" t="s">
        <v>27</v>
      </c>
      <c r="D92" s="63" t="s">
        <v>443</v>
      </c>
      <c r="E92" s="111">
        <f t="shared" si="31"/>
        <v>2.2444105679199093E-7</v>
      </c>
      <c r="F92" s="111">
        <f t="shared" si="31"/>
        <v>5.3173553148295499E-5</v>
      </c>
      <c r="G92" s="111">
        <f t="shared" si="31"/>
        <v>1.2869445671570876E-4</v>
      </c>
      <c r="H92" s="111">
        <f t="shared" si="31"/>
        <v>1.7329671802970102E-4</v>
      </c>
      <c r="I92" s="111">
        <f t="shared" si="31"/>
        <v>2.289959578092036E-4</v>
      </c>
      <c r="J92" s="110">
        <f t="shared" si="31"/>
        <v>2.9777096950580592E-4</v>
      </c>
      <c r="K92" s="68">
        <f t="shared" si="31"/>
        <v>4.4279551427790038E-4</v>
      </c>
      <c r="L92" s="68">
        <f t="shared" si="31"/>
        <v>6.7401401378484307E-4</v>
      </c>
      <c r="M92" s="68">
        <f t="shared" si="31"/>
        <v>1.0309551748626327E-3</v>
      </c>
      <c r="N92" s="111">
        <f t="shared" si="31"/>
        <v>1.4893350087535507E-3</v>
      </c>
      <c r="O92" s="110">
        <f t="shared" si="31"/>
        <v>1.9864317589073218E-3</v>
      </c>
      <c r="P92" s="68">
        <f t="shared" si="31"/>
        <v>2.6197106927952473E-3</v>
      </c>
      <c r="Q92" s="68">
        <f t="shared" si="31"/>
        <v>3.4836718395163135E-3</v>
      </c>
      <c r="R92" s="68">
        <f t="shared" si="31"/>
        <v>4.6205319753987641E-3</v>
      </c>
      <c r="S92" s="111">
        <f t="shared" si="31"/>
        <v>6.0534342297494832E-3</v>
      </c>
      <c r="T92" s="111">
        <f t="shared" si="31"/>
        <v>7.7661990882505576E-3</v>
      </c>
      <c r="U92" s="111">
        <f t="shared" si="31"/>
        <v>9.7336270199504978E-3</v>
      </c>
      <c r="V92" s="111">
        <f t="shared" si="31"/>
        <v>1.1897659233714072E-2</v>
      </c>
      <c r="W92" s="111">
        <f t="shared" si="31"/>
        <v>1.4207229998490039E-2</v>
      </c>
      <c r="X92" s="116">
        <f t="shared" si="31"/>
        <v>1.6620949950346221E-2</v>
      </c>
      <c r="Y92" s="116">
        <f t="shared" si="31"/>
        <v>1.9172423638718916E-2</v>
      </c>
      <c r="Z92" s="116">
        <f t="shared" si="31"/>
        <v>2.182232788183636E-2</v>
      </c>
      <c r="AA92" s="116">
        <f t="shared" si="31"/>
        <v>2.4536574508058576E-2</v>
      </c>
      <c r="AB92" s="116">
        <f t="shared" si="31"/>
        <v>2.730478554001067E-2</v>
      </c>
      <c r="AC92" s="116">
        <f t="shared" si="31"/>
        <v>3.0111557113374845E-2</v>
      </c>
      <c r="AD92" s="116">
        <f t="shared" si="31"/>
        <v>3.2919715525320262E-2</v>
      </c>
      <c r="AE92" s="116">
        <f t="shared" si="31"/>
        <v>3.5730443367953113E-2</v>
      </c>
      <c r="AF92" s="116">
        <f t="shared" si="31"/>
        <v>3.8537993894263031E-2</v>
      </c>
      <c r="AG92" s="116">
        <f t="shared" si="31"/>
        <v>4.1341546077899402E-2</v>
      </c>
      <c r="AH92" s="116">
        <f t="shared" si="31"/>
        <v>4.4699983152924727E-2</v>
      </c>
      <c r="AI92" s="116">
        <f t="shared" si="31"/>
        <v>4.8083989343037474E-2</v>
      </c>
      <c r="AJ92" s="116">
        <f t="shared" si="31"/>
        <v>5.1474339300350017E-2</v>
      </c>
      <c r="AK92" s="116">
        <f t="shared" si="31"/>
        <v>5.4863024047857319E-2</v>
      </c>
      <c r="AL92" s="116">
        <f t="shared" si="31"/>
        <v>5.8241512028849418E-2</v>
      </c>
      <c r="AM92" s="116">
        <f t="shared" si="31"/>
        <v>6.1574511284124112E-2</v>
      </c>
    </row>
    <row r="93" spans="2:39" x14ac:dyDescent="0.25">
      <c r="B93" s="230"/>
      <c r="C93" s="35" t="s">
        <v>28</v>
      </c>
      <c r="D93" s="54" t="s">
        <v>444</v>
      </c>
      <c r="E93" s="111">
        <f t="shared" si="31"/>
        <v>5.1448795922808401E-7</v>
      </c>
      <c r="F93" s="111">
        <f t="shared" si="31"/>
        <v>5.6288879608277465E-5</v>
      </c>
      <c r="G93" s="111">
        <f t="shared" si="31"/>
        <v>1.3353034640264334E-4</v>
      </c>
      <c r="H93" s="111">
        <f t="shared" si="31"/>
        <v>1.7774464566716033E-4</v>
      </c>
      <c r="I93" s="111">
        <f t="shared" si="31"/>
        <v>2.3030930639619687E-4</v>
      </c>
      <c r="J93" s="110">
        <f t="shared" si="31"/>
        <v>2.9317399080555569E-4</v>
      </c>
      <c r="K93" s="68">
        <f t="shared" si="31"/>
        <v>4.0876525569708087E-4</v>
      </c>
      <c r="L93" s="68">
        <f t="shared" si="31"/>
        <v>5.8391118089000122E-4</v>
      </c>
      <c r="M93" s="68">
        <f t="shared" si="31"/>
        <v>8.5209512281019233E-4</v>
      </c>
      <c r="N93" s="111">
        <f t="shared" si="31"/>
        <v>1.1931368799319238E-3</v>
      </c>
      <c r="O93" s="110">
        <f t="shared" si="31"/>
        <v>1.5585348877418892E-3</v>
      </c>
      <c r="P93" s="68">
        <f t="shared" si="31"/>
        <v>2.0192610147800275E-3</v>
      </c>
      <c r="Q93" s="68">
        <f t="shared" si="31"/>
        <v>2.6416220111043203E-3</v>
      </c>
      <c r="R93" s="68">
        <f t="shared" si="31"/>
        <v>3.4519988382438107E-3</v>
      </c>
      <c r="S93" s="111">
        <f t="shared" si="31"/>
        <v>4.4622493376599475E-3</v>
      </c>
      <c r="T93" s="111">
        <f t="shared" si="31"/>
        <v>5.6562677717017125E-3</v>
      </c>
      <c r="U93" s="111">
        <f t="shared" si="31"/>
        <v>7.0119278258688996E-3</v>
      </c>
      <c r="V93" s="111">
        <f t="shared" si="31"/>
        <v>8.4851055787793818E-3</v>
      </c>
      <c r="W93" s="111">
        <f t="shared" si="31"/>
        <v>1.0037734373251379E-2</v>
      </c>
      <c r="X93" s="116">
        <f t="shared" si="31"/>
        <v>1.1639488870808847E-2</v>
      </c>
      <c r="Y93" s="116">
        <f t="shared" si="31"/>
        <v>1.3310276959513291E-2</v>
      </c>
      <c r="Z93" s="116">
        <f t="shared" si="31"/>
        <v>1.5021959826606207E-2</v>
      </c>
      <c r="AA93" s="116">
        <f t="shared" si="31"/>
        <v>1.675037804594167E-2</v>
      </c>
      <c r="AB93" s="116">
        <f t="shared" si="31"/>
        <v>1.8487966492893408E-2</v>
      </c>
      <c r="AC93" s="116">
        <f t="shared" si="31"/>
        <v>2.0223567772001183E-2</v>
      </c>
      <c r="AD93" s="116">
        <f t="shared" si="31"/>
        <v>2.1937773616580537E-2</v>
      </c>
      <c r="AE93" s="116">
        <f t="shared" si="31"/>
        <v>2.3631415412989312E-2</v>
      </c>
      <c r="AF93" s="116">
        <f t="shared" si="31"/>
        <v>2.5300188548165431E-2</v>
      </c>
      <c r="AG93" s="116">
        <f t="shared" si="31"/>
        <v>2.6943233415923102E-2</v>
      </c>
      <c r="AH93" s="116">
        <f t="shared" si="31"/>
        <v>2.880183365372822E-2</v>
      </c>
      <c r="AI93" s="116">
        <f t="shared" si="31"/>
        <v>3.0648212589869436E-2</v>
      </c>
      <c r="AJ93" s="116">
        <f t="shared" si="31"/>
        <v>3.2470975936108697E-2</v>
      </c>
      <c r="AK93" s="116">
        <f t="shared" si="31"/>
        <v>3.4265158602428618E-2</v>
      </c>
      <c r="AL93" s="116">
        <f t="shared" si="31"/>
        <v>3.6025734107577902E-2</v>
      </c>
      <c r="AM93" s="116">
        <f t="shared" si="31"/>
        <v>3.7734161430030229E-2</v>
      </c>
    </row>
    <row r="94" spans="2:39" x14ac:dyDescent="0.25">
      <c r="B94" s="230"/>
      <c r="C94" s="35" t="s">
        <v>29</v>
      </c>
      <c r="D94" s="54" t="s">
        <v>445</v>
      </c>
      <c r="E94" s="111">
        <f t="shared" si="31"/>
        <v>2.1062929920576682E-6</v>
      </c>
      <c r="F94" s="111">
        <f t="shared" si="31"/>
        <v>1.290645863662772E-4</v>
      </c>
      <c r="G94" s="111">
        <f t="shared" si="31"/>
        <v>2.9730240799003308E-4</v>
      </c>
      <c r="H94" s="111">
        <f t="shared" si="31"/>
        <v>3.8885889654056012E-4</v>
      </c>
      <c r="I94" s="111">
        <f t="shared" si="31"/>
        <v>4.8879932885044074E-4</v>
      </c>
      <c r="J94" s="110">
        <f t="shared" si="31"/>
        <v>6.0125809188538105E-4</v>
      </c>
      <c r="K94" s="68">
        <f t="shared" si="31"/>
        <v>7.5112656494472475E-4</v>
      </c>
      <c r="L94" s="68">
        <f t="shared" si="31"/>
        <v>9.4761189636308272E-4</v>
      </c>
      <c r="M94" s="68">
        <f t="shared" si="31"/>
        <v>1.2417586269115471E-3</v>
      </c>
      <c r="N94" s="111">
        <f t="shared" si="31"/>
        <v>1.6054867466214332E-3</v>
      </c>
      <c r="O94" s="110">
        <f t="shared" si="31"/>
        <v>1.981760339936156E-3</v>
      </c>
      <c r="P94" s="68">
        <f t="shared" si="31"/>
        <v>2.442380359718973E-3</v>
      </c>
      <c r="Q94" s="68">
        <f t="shared" si="31"/>
        <v>3.0470189257424968E-3</v>
      </c>
      <c r="R94" s="68">
        <f t="shared" si="31"/>
        <v>3.810007464965722E-3</v>
      </c>
      <c r="S94" s="111">
        <f t="shared" si="31"/>
        <v>4.729875543564889E-3</v>
      </c>
      <c r="T94" s="111">
        <f t="shared" si="31"/>
        <v>5.7796455742657876E-3</v>
      </c>
      <c r="U94" s="111">
        <f t="shared" si="31"/>
        <v>6.9284504862395218E-3</v>
      </c>
      <c r="V94" s="111">
        <f t="shared" si="31"/>
        <v>8.1292008892604947E-3</v>
      </c>
      <c r="W94" s="111">
        <f t="shared" si="31"/>
        <v>9.3438234525264861E-3</v>
      </c>
      <c r="X94" s="116">
        <f t="shared" si="31"/>
        <v>1.0544018129116029E-2</v>
      </c>
      <c r="Y94" s="116">
        <f t="shared" si="31"/>
        <v>1.1740711442206007E-2</v>
      </c>
      <c r="Z94" s="116">
        <f t="shared" si="31"/>
        <v>1.2910011555520707E-2</v>
      </c>
      <c r="AA94" s="116">
        <f t="shared" si="31"/>
        <v>1.4032529632667406E-2</v>
      </c>
      <c r="AB94" s="116">
        <f t="shared" si="31"/>
        <v>1.5103397563049932E-2</v>
      </c>
      <c r="AC94" s="116">
        <f t="shared" si="31"/>
        <v>1.6114629981503061E-2</v>
      </c>
      <c r="AD94" s="116">
        <f t="shared" si="31"/>
        <v>1.7064816727141108E-2</v>
      </c>
      <c r="AE94" s="116">
        <f t="shared" si="31"/>
        <v>1.7956223237433525E-2</v>
      </c>
      <c r="AF94" s="116">
        <f t="shared" si="31"/>
        <v>1.8786336201614646E-2</v>
      </c>
      <c r="AG94" s="116">
        <f t="shared" si="31"/>
        <v>1.9555521797064566E-2</v>
      </c>
      <c r="AH94" s="116">
        <f t="shared" si="31"/>
        <v>2.0214057831622965E-2</v>
      </c>
      <c r="AI94" s="116">
        <f t="shared" si="31"/>
        <v>2.0818504767851739E-2</v>
      </c>
      <c r="AJ94" s="116">
        <f t="shared" si="31"/>
        <v>2.1364934989314046E-2</v>
      </c>
      <c r="AK94" s="116">
        <f t="shared" si="31"/>
        <v>2.1852138375083874E-2</v>
      </c>
      <c r="AL94" s="116">
        <f t="shared" si="31"/>
        <v>2.227930804343102E-2</v>
      </c>
      <c r="AM94" s="116">
        <f t="shared" si="31"/>
        <v>2.2643146362341618E-2</v>
      </c>
    </row>
    <row r="95" spans="2:39" x14ac:dyDescent="0.25">
      <c r="B95" s="230"/>
      <c r="C95" s="35" t="s">
        <v>30</v>
      </c>
      <c r="D95" s="54" t="s">
        <v>446</v>
      </c>
      <c r="E95" s="111">
        <f t="shared" si="31"/>
        <v>4.9480620659729355E-5</v>
      </c>
      <c r="F95" s="111">
        <f t="shared" si="31"/>
        <v>2.7752282669263498E-3</v>
      </c>
      <c r="G95" s="111">
        <f t="shared" si="31"/>
        <v>6.3543704481607175E-3</v>
      </c>
      <c r="H95" s="111">
        <f t="shared" si="31"/>
        <v>8.2807525546900601E-3</v>
      </c>
      <c r="I95" s="111">
        <f t="shared" si="31"/>
        <v>1.034438127645812E-2</v>
      </c>
      <c r="J95" s="110">
        <f t="shared" si="31"/>
        <v>1.2633994591308578E-2</v>
      </c>
      <c r="K95" s="68">
        <f t="shared" si="31"/>
        <v>1.5442963165894901E-2</v>
      </c>
      <c r="L95" s="68">
        <f t="shared" si="31"/>
        <v>1.8990816390433204E-2</v>
      </c>
      <c r="M95" s="68">
        <f t="shared" si="31"/>
        <v>2.4279072193628678E-2</v>
      </c>
      <c r="N95" s="111">
        <f t="shared" si="31"/>
        <v>3.0782000504584413E-2</v>
      </c>
      <c r="O95" s="110">
        <f t="shared" si="31"/>
        <v>3.746533968159637E-2</v>
      </c>
      <c r="P95" s="68">
        <f t="shared" si="31"/>
        <v>4.560947718230101E-2</v>
      </c>
      <c r="Q95" s="68">
        <f t="shared" si="31"/>
        <v>5.6257442790662721E-2</v>
      </c>
      <c r="R95" s="68">
        <f t="shared" si="31"/>
        <v>6.9636001507644582E-2</v>
      </c>
      <c r="S95" s="111">
        <f t="shared" si="31"/>
        <v>8.5696043920576531E-2</v>
      </c>
      <c r="T95" s="111">
        <f t="shared" si="31"/>
        <v>0.10395084556576482</v>
      </c>
      <c r="U95" s="111">
        <f t="shared" si="31"/>
        <v>0.12385702806289924</v>
      </c>
      <c r="V95" s="111">
        <f t="shared" si="31"/>
        <v>0.14460239539961312</v>
      </c>
      <c r="W95" s="111">
        <f t="shared" si="31"/>
        <v>0.16554342653808451</v>
      </c>
      <c r="X95" s="116">
        <f t="shared" si="31"/>
        <v>0.18621429493821451</v>
      </c>
      <c r="Y95" s="116">
        <f t="shared" si="31"/>
        <v>0.20683017647670568</v>
      </c>
      <c r="Z95" s="116">
        <f t="shared" si="31"/>
        <v>0.2270102564964048</v>
      </c>
      <c r="AA95" s="116">
        <f t="shared" si="31"/>
        <v>0.24645404962113704</v>
      </c>
      <c r="AB95" s="116">
        <f t="shared" si="31"/>
        <v>0.26510958567513343</v>
      </c>
      <c r="AC95" s="116">
        <f t="shared" si="31"/>
        <v>0.28287302657704394</v>
      </c>
      <c r="AD95" s="116">
        <f t="shared" si="31"/>
        <v>0.29971897296470201</v>
      </c>
      <c r="AE95" s="116">
        <f t="shared" si="31"/>
        <v>0.31570407646321086</v>
      </c>
      <c r="AF95" s="116">
        <f t="shared" si="31"/>
        <v>0.33080715582668085</v>
      </c>
      <c r="AG95" s="116">
        <f t="shared" si="31"/>
        <v>0.3450541876809522</v>
      </c>
      <c r="AH95" s="116">
        <f t="shared" si="31"/>
        <v>0.35868080093041121</v>
      </c>
      <c r="AI95" s="116">
        <f t="shared" si="31"/>
        <v>0.37169178736266789</v>
      </c>
      <c r="AJ95" s="116">
        <f t="shared" si="31"/>
        <v>0.38402711511525145</v>
      </c>
      <c r="AK95" s="116">
        <f t="shared" si="31"/>
        <v>0.39567805040191267</v>
      </c>
      <c r="AL95" s="116">
        <f t="shared" si="31"/>
        <v>0.40663902654556505</v>
      </c>
      <c r="AM95" s="116">
        <f t="shared" si="31"/>
        <v>0.41682682540573995</v>
      </c>
    </row>
    <row r="96" spans="2:39" x14ac:dyDescent="0.25">
      <c r="B96" s="230"/>
      <c r="C96" s="35" t="s">
        <v>31</v>
      </c>
      <c r="D96" s="54" t="s">
        <v>447</v>
      </c>
      <c r="E96" s="111">
        <f t="shared" si="31"/>
        <v>1.950220135801834E-5</v>
      </c>
      <c r="F96" s="111">
        <f t="shared" si="31"/>
        <v>1.0718204944437924E-3</v>
      </c>
      <c r="G96" s="111">
        <f t="shared" si="31"/>
        <v>2.4503517929676129E-3</v>
      </c>
      <c r="H96" s="111">
        <f t="shared" si="31"/>
        <v>3.1901617896196157E-3</v>
      </c>
      <c r="I96" s="111">
        <f t="shared" si="31"/>
        <v>3.9783783269419113E-3</v>
      </c>
      <c r="J96" s="110">
        <f t="shared" si="31"/>
        <v>4.8491240162203426E-3</v>
      </c>
      <c r="K96" s="68">
        <f t="shared" si="31"/>
        <v>5.8846433642211256E-3</v>
      </c>
      <c r="L96" s="68">
        <f t="shared" si="31"/>
        <v>7.1670344500043559E-3</v>
      </c>
      <c r="M96" s="68">
        <f t="shared" si="31"/>
        <v>9.0721107898428504E-3</v>
      </c>
      <c r="N96" s="111">
        <f t="shared" si="31"/>
        <v>1.1404682411675523E-2</v>
      </c>
      <c r="O96" s="110">
        <f t="shared" si="31"/>
        <v>1.3788582917182258E-2</v>
      </c>
      <c r="P96" s="68">
        <f t="shared" si="31"/>
        <v>1.6679549696363143E-2</v>
      </c>
      <c r="Q96" s="68">
        <f t="shared" si="31"/>
        <v>2.0441194357599852E-2</v>
      </c>
      <c r="R96" s="68">
        <f t="shared" si="31"/>
        <v>2.5141776639097779E-2</v>
      </c>
      <c r="S96" s="111">
        <f t="shared" si="31"/>
        <v>3.0750632141666123E-2</v>
      </c>
      <c r="T96" s="111">
        <f t="shared" si="31"/>
        <v>3.7084639410657774E-2</v>
      </c>
      <c r="U96" s="111">
        <f t="shared" si="31"/>
        <v>4.394310607044101E-2</v>
      </c>
      <c r="V96" s="111">
        <f t="shared" si="31"/>
        <v>5.1036064583374778E-2</v>
      </c>
      <c r="W96" s="111">
        <f t="shared" si="31"/>
        <v>5.8136593377771162E-2</v>
      </c>
      <c r="X96" s="116">
        <f t="shared" si="31"/>
        <v>6.5082969206143357E-2</v>
      </c>
      <c r="Y96" s="116">
        <f t="shared" si="31"/>
        <v>7.1944652823458605E-2</v>
      </c>
      <c r="Z96" s="116">
        <f t="shared" si="31"/>
        <v>7.8592558484882405E-2</v>
      </c>
      <c r="AA96" s="116">
        <f t="shared" si="31"/>
        <v>8.492667914525813E-2</v>
      </c>
      <c r="AB96" s="116">
        <f t="shared" si="31"/>
        <v>9.0932965997524609E-2</v>
      </c>
      <c r="AC96" s="116">
        <f t="shared" si="31"/>
        <v>9.6579612946679813E-2</v>
      </c>
      <c r="AD96" s="116">
        <f t="shared" si="31"/>
        <v>0.1018739317426435</v>
      </c>
      <c r="AE96" s="116">
        <f t="shared" si="31"/>
        <v>0.10683838780703743</v>
      </c>
      <c r="AF96" s="116">
        <f t="shared" si="31"/>
        <v>0.11146854218800908</v>
      </c>
      <c r="AG96" s="116">
        <f t="shared" si="31"/>
        <v>0.11577599866109151</v>
      </c>
      <c r="AH96" s="116">
        <f t="shared" si="31"/>
        <v>0.11964918535348151</v>
      </c>
      <c r="AI96" s="116">
        <f t="shared" si="31"/>
        <v>0.12328706042767798</v>
      </c>
      <c r="AJ96" s="116">
        <f t="shared" si="31"/>
        <v>0.12667585191233946</v>
      </c>
      <c r="AK96" s="116">
        <f t="shared" si="31"/>
        <v>0.12981685083607639</v>
      </c>
      <c r="AL96" s="116">
        <f t="shared" si="31"/>
        <v>0.13271265581864344</v>
      </c>
      <c r="AM96" s="116">
        <f t="shared" si="31"/>
        <v>0.13534618621956321</v>
      </c>
    </row>
    <row r="97" spans="2:40" x14ac:dyDescent="0.25">
      <c r="B97" s="230"/>
      <c r="C97" s="35" t="s">
        <v>32</v>
      </c>
      <c r="D97" s="54" t="s">
        <v>448</v>
      </c>
      <c r="E97" s="111">
        <f t="shared" si="31"/>
        <v>2.6587632861321598E-7</v>
      </c>
      <c r="F97" s="111">
        <f t="shared" si="31"/>
        <v>4.4401636884433835E-6</v>
      </c>
      <c r="G97" s="111">
        <f t="shared" si="31"/>
        <v>9.8585796208206167E-6</v>
      </c>
      <c r="H97" s="111">
        <f t="shared" si="31"/>
        <v>1.2783380022708219E-5</v>
      </c>
      <c r="I97" s="111">
        <f t="shared" si="31"/>
        <v>1.5920148736547249E-5</v>
      </c>
      <c r="J97" s="110">
        <f t="shared" si="31"/>
        <v>1.9403475399329244E-5</v>
      </c>
      <c r="K97" s="68">
        <f t="shared" si="31"/>
        <v>2.3688898279689518E-5</v>
      </c>
      <c r="L97" s="68">
        <f t="shared" si="31"/>
        <v>2.9115085004865412E-5</v>
      </c>
      <c r="M97" s="68">
        <f t="shared" si="31"/>
        <v>3.72090914665339E-5</v>
      </c>
      <c r="N97" s="111">
        <f t="shared" si="31"/>
        <v>4.7170333981004111E-5</v>
      </c>
      <c r="O97" s="110">
        <f t="shared" si="31"/>
        <v>5.7418573371248895E-5</v>
      </c>
      <c r="P97" s="68">
        <f t="shared" si="31"/>
        <v>6.9919043350975579E-5</v>
      </c>
      <c r="Q97" s="68">
        <f t="shared" si="31"/>
        <v>8.6278441932384638E-5</v>
      </c>
      <c r="R97" s="68">
        <f t="shared" si="31"/>
        <v>1.068542156409493E-4</v>
      </c>
      <c r="S97" s="111">
        <f t="shared" si="31"/>
        <v>1.3158160856277136E-4</v>
      </c>
      <c r="T97" s="111">
        <f t="shared" si="31"/>
        <v>1.5972250410169173E-4</v>
      </c>
      <c r="U97" s="111">
        <f t="shared" si="31"/>
        <v>1.9045056675199822E-4</v>
      </c>
      <c r="V97" s="111">
        <f t="shared" si="31"/>
        <v>2.2252255947122719E-4</v>
      </c>
      <c r="W97" s="111">
        <f t="shared" si="31"/>
        <v>2.5495211905216073E-4</v>
      </c>
      <c r="X97" s="116">
        <f t="shared" si="31"/>
        <v>2.8702418400347466E-4</v>
      </c>
      <c r="Y97" s="116">
        <f t="shared" si="31"/>
        <v>3.1907862465957475E-4</v>
      </c>
      <c r="Z97" s="116">
        <f t="shared" si="31"/>
        <v>3.5052930699300809E-4</v>
      </c>
      <c r="AA97" s="116">
        <f t="shared" si="31"/>
        <v>3.809129738155221E-4</v>
      </c>
      <c r="AB97" s="116">
        <f t="shared" si="31"/>
        <v>4.1014930792312434E-4</v>
      </c>
      <c r="AC97" s="116">
        <f t="shared" si="31"/>
        <v>4.3807807465785672E-4</v>
      </c>
      <c r="AD97" s="116">
        <f t="shared" si="31"/>
        <v>4.6464370812640988E-4</v>
      </c>
      <c r="AE97" s="116">
        <f t="shared" si="31"/>
        <v>4.8993273969893318E-4</v>
      </c>
      <c r="AF97" s="116">
        <f t="shared" si="31"/>
        <v>5.1391222710858329E-4</v>
      </c>
      <c r="AG97" s="116">
        <f t="shared" si="31"/>
        <v>5.3662190845896001E-4</v>
      </c>
      <c r="AH97" s="116">
        <f t="shared" si="31"/>
        <v>5.5875004793598147E-4</v>
      </c>
      <c r="AI97" s="116">
        <f t="shared" si="31"/>
        <v>5.7998923908849016E-4</v>
      </c>
      <c r="AJ97" s="116">
        <f t="shared" si="31"/>
        <v>6.0024071949543636E-4</v>
      </c>
      <c r="AK97" s="116">
        <f t="shared" si="31"/>
        <v>6.1948803646104649E-4</v>
      </c>
      <c r="AL97" s="116">
        <f t="shared" si="31"/>
        <v>6.3771894275380472E-4</v>
      </c>
      <c r="AM97" s="116">
        <f t="shared" si="31"/>
        <v>6.547900782136499E-4</v>
      </c>
    </row>
    <row r="98" spans="2:40" x14ac:dyDescent="0.25">
      <c r="B98" s="230"/>
      <c r="C98" s="35" t="s">
        <v>33</v>
      </c>
      <c r="D98" s="54" t="s">
        <v>449</v>
      </c>
      <c r="E98" s="111">
        <f t="shared" si="31"/>
        <v>3.2664806093016185E-6</v>
      </c>
      <c r="F98" s="111">
        <f t="shared" si="31"/>
        <v>1.5772887329873275E-4</v>
      </c>
      <c r="G98" s="111">
        <f t="shared" si="31"/>
        <v>3.5697690779512337E-4</v>
      </c>
      <c r="H98" s="111">
        <f t="shared" si="31"/>
        <v>4.6187013385878074E-4</v>
      </c>
      <c r="I98" s="111">
        <f t="shared" si="31"/>
        <v>5.6987091793536161E-4</v>
      </c>
      <c r="J98" s="110">
        <f t="shared" si="31"/>
        <v>6.8599071162144594E-4</v>
      </c>
      <c r="K98" s="68">
        <f t="shared" si="31"/>
        <v>7.997689980135485E-4</v>
      </c>
      <c r="L98" s="68">
        <f t="shared" si="31"/>
        <v>9.2489187083254513E-4</v>
      </c>
      <c r="M98" s="68">
        <f t="shared" si="31"/>
        <v>1.1076332413901603E-3</v>
      </c>
      <c r="N98" s="111">
        <f t="shared" si="31"/>
        <v>1.3263579572422982E-3</v>
      </c>
      <c r="O98" s="110">
        <f t="shared" ref="O98:AM106" si="32">O56/O$48</f>
        <v>1.5435081042511818E-3</v>
      </c>
      <c r="P98" s="68">
        <f t="shared" si="32"/>
        <v>1.8008061887007977E-3</v>
      </c>
      <c r="Q98" s="68">
        <f t="shared" si="32"/>
        <v>2.12811451616142E-3</v>
      </c>
      <c r="R98" s="68">
        <f t="shared" si="32"/>
        <v>2.5264580393475114E-3</v>
      </c>
      <c r="S98" s="111">
        <f t="shared" si="32"/>
        <v>2.987996885300109E-3</v>
      </c>
      <c r="T98" s="111">
        <f t="shared" si="32"/>
        <v>3.4929240732866317E-3</v>
      </c>
      <c r="U98" s="111">
        <f t="shared" si="32"/>
        <v>4.0212819569120269E-3</v>
      </c>
      <c r="V98" s="111">
        <f t="shared" si="32"/>
        <v>4.5479164900989162E-3</v>
      </c>
      <c r="W98" s="111">
        <f t="shared" si="32"/>
        <v>5.0546659225249209E-3</v>
      </c>
      <c r="X98" s="116">
        <f t="shared" si="32"/>
        <v>5.5299815145670693E-3</v>
      </c>
      <c r="Y98" s="116">
        <f t="shared" si="32"/>
        <v>5.9790648266141652E-3</v>
      </c>
      <c r="Z98" s="116">
        <f t="shared" si="32"/>
        <v>6.3941632439546382E-3</v>
      </c>
      <c r="AA98" s="116">
        <f t="shared" si="32"/>
        <v>6.7701891054789114E-3</v>
      </c>
      <c r="AB98" s="116">
        <f t="shared" si="32"/>
        <v>7.1085179445544277E-3</v>
      </c>
      <c r="AC98" s="116">
        <f t="shared" si="32"/>
        <v>7.4091684556395164E-3</v>
      </c>
      <c r="AD98" s="116">
        <f t="shared" si="32"/>
        <v>7.6773179924281886E-3</v>
      </c>
      <c r="AE98" s="116">
        <f t="shared" si="32"/>
        <v>7.9160525138958163E-3</v>
      </c>
      <c r="AF98" s="116">
        <f t="shared" si="32"/>
        <v>8.1264862320784299E-3</v>
      </c>
      <c r="AG98" s="116">
        <f t="shared" si="32"/>
        <v>8.310734521409565E-3</v>
      </c>
      <c r="AH98" s="116">
        <f t="shared" si="32"/>
        <v>8.4366452567038799E-3</v>
      </c>
      <c r="AI98" s="116">
        <f t="shared" si="32"/>
        <v>8.5463719457342918E-3</v>
      </c>
      <c r="AJ98" s="116">
        <f t="shared" si="32"/>
        <v>8.6405755365866858E-3</v>
      </c>
      <c r="AK98" s="116">
        <f t="shared" si="32"/>
        <v>8.7203999886675682E-3</v>
      </c>
      <c r="AL98" s="116">
        <f t="shared" si="32"/>
        <v>8.7870067416526924E-3</v>
      </c>
      <c r="AM98" s="116">
        <f t="shared" si="32"/>
        <v>8.8411257335399632E-3</v>
      </c>
    </row>
    <row r="99" spans="2:40" x14ac:dyDescent="0.25">
      <c r="B99" s="230"/>
      <c r="C99" s="64" t="s">
        <v>46</v>
      </c>
      <c r="D99" s="52" t="s">
        <v>424</v>
      </c>
      <c r="E99" s="128">
        <f t="shared" ref="E99:AM106" si="33">E57/E$48</f>
        <v>0.9999246395525615</v>
      </c>
      <c r="F99" s="128">
        <f t="shared" si="33"/>
        <v>0.99575225517374533</v>
      </c>
      <c r="G99" s="128">
        <f t="shared" si="33"/>
        <v>0.99026891504027048</v>
      </c>
      <c r="H99" s="128">
        <f t="shared" si="33"/>
        <v>0.98731453172973271</v>
      </c>
      <c r="I99" s="128">
        <f t="shared" si="33"/>
        <v>0.98414334485243915</v>
      </c>
      <c r="J99" s="127">
        <f t="shared" si="33"/>
        <v>0.98061928416176347</v>
      </c>
      <c r="K99" s="71">
        <f t="shared" si="33"/>
        <v>0.97624624842350138</v>
      </c>
      <c r="L99" s="71">
        <f t="shared" si="33"/>
        <v>0.97068260512872828</v>
      </c>
      <c r="M99" s="71">
        <f t="shared" si="33"/>
        <v>0.96237916581390925</v>
      </c>
      <c r="N99" s="128">
        <f t="shared" si="33"/>
        <v>0.95215183006473536</v>
      </c>
      <c r="O99" s="127">
        <f t="shared" si="33"/>
        <v>0.94161842366778348</v>
      </c>
      <c r="P99" s="71">
        <f t="shared" si="33"/>
        <v>0.92875889583653282</v>
      </c>
      <c r="Q99" s="71">
        <f t="shared" si="33"/>
        <v>0.91191465721146725</v>
      </c>
      <c r="R99" s="71">
        <f t="shared" si="33"/>
        <v>0.8907063713156238</v>
      </c>
      <c r="S99" s="128">
        <f t="shared" si="33"/>
        <v>0.86518818615191373</v>
      </c>
      <c r="T99" s="128">
        <f t="shared" si="32"/>
        <v>0.83610975584086211</v>
      </c>
      <c r="U99" s="128">
        <f t="shared" si="32"/>
        <v>0.80431412809616631</v>
      </c>
      <c r="V99" s="128">
        <f t="shared" si="32"/>
        <v>0.77107913529037508</v>
      </c>
      <c r="W99" s="128">
        <f t="shared" si="32"/>
        <v>0.73742157423330834</v>
      </c>
      <c r="X99" s="120">
        <f t="shared" si="33"/>
        <v>0.70408127317287617</v>
      </c>
      <c r="Y99" s="120">
        <f t="shared" si="32"/>
        <v>0.67070361524865585</v>
      </c>
      <c r="Z99" s="120">
        <f t="shared" si="32"/>
        <v>0.63789819317578678</v>
      </c>
      <c r="AA99" s="120">
        <f t="shared" si="32"/>
        <v>0.60614868687800916</v>
      </c>
      <c r="AB99" s="120">
        <f t="shared" si="32"/>
        <v>0.57554263129252381</v>
      </c>
      <c r="AC99" s="120">
        <f t="shared" si="33"/>
        <v>0.54625035888744466</v>
      </c>
      <c r="AD99" s="120">
        <f t="shared" si="32"/>
        <v>0.51834282744646776</v>
      </c>
      <c r="AE99" s="120">
        <f t="shared" si="32"/>
        <v>0.49173346874205942</v>
      </c>
      <c r="AF99" s="120">
        <f t="shared" si="32"/>
        <v>0.46645938497145445</v>
      </c>
      <c r="AG99" s="120">
        <f t="shared" si="32"/>
        <v>0.44248215592957801</v>
      </c>
      <c r="AH99" s="120">
        <f t="shared" si="33"/>
        <v>0.41895874402029232</v>
      </c>
      <c r="AI99" s="120">
        <f t="shared" si="32"/>
        <v>0.39634408447620112</v>
      </c>
      <c r="AJ99" s="120">
        <f t="shared" si="32"/>
        <v>0.37474596622058665</v>
      </c>
      <c r="AK99" s="120">
        <f t="shared" si="32"/>
        <v>0.35418488983541091</v>
      </c>
      <c r="AL99" s="120">
        <f t="shared" si="32"/>
        <v>0.3346770379561666</v>
      </c>
      <c r="AM99" s="120">
        <f t="shared" si="33"/>
        <v>0.31637925323722199</v>
      </c>
      <c r="AN99" s="232"/>
    </row>
    <row r="100" spans="2:40" x14ac:dyDescent="0.25">
      <c r="B100" s="230"/>
      <c r="C100" s="35" t="s">
        <v>27</v>
      </c>
      <c r="D100" s="54" t="s">
        <v>450</v>
      </c>
      <c r="E100" s="130">
        <f t="shared" si="33"/>
        <v>5.806258421252752E-4</v>
      </c>
      <c r="F100" s="130">
        <f t="shared" si="33"/>
        <v>8.2243763091515518E-3</v>
      </c>
      <c r="G100" s="130">
        <f t="shared" si="33"/>
        <v>1.0185816539632101E-2</v>
      </c>
      <c r="H100" s="130">
        <f t="shared" si="33"/>
        <v>1.1173206763402286E-2</v>
      </c>
      <c r="I100" s="130">
        <f t="shared" si="33"/>
        <v>1.256036285989968E-2</v>
      </c>
      <c r="J100" s="129">
        <f t="shared" si="33"/>
        <v>1.3614905250271458E-2</v>
      </c>
      <c r="K100" s="72">
        <f t="shared" si="33"/>
        <v>1.527918514610721E-2</v>
      </c>
      <c r="L100" s="72">
        <f t="shared" si="33"/>
        <v>1.7270269097675275E-2</v>
      </c>
      <c r="M100" s="72">
        <f t="shared" si="33"/>
        <v>1.971592096580484E-2</v>
      </c>
      <c r="N100" s="130">
        <f t="shared" si="33"/>
        <v>2.2242367719903313E-2</v>
      </c>
      <c r="O100" s="129">
        <f t="shared" si="33"/>
        <v>2.4189760893910922E-2</v>
      </c>
      <c r="P100" s="72">
        <f t="shared" si="33"/>
        <v>2.5700485767492669E-2</v>
      </c>
      <c r="Q100" s="72">
        <f t="shared" si="33"/>
        <v>2.6746166692606536E-2</v>
      </c>
      <c r="R100" s="72">
        <f t="shared" si="33"/>
        <v>2.7334137180588861E-2</v>
      </c>
      <c r="S100" s="130">
        <f t="shared" si="33"/>
        <v>2.746462561028478E-2</v>
      </c>
      <c r="T100" s="130">
        <f t="shared" si="32"/>
        <v>2.7169228756825151E-2</v>
      </c>
      <c r="U100" s="130">
        <f t="shared" si="32"/>
        <v>2.6537810074927833E-2</v>
      </c>
      <c r="V100" s="130">
        <f t="shared" si="32"/>
        <v>2.5681511060420693E-2</v>
      </c>
      <c r="W100" s="130">
        <f t="shared" si="32"/>
        <v>2.4697359993858997E-2</v>
      </c>
      <c r="X100" s="121">
        <f t="shared" si="33"/>
        <v>2.3656108791720979E-2</v>
      </c>
      <c r="Y100" s="121">
        <f t="shared" si="32"/>
        <v>2.257617521342634E-2</v>
      </c>
      <c r="Z100" s="121">
        <f t="shared" si="32"/>
        <v>2.1494323459218583E-2</v>
      </c>
      <c r="AA100" s="121">
        <f t="shared" si="32"/>
        <v>2.0436397758284919E-2</v>
      </c>
      <c r="AB100" s="121">
        <f t="shared" si="32"/>
        <v>1.9410791667816417E-2</v>
      </c>
      <c r="AC100" s="121">
        <f t="shared" si="33"/>
        <v>1.8426168495474706E-2</v>
      </c>
      <c r="AD100" s="121">
        <f t="shared" si="32"/>
        <v>1.7486507983260596E-2</v>
      </c>
      <c r="AE100" s="121">
        <f t="shared" si="32"/>
        <v>1.6589727454960186E-2</v>
      </c>
      <c r="AF100" s="121">
        <f t="shared" si="32"/>
        <v>1.5737515527950906E-2</v>
      </c>
      <c r="AG100" s="121">
        <f t="shared" si="32"/>
        <v>1.4928807802775841E-2</v>
      </c>
      <c r="AH100" s="121">
        <f t="shared" si="33"/>
        <v>1.4135296657709727E-2</v>
      </c>
      <c r="AI100" s="121">
        <f t="shared" si="32"/>
        <v>1.3372371668675949E-2</v>
      </c>
      <c r="AJ100" s="121">
        <f t="shared" si="32"/>
        <v>1.2643704698523606E-2</v>
      </c>
      <c r="AK100" s="121">
        <f t="shared" si="32"/>
        <v>1.1950006257730135E-2</v>
      </c>
      <c r="AL100" s="121">
        <f t="shared" si="32"/>
        <v>1.1291832257074773E-2</v>
      </c>
      <c r="AM100" s="121">
        <f t="shared" si="33"/>
        <v>1.0674479651068002E-2</v>
      </c>
    </row>
    <row r="101" spans="2:40" x14ac:dyDescent="0.25">
      <c r="B101" s="230"/>
      <c r="C101" s="35" t="s">
        <v>28</v>
      </c>
      <c r="D101" s="54" t="s">
        <v>451</v>
      </c>
      <c r="E101" s="130">
        <f t="shared" si="33"/>
        <v>5.070879699542305E-2</v>
      </c>
      <c r="F101" s="130">
        <f t="shared" si="33"/>
        <v>0.11343286442619582</v>
      </c>
      <c r="G101" s="130">
        <f t="shared" si="33"/>
        <v>0.12543171048369395</v>
      </c>
      <c r="H101" s="130">
        <f t="shared" si="33"/>
        <v>0.12898988534674602</v>
      </c>
      <c r="I101" s="130">
        <f t="shared" si="33"/>
        <v>0.13207809985199145</v>
      </c>
      <c r="J101" s="129">
        <f t="shared" si="33"/>
        <v>0.1343742951884607</v>
      </c>
      <c r="K101" s="72">
        <f t="shared" si="33"/>
        <v>0.13674333993367235</v>
      </c>
      <c r="L101" s="72">
        <f t="shared" si="33"/>
        <v>0.13900789834775362</v>
      </c>
      <c r="M101" s="72">
        <f t="shared" si="33"/>
        <v>0.14139353444667985</v>
      </c>
      <c r="N101" s="130">
        <f t="shared" si="33"/>
        <v>0.14341063759685035</v>
      </c>
      <c r="O101" s="129">
        <f t="shared" si="33"/>
        <v>0.14451412589448159</v>
      </c>
      <c r="P101" s="72">
        <f t="shared" si="33"/>
        <v>0.14470474704161482</v>
      </c>
      <c r="Q101" s="72">
        <f t="shared" si="33"/>
        <v>0.14378049687282715</v>
      </c>
      <c r="R101" s="72">
        <f t="shared" si="33"/>
        <v>0.14171124305128557</v>
      </c>
      <c r="S101" s="130">
        <f t="shared" si="33"/>
        <v>0.1385523552341564</v>
      </c>
      <c r="T101" s="130">
        <f t="shared" si="32"/>
        <v>0.13448705207677258</v>
      </c>
      <c r="U101" s="130">
        <f t="shared" si="32"/>
        <v>0.12973606461066239</v>
      </c>
      <c r="V101" s="130">
        <f t="shared" si="32"/>
        <v>0.12458419976355464</v>
      </c>
      <c r="W101" s="130">
        <f t="shared" si="32"/>
        <v>0.1192607436562711</v>
      </c>
      <c r="X101" s="121">
        <f t="shared" si="33"/>
        <v>0.11392967040435074</v>
      </c>
      <c r="Y101" s="121">
        <f t="shared" si="32"/>
        <v>0.10856130949237543</v>
      </c>
      <c r="Z101" s="121">
        <f t="shared" si="32"/>
        <v>0.10326844831900614</v>
      </c>
      <c r="AA101" s="121">
        <f t="shared" si="32"/>
        <v>9.8137384187308913E-2</v>
      </c>
      <c r="AB101" s="121">
        <f t="shared" si="32"/>
        <v>9.3186701275963055E-2</v>
      </c>
      <c r="AC101" s="121">
        <f t="shared" si="33"/>
        <v>8.8446272840827012E-2</v>
      </c>
      <c r="AD101" s="121">
        <f t="shared" si="32"/>
        <v>8.3928787292757989E-2</v>
      </c>
      <c r="AE101" s="121">
        <f t="shared" si="32"/>
        <v>7.9620857439695866E-2</v>
      </c>
      <c r="AF101" s="121">
        <f t="shared" si="32"/>
        <v>7.5528807949121396E-2</v>
      </c>
      <c r="AG101" s="121">
        <f t="shared" si="32"/>
        <v>7.1646580096004595E-2</v>
      </c>
      <c r="AH101" s="121">
        <f t="shared" si="33"/>
        <v>6.7837756570911026E-2</v>
      </c>
      <c r="AI101" s="121">
        <f t="shared" si="32"/>
        <v>6.4176034175031552E-2</v>
      </c>
      <c r="AJ101" s="121">
        <f t="shared" si="32"/>
        <v>6.0678887560099315E-2</v>
      </c>
      <c r="AK101" s="121">
        <f t="shared" si="32"/>
        <v>5.7349647404792176E-2</v>
      </c>
      <c r="AL101" s="121">
        <f t="shared" si="32"/>
        <v>5.4190939624619933E-2</v>
      </c>
      <c r="AM101" s="121">
        <f t="shared" si="33"/>
        <v>5.1228163077514106E-2</v>
      </c>
    </row>
    <row r="102" spans="2:40" x14ac:dyDescent="0.25">
      <c r="B102" s="230"/>
      <c r="C102" s="35" t="s">
        <v>29</v>
      </c>
      <c r="D102" s="54" t="s">
        <v>452</v>
      </c>
      <c r="E102" s="130">
        <f t="shared" si="33"/>
        <v>0.1200243797595533</v>
      </c>
      <c r="F102" s="130">
        <f t="shared" si="33"/>
        <v>0.19505488164857912</v>
      </c>
      <c r="G102" s="130">
        <f t="shared" si="33"/>
        <v>0.20915108534036761</v>
      </c>
      <c r="H102" s="130">
        <f t="shared" si="33"/>
        <v>0.21312437246882598</v>
      </c>
      <c r="I102" s="130">
        <f t="shared" si="33"/>
        <v>0.21627690920630238</v>
      </c>
      <c r="J102" s="129">
        <f t="shared" si="33"/>
        <v>0.21865678232576743</v>
      </c>
      <c r="K102" s="72">
        <f t="shared" si="33"/>
        <v>0.22073425915311756</v>
      </c>
      <c r="L102" s="72">
        <f t="shared" si="33"/>
        <v>0.22243617509967106</v>
      </c>
      <c r="M102" s="72">
        <f t="shared" si="33"/>
        <v>0.22395417811173016</v>
      </c>
      <c r="N102" s="130">
        <f t="shared" si="33"/>
        <v>0.22487476599364176</v>
      </c>
      <c r="O102" s="129">
        <f t="shared" si="33"/>
        <v>0.22485734561494072</v>
      </c>
      <c r="P102" s="72">
        <f t="shared" si="33"/>
        <v>0.22373497827919706</v>
      </c>
      <c r="Q102" s="72">
        <f t="shared" si="33"/>
        <v>0.22117362068811597</v>
      </c>
      <c r="R102" s="72">
        <f t="shared" si="33"/>
        <v>0.21712201105341541</v>
      </c>
      <c r="S102" s="130">
        <f t="shared" si="33"/>
        <v>0.21165092595213023</v>
      </c>
      <c r="T102" s="130">
        <f t="shared" si="32"/>
        <v>0.20501588787910566</v>
      </c>
      <c r="U102" s="130">
        <f t="shared" si="32"/>
        <v>0.19750568554323067</v>
      </c>
      <c r="V102" s="130">
        <f t="shared" si="32"/>
        <v>0.18950459045756515</v>
      </c>
      <c r="W102" s="130">
        <f t="shared" si="32"/>
        <v>0.18131797734249275</v>
      </c>
      <c r="X102" s="121">
        <f t="shared" si="33"/>
        <v>0.1731641903999632</v>
      </c>
      <c r="Y102" s="121">
        <f t="shared" si="32"/>
        <v>0.16497798584156292</v>
      </c>
      <c r="Z102" s="121">
        <f t="shared" si="32"/>
        <v>0.1569201869822896</v>
      </c>
      <c r="AA102" s="121">
        <f t="shared" si="32"/>
        <v>0.14911574147750742</v>
      </c>
      <c r="AB102" s="121">
        <f t="shared" si="32"/>
        <v>0.14158937370863556</v>
      </c>
      <c r="AC102" s="121">
        <f t="shared" si="33"/>
        <v>0.13438459689096313</v>
      </c>
      <c r="AD102" s="121">
        <f t="shared" si="32"/>
        <v>0.12751968165122032</v>
      </c>
      <c r="AE102" s="121">
        <f t="shared" si="32"/>
        <v>0.12097374250282571</v>
      </c>
      <c r="AF102" s="121">
        <f t="shared" si="32"/>
        <v>0.1147561078807587</v>
      </c>
      <c r="AG102" s="121">
        <f t="shared" si="32"/>
        <v>0.10885742488871836</v>
      </c>
      <c r="AH102" s="121">
        <f t="shared" si="33"/>
        <v>0.10307034043487866</v>
      </c>
      <c r="AI102" s="121">
        <f t="shared" si="32"/>
        <v>9.750680198841355E-2</v>
      </c>
      <c r="AJ102" s="121">
        <f t="shared" si="32"/>
        <v>9.2193338075795411E-2</v>
      </c>
      <c r="AK102" s="121">
        <f t="shared" si="32"/>
        <v>8.7134997592278676E-2</v>
      </c>
      <c r="AL102" s="121">
        <f t="shared" si="32"/>
        <v>8.2335764253474178E-2</v>
      </c>
      <c r="AM102" s="121">
        <f t="shared" si="33"/>
        <v>7.7834225145310076E-2</v>
      </c>
    </row>
    <row r="103" spans="2:40" x14ac:dyDescent="0.25">
      <c r="B103" s="230"/>
      <c r="C103" s="35" t="s">
        <v>30</v>
      </c>
      <c r="D103" s="54" t="s">
        <v>453</v>
      </c>
      <c r="E103" s="130">
        <f t="shared" si="33"/>
        <v>0.16803384356708401</v>
      </c>
      <c r="F103" s="130">
        <f t="shared" si="33"/>
        <v>0.21775346145954219</v>
      </c>
      <c r="G103" s="130">
        <f t="shared" si="33"/>
        <v>0.22602492584046305</v>
      </c>
      <c r="H103" s="130">
        <f t="shared" si="33"/>
        <v>0.22817454981707538</v>
      </c>
      <c r="I103" s="130">
        <f t="shared" si="33"/>
        <v>0.22954813730632459</v>
      </c>
      <c r="J103" s="129">
        <f t="shared" si="33"/>
        <v>0.23076687493252096</v>
      </c>
      <c r="K103" s="72">
        <f t="shared" si="33"/>
        <v>0.23151696084809109</v>
      </c>
      <c r="L103" s="72">
        <f t="shared" si="33"/>
        <v>0.23180296757958044</v>
      </c>
      <c r="M103" s="72">
        <f t="shared" si="33"/>
        <v>0.23162814230685236</v>
      </c>
      <c r="N103" s="130">
        <f t="shared" si="33"/>
        <v>0.23085287391650788</v>
      </c>
      <c r="O103" s="129">
        <f t="shared" si="33"/>
        <v>0.22951945808267901</v>
      </c>
      <c r="P103" s="72">
        <f t="shared" si="33"/>
        <v>0.22731581307123427</v>
      </c>
      <c r="Q103" s="72">
        <f t="shared" si="33"/>
        <v>0.22387968571886038</v>
      </c>
      <c r="R103" s="72">
        <f t="shared" si="33"/>
        <v>0.21914679589464978</v>
      </c>
      <c r="S103" s="130">
        <f t="shared" si="33"/>
        <v>0.21317207602439273</v>
      </c>
      <c r="T103" s="130">
        <f t="shared" si="32"/>
        <v>0.20618913685274737</v>
      </c>
      <c r="U103" s="130">
        <f t="shared" si="32"/>
        <v>0.19844951591199819</v>
      </c>
      <c r="V103" s="130">
        <f t="shared" si="32"/>
        <v>0.19030171557140668</v>
      </c>
      <c r="W103" s="130">
        <f t="shared" si="32"/>
        <v>0.18202044218374613</v>
      </c>
      <c r="X103" s="121">
        <f t="shared" si="33"/>
        <v>0.17380266633938599</v>
      </c>
      <c r="Y103" s="121">
        <f t="shared" si="32"/>
        <v>0.16556877078509749</v>
      </c>
      <c r="Z103" s="121">
        <f t="shared" si="32"/>
        <v>0.15747284203807921</v>
      </c>
      <c r="AA103" s="121">
        <f t="shared" si="32"/>
        <v>0.14963607219283168</v>
      </c>
      <c r="AB103" s="121">
        <f t="shared" si="32"/>
        <v>0.14208092911877984</v>
      </c>
      <c r="AC103" s="121">
        <f t="shared" si="33"/>
        <v>0.13484984493500821</v>
      </c>
      <c r="AD103" s="121">
        <f t="shared" si="32"/>
        <v>0.12796050100617526</v>
      </c>
      <c r="AE103" s="121">
        <f t="shared" si="32"/>
        <v>0.12139159495469247</v>
      </c>
      <c r="AF103" s="121">
        <f t="shared" si="32"/>
        <v>0.11515231196135642</v>
      </c>
      <c r="AG103" s="121">
        <f t="shared" si="32"/>
        <v>0.10923317575593057</v>
      </c>
      <c r="AH103" s="121">
        <f t="shared" si="33"/>
        <v>0.10342606733364927</v>
      </c>
      <c r="AI103" s="121">
        <f t="shared" si="32"/>
        <v>9.784330258242549E-2</v>
      </c>
      <c r="AJ103" s="121">
        <f t="shared" si="32"/>
        <v>9.2511488970071568E-2</v>
      </c>
      <c r="AK103" s="121">
        <f t="shared" si="32"/>
        <v>8.7435686133156082E-2</v>
      </c>
      <c r="AL103" s="121">
        <f t="shared" si="32"/>
        <v>8.2619888151106088E-2</v>
      </c>
      <c r="AM103" s="121">
        <f t="shared" si="33"/>
        <v>7.8102813516840786E-2</v>
      </c>
    </row>
    <row r="104" spans="2:40" x14ac:dyDescent="0.25">
      <c r="B104" s="230"/>
      <c r="C104" s="35" t="s">
        <v>31</v>
      </c>
      <c r="D104" s="54" t="s">
        <v>454</v>
      </c>
      <c r="E104" s="130">
        <f t="shared" si="33"/>
        <v>0.4362143910050581</v>
      </c>
      <c r="F104" s="130">
        <f t="shared" si="33"/>
        <v>0.31324802325805606</v>
      </c>
      <c r="G104" s="130">
        <f t="shared" si="33"/>
        <v>0.28774607009214681</v>
      </c>
      <c r="H104" s="130">
        <f t="shared" si="33"/>
        <v>0.27944626367840819</v>
      </c>
      <c r="I104" s="130">
        <f t="shared" si="33"/>
        <v>0.27207387180916076</v>
      </c>
      <c r="J104" s="129">
        <f t="shared" si="33"/>
        <v>0.26618823446905826</v>
      </c>
      <c r="K104" s="72">
        <f t="shared" si="33"/>
        <v>0.25971309367777023</v>
      </c>
      <c r="L104" s="72">
        <f t="shared" si="33"/>
        <v>0.25281121610099033</v>
      </c>
      <c r="M104" s="72">
        <f t="shared" si="33"/>
        <v>0.24425254351851941</v>
      </c>
      <c r="N104" s="130">
        <f t="shared" si="33"/>
        <v>0.23532581906666405</v>
      </c>
      <c r="O104" s="129">
        <f t="shared" si="33"/>
        <v>0.22787825701156836</v>
      </c>
      <c r="P104" s="72">
        <f t="shared" si="33"/>
        <v>0.22086440506097388</v>
      </c>
      <c r="Q104" s="72">
        <f t="shared" si="33"/>
        <v>0.21379046433678067</v>
      </c>
      <c r="R104" s="72">
        <f t="shared" si="33"/>
        <v>0.2065044975794256</v>
      </c>
      <c r="S104" s="130">
        <f t="shared" si="33"/>
        <v>0.1989423619857662</v>
      </c>
      <c r="T104" s="130">
        <f t="shared" si="32"/>
        <v>0.19117301921044996</v>
      </c>
      <c r="U104" s="130">
        <f t="shared" si="32"/>
        <v>0.18323615130856019</v>
      </c>
      <c r="V104" s="130">
        <f t="shared" si="32"/>
        <v>0.17528030558465046</v>
      </c>
      <c r="W104" s="130">
        <f t="shared" si="32"/>
        <v>0.16741806624371586</v>
      </c>
      <c r="X104" s="121">
        <f t="shared" si="33"/>
        <v>0.15973627930012696</v>
      </c>
      <c r="Y104" s="121">
        <f t="shared" si="32"/>
        <v>0.15210366027100308</v>
      </c>
      <c r="Z104" s="121">
        <f t="shared" si="32"/>
        <v>0.14463242032158327</v>
      </c>
      <c r="AA104" s="121">
        <f t="shared" si="32"/>
        <v>0.13741747385240408</v>
      </c>
      <c r="AB104" s="121">
        <f t="shared" si="32"/>
        <v>0.13047052273156512</v>
      </c>
      <c r="AC104" s="121">
        <f t="shared" si="33"/>
        <v>0.12382594219782324</v>
      </c>
      <c r="AD104" s="121">
        <f t="shared" si="32"/>
        <v>0.11749759468990782</v>
      </c>
      <c r="AE104" s="121">
        <f t="shared" si="32"/>
        <v>0.11146470138583195</v>
      </c>
      <c r="AF104" s="121">
        <f t="shared" si="32"/>
        <v>0.10573508895608555</v>
      </c>
      <c r="AG104" s="121">
        <f t="shared" si="32"/>
        <v>0.10029974804171189</v>
      </c>
      <c r="AH104" s="121">
        <f t="shared" si="33"/>
        <v>9.4967421975485702E-2</v>
      </c>
      <c r="AI104" s="121">
        <f t="shared" si="32"/>
        <v>8.9841169422237285E-2</v>
      </c>
      <c r="AJ104" s="121">
        <f t="shared" si="32"/>
        <v>8.4945383477987316E-2</v>
      </c>
      <c r="AK104" s="121">
        <f t="shared" si="32"/>
        <v>8.0284690233305242E-2</v>
      </c>
      <c r="AL104" s="121">
        <f t="shared" si="32"/>
        <v>7.5862747126619237E-2</v>
      </c>
      <c r="AM104" s="121">
        <f t="shared" si="33"/>
        <v>7.1715101068495948E-2</v>
      </c>
    </row>
    <row r="105" spans="2:40" x14ac:dyDescent="0.25">
      <c r="B105" s="230"/>
      <c r="C105" s="35" t="s">
        <v>32</v>
      </c>
      <c r="D105" s="54" t="s">
        <v>455</v>
      </c>
      <c r="E105" s="130">
        <f t="shared" si="33"/>
        <v>0.15386468112104759</v>
      </c>
      <c r="F105" s="130">
        <f t="shared" si="33"/>
        <v>0.1060173251253132</v>
      </c>
      <c r="G105" s="130">
        <f t="shared" si="33"/>
        <v>9.5593304294362705E-2</v>
      </c>
      <c r="H105" s="130">
        <f t="shared" si="33"/>
        <v>9.2197301620380728E-2</v>
      </c>
      <c r="I105" s="130">
        <f t="shared" si="33"/>
        <v>8.9061206879684676E-2</v>
      </c>
      <c r="J105" s="129">
        <f t="shared" si="33"/>
        <v>8.5985274812797566E-2</v>
      </c>
      <c r="K105" s="72">
        <f t="shared" si="33"/>
        <v>8.2680725726348728E-2</v>
      </c>
      <c r="L105" s="72">
        <f t="shared" si="33"/>
        <v>7.9232760802873128E-2</v>
      </c>
      <c r="M105" s="72">
        <f t="shared" si="33"/>
        <v>7.5054705622559434E-2</v>
      </c>
      <c r="N105" s="130">
        <f t="shared" si="33"/>
        <v>7.080734976775846E-2</v>
      </c>
      <c r="O105" s="129">
        <f t="shared" si="33"/>
        <v>6.739522244156651E-2</v>
      </c>
      <c r="P105" s="72">
        <f t="shared" si="33"/>
        <v>6.4366239214965981E-2</v>
      </c>
      <c r="Q105" s="72">
        <f t="shared" si="33"/>
        <v>6.154898059920369E-2</v>
      </c>
      <c r="R105" s="72">
        <f t="shared" si="33"/>
        <v>5.88816938984522E-2</v>
      </c>
      <c r="S105" s="130">
        <f t="shared" si="33"/>
        <v>5.6322420232515109E-2</v>
      </c>
      <c r="T105" s="130">
        <f t="shared" si="32"/>
        <v>5.385939887841492E-2</v>
      </c>
      <c r="U105" s="130">
        <f t="shared" si="32"/>
        <v>5.1462564064606087E-2</v>
      </c>
      <c r="V105" s="130">
        <f t="shared" si="32"/>
        <v>4.9136581818095146E-2</v>
      </c>
      <c r="W105" s="130">
        <f t="shared" si="32"/>
        <v>4.6882939946465856E-2</v>
      </c>
      <c r="X105" s="121">
        <f t="shared" si="33"/>
        <v>4.4705773588073851E-2</v>
      </c>
      <c r="Y105" s="121">
        <f t="shared" si="32"/>
        <v>4.2555931677966341E-2</v>
      </c>
      <c r="Z105" s="121">
        <f t="shared" si="32"/>
        <v>4.0458555216992792E-2</v>
      </c>
      <c r="AA105" s="121">
        <f t="shared" si="32"/>
        <v>3.8436713845788215E-2</v>
      </c>
      <c r="AB105" s="121">
        <f t="shared" si="32"/>
        <v>3.6491792470344384E-2</v>
      </c>
      <c r="AC105" s="121">
        <f t="shared" si="33"/>
        <v>3.4632439552772315E-2</v>
      </c>
      <c r="AD105" s="121">
        <f t="shared" si="32"/>
        <v>3.2862035056611456E-2</v>
      </c>
      <c r="AE105" s="121">
        <f t="shared" si="32"/>
        <v>3.1174514417563397E-2</v>
      </c>
      <c r="AF105" s="121">
        <f t="shared" si="32"/>
        <v>2.9571941020030121E-2</v>
      </c>
      <c r="AG105" s="121">
        <f t="shared" si="32"/>
        <v>2.8051731830077347E-2</v>
      </c>
      <c r="AH105" s="121">
        <f t="shared" si="33"/>
        <v>2.6560364397804383E-2</v>
      </c>
      <c r="AI105" s="121">
        <f t="shared" si="32"/>
        <v>2.5126646767701575E-2</v>
      </c>
      <c r="AJ105" s="121">
        <f t="shared" si="32"/>
        <v>2.3757393506130049E-2</v>
      </c>
      <c r="AK105" s="121">
        <f t="shared" si="32"/>
        <v>2.2453894523935144E-2</v>
      </c>
      <c r="AL105" s="121">
        <f t="shared" si="32"/>
        <v>2.1217170776311869E-2</v>
      </c>
      <c r="AM105" s="121">
        <f t="shared" si="33"/>
        <v>2.0057162956744794E-2</v>
      </c>
    </row>
    <row r="106" spans="2:40" x14ac:dyDescent="0.25">
      <c r="B106" s="230"/>
      <c r="C106" s="56" t="s">
        <v>33</v>
      </c>
      <c r="D106" s="66" t="s">
        <v>456</v>
      </c>
      <c r="E106" s="132">
        <f t="shared" si="33"/>
        <v>7.0497921241333764E-2</v>
      </c>
      <c r="F106" s="132">
        <f t="shared" si="33"/>
        <v>4.2021323180817027E-2</v>
      </c>
      <c r="G106" s="132">
        <f t="shared" si="33"/>
        <v>3.6136002498638603E-2</v>
      </c>
      <c r="H106" s="132">
        <f t="shared" si="33"/>
        <v>3.4208952272003143E-2</v>
      </c>
      <c r="I106" s="132">
        <f t="shared" si="33"/>
        <v>3.2544757022433729E-2</v>
      </c>
      <c r="J106" s="131">
        <f t="shared" si="33"/>
        <v>3.1032917239566356E-2</v>
      </c>
      <c r="K106" s="73">
        <f t="shared" si="33"/>
        <v>2.9578683813096359E-2</v>
      </c>
      <c r="L106" s="73">
        <f t="shared" si="33"/>
        <v>2.8121318020390838E-2</v>
      </c>
      <c r="M106" s="73">
        <f t="shared" si="33"/>
        <v>2.6380140756746506E-2</v>
      </c>
      <c r="N106" s="132">
        <f t="shared" si="33"/>
        <v>2.4638016027902266E-2</v>
      </c>
      <c r="O106" s="131">
        <f t="shared" si="33"/>
        <v>2.3264253704057512E-2</v>
      </c>
      <c r="P106" s="73">
        <f t="shared" si="33"/>
        <v>2.2072227282617308E-2</v>
      </c>
      <c r="Q106" s="73">
        <f t="shared" si="33"/>
        <v>2.0995242319787458E-2</v>
      </c>
      <c r="R106" s="73">
        <f t="shared" si="33"/>
        <v>2.0005992739679936E-2</v>
      </c>
      <c r="S106" s="132">
        <f t="shared" si="33"/>
        <v>1.9083421144182506E-2</v>
      </c>
      <c r="T106" s="132">
        <f t="shared" si="32"/>
        <v>1.8216032329137256E-2</v>
      </c>
      <c r="U106" s="132">
        <f t="shared" si="32"/>
        <v>1.7386336537836732E-2</v>
      </c>
      <c r="V106" s="132">
        <f t="shared" si="32"/>
        <v>1.6590230941580027E-2</v>
      </c>
      <c r="W106" s="132">
        <f t="shared" si="32"/>
        <v>1.5824044943022954E-2</v>
      </c>
      <c r="X106" s="122">
        <f t="shared" si="33"/>
        <v>1.5086584200544461E-2</v>
      </c>
      <c r="Y106" s="122">
        <f t="shared" si="32"/>
        <v>1.4359782061485122E-2</v>
      </c>
      <c r="Z106" s="122">
        <f t="shared" si="32"/>
        <v>1.3651416841800643E-2</v>
      </c>
      <c r="AA106" s="122">
        <f t="shared" si="32"/>
        <v>1.296890356388394E-2</v>
      </c>
      <c r="AB106" s="122">
        <f t="shared" si="32"/>
        <v>1.2312520476101712E-2</v>
      </c>
      <c r="AC106" s="122">
        <f t="shared" si="33"/>
        <v>1.1685094020837693E-2</v>
      </c>
      <c r="AD106" s="122">
        <f t="shared" si="32"/>
        <v>1.1087719866869298E-2</v>
      </c>
      <c r="AE106" s="122">
        <f t="shared" si="32"/>
        <v>1.0518330437582145E-2</v>
      </c>
      <c r="AF106" s="122">
        <f t="shared" si="32"/>
        <v>9.9776117549104787E-3</v>
      </c>
      <c r="AG106" s="122">
        <f t="shared" si="32"/>
        <v>9.4646873965553505E-3</v>
      </c>
      <c r="AH106" s="122">
        <f t="shared" si="33"/>
        <v>8.9614965654947875E-3</v>
      </c>
      <c r="AI106" s="122">
        <f t="shared" si="32"/>
        <v>8.4777578040239124E-3</v>
      </c>
      <c r="AJ106" s="122">
        <f t="shared" si="32"/>
        <v>8.0157698634047304E-3</v>
      </c>
      <c r="AK106" s="122">
        <f t="shared" si="32"/>
        <v>7.5759677157972039E-3</v>
      </c>
      <c r="AL106" s="122">
        <f t="shared" si="32"/>
        <v>7.1586957225581449E-3</v>
      </c>
      <c r="AM106" s="122">
        <f t="shared" si="33"/>
        <v>6.7673078175004998E-3</v>
      </c>
    </row>
    <row r="107" spans="2:40" s="3" customFormat="1" x14ac:dyDescent="0.25"/>
    <row r="108" spans="2:40" s="3" customFormat="1" x14ac:dyDescent="0.25"/>
    <row r="109" spans="2:40" s="3" customFormat="1" x14ac:dyDescent="0.25"/>
    <row r="110" spans="2:40" s="3" customFormat="1" x14ac:dyDescent="0.25"/>
    <row r="111" spans="2:40" s="3" customFormat="1" x14ac:dyDescent="0.25"/>
    <row r="112" spans="2:40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</sheetData>
  <pageMargins left="0.7" right="0.7" top="0.75" bottom="0.75" header="0.3" footer="0.3"/>
  <pageSetup paperSize="9" scale="6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8"/>
  <dimension ref="B4:B11"/>
  <sheetViews>
    <sheetView workbookViewId="0">
      <selection activeCell="B4" sqref="B4"/>
    </sheetView>
  </sheetViews>
  <sheetFormatPr baseColWidth="10" defaultRowHeight="15" x14ac:dyDescent="0.25"/>
  <cols>
    <col min="2" max="2" width="68.5703125" customWidth="1"/>
  </cols>
  <sheetData>
    <row r="4" spans="2:2" x14ac:dyDescent="0.25">
      <c r="B4" t="str">
        <f>Résultats!B1&amp;" : Energie finale par usage et énergie primaire (Mtep)"</f>
        <v>SNBC3 : Energie finale par usage et énergie primaire (Mtep)</v>
      </c>
    </row>
    <row r="5" spans="2:2" x14ac:dyDescent="0.25">
      <c r="B5" t="str">
        <f>Résultats!B1&amp;" : Ventilation du mix énergie (Mtep)"</f>
        <v>SNBC3 : Ventilation du mix énergie (Mtep)</v>
      </c>
    </row>
    <row r="6" spans="2:2" x14ac:dyDescent="0.25">
      <c r="B6" t="str">
        <f>Résultats!B1&amp;" : Ventilation du mix electrique (%)"</f>
        <v>SNBC3 : Ventilation du mix electrique (%)</v>
      </c>
    </row>
    <row r="7" spans="2:2" x14ac:dyDescent="0.25">
      <c r="B7" t="str">
        <f>Résultats!B1&amp;" : Ventilation du mix carburant (%)"</f>
        <v>SNBC3 : Ventilation du mix carburant (%)</v>
      </c>
    </row>
    <row r="8" spans="2:2" x14ac:dyDescent="0.25">
      <c r="B8" t="str">
        <f>Résultats!B1&amp;" : Ventilation du mix gaz (%)"</f>
        <v>SNBC3 : Ventilation du mix gaz (%)</v>
      </c>
    </row>
    <row r="9" spans="2:2" x14ac:dyDescent="0.25">
      <c r="B9" t="str">
        <f>Résultats!B1&amp;" : Emissions CO2 (Mt.eqCO2)"</f>
        <v>SNBC3 : Emissions CO2 (Mt.eqCO2)</v>
      </c>
    </row>
    <row r="10" spans="2:2" x14ac:dyDescent="0.25">
      <c r="B10" t="str">
        <f>Résultats!B1&amp;" : Ventilation du parc auto (%)"</f>
        <v>SNBC3 : Ventilation du parc auto (%)</v>
      </c>
    </row>
    <row r="11" spans="2:2" x14ac:dyDescent="0.25">
      <c r="B11" t="str">
        <f>Résultats!B1&amp;" : Ventilation du parc de logements (%)"</f>
        <v>SNBC3 : Ventilation du parc de logements (%)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8</vt:i4>
      </vt:variant>
      <vt:variant>
        <vt:lpstr>Graphiques</vt:lpstr>
      </vt:variant>
      <vt:variant>
        <vt:i4>10</vt:i4>
      </vt:variant>
      <vt:variant>
        <vt:lpstr>Plages nommées</vt:lpstr>
      </vt:variant>
      <vt:variant>
        <vt:i4>2</vt:i4>
      </vt:variant>
    </vt:vector>
  </HeadingPairs>
  <TitlesOfParts>
    <vt:vector size="20" baseType="lpstr">
      <vt:lpstr>T energie vecteurs</vt:lpstr>
      <vt:lpstr>T energie usages</vt:lpstr>
      <vt:lpstr>T transport</vt:lpstr>
      <vt:lpstr>Résultats</vt:lpstr>
      <vt:lpstr>T CO2</vt:lpstr>
      <vt:lpstr>T logement</vt:lpstr>
      <vt:lpstr>T parc auto</vt:lpstr>
      <vt:lpstr>Table Graphs</vt:lpstr>
      <vt:lpstr>G energie</vt:lpstr>
      <vt:lpstr>G mix energie</vt:lpstr>
      <vt:lpstr>G mix élec</vt:lpstr>
      <vt:lpstr>G mix carb</vt:lpstr>
      <vt:lpstr>G mix gaz</vt:lpstr>
      <vt:lpstr>G CO2</vt:lpstr>
      <vt:lpstr>G parc auto total</vt:lpstr>
      <vt:lpstr>G parc elec</vt:lpstr>
      <vt:lpstr>G parc auto</vt:lpstr>
      <vt:lpstr>G parc logt</vt:lpstr>
      <vt:lpstr>'T parc auto'!Zone_d_impression</vt:lpstr>
      <vt:lpstr>'T transport'!Zone_d_impression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GISSELA LANDA RIVERA</dc:creator>
  <cp:lastModifiedBy>MONSERAND Alma</cp:lastModifiedBy>
  <cp:lastPrinted>2018-11-29T16:44:02Z</cp:lastPrinted>
  <dcterms:created xsi:type="dcterms:W3CDTF">2016-06-15T08:53:28Z</dcterms:created>
  <dcterms:modified xsi:type="dcterms:W3CDTF">2024-12-23T19:01:27Z</dcterms:modified>
</cp:coreProperties>
</file>