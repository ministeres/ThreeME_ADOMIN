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lonnecg\Documents\Github\ThreeME\échanges - organisation\reporting par mesure\efficacité\"/>
    </mc:Choice>
  </mc:AlternateContent>
  <xr:revisionPtr revIDLastSave="0" documentId="13_ncr:1_{910D68F6-00CA-4352-8BFF-F3B8318C055F}" xr6:coauthVersionLast="47" xr6:coauthVersionMax="47" xr10:uidLastSave="{00000000-0000-0000-0000-000000000000}"/>
  <bookViews>
    <workbookView xWindow="-120" yWindow="-120" windowWidth="20730" windowHeight="11160" activeTab="1" xr2:uid="{BBDB6042-9B53-41E9-9E30-E8DABE6AACBD}"/>
  </bookViews>
  <sheets>
    <sheet name="Feuil4" sheetId="4" r:id="rId1"/>
    <sheet name="résultats" sheetId="8" r:id="rId2"/>
    <sheet name="T graph" sheetId="11" r:id="rId3"/>
    <sheet name="Graphique2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1" l="1"/>
  <c r="N22" i="11"/>
  <c r="Z2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F5" i="11"/>
  <c r="F26" i="11" s="1"/>
  <c r="G5" i="11"/>
  <c r="G26" i="11" s="1"/>
  <c r="H5" i="11"/>
  <c r="H26" i="11" s="1"/>
  <c r="I5" i="11"/>
  <c r="I26" i="11" s="1"/>
  <c r="J5" i="11"/>
  <c r="J26" i="11" s="1"/>
  <c r="K5" i="11"/>
  <c r="K26" i="11" s="1"/>
  <c r="L5" i="11"/>
  <c r="L26" i="11" s="1"/>
  <c r="M5" i="11"/>
  <c r="M26" i="11" s="1"/>
  <c r="N5" i="11"/>
  <c r="N26" i="11" s="1"/>
  <c r="O5" i="11"/>
  <c r="O26" i="11" s="1"/>
  <c r="P5" i="11"/>
  <c r="P26" i="11" s="1"/>
  <c r="Q5" i="11"/>
  <c r="Q26" i="11" s="1"/>
  <c r="R5" i="11"/>
  <c r="R26" i="11" s="1"/>
  <c r="S5" i="11"/>
  <c r="S26" i="11" s="1"/>
  <c r="T5" i="11"/>
  <c r="T26" i="11" s="1"/>
  <c r="U5" i="11"/>
  <c r="U26" i="11" s="1"/>
  <c r="V5" i="11"/>
  <c r="V26" i="11" s="1"/>
  <c r="W5" i="11"/>
  <c r="W26" i="11" s="1"/>
  <c r="X5" i="11"/>
  <c r="X26" i="11" s="1"/>
  <c r="Y5" i="11"/>
  <c r="Y26" i="11" s="1"/>
  <c r="Z5" i="11"/>
  <c r="Z26" i="11" s="1"/>
  <c r="AA5" i="11"/>
  <c r="AA26" i="11" s="1"/>
  <c r="AB5" i="11"/>
  <c r="AB26" i="11" s="1"/>
  <c r="AC5" i="11"/>
  <c r="AC26" i="11" s="1"/>
  <c r="AD5" i="11"/>
  <c r="AD26" i="11" s="1"/>
  <c r="AE5" i="11"/>
  <c r="AE26" i="11" s="1"/>
  <c r="AF5" i="11"/>
  <c r="AF26" i="11" s="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F15" i="11"/>
  <c r="F22" i="11" s="1"/>
  <c r="G15" i="11"/>
  <c r="H15" i="11"/>
  <c r="H22" i="11" s="1"/>
  <c r="I15" i="11"/>
  <c r="I22" i="11" s="1"/>
  <c r="J15" i="11"/>
  <c r="J22" i="11" s="1"/>
  <c r="K15" i="11"/>
  <c r="K22" i="11" s="1"/>
  <c r="L15" i="11"/>
  <c r="L25" i="11" s="1"/>
  <c r="M15" i="11"/>
  <c r="M25" i="11" s="1"/>
  <c r="N15" i="11"/>
  <c r="N25" i="11" s="1"/>
  <c r="O15" i="11"/>
  <c r="P15" i="11"/>
  <c r="P25" i="11" s="1"/>
  <c r="Q15" i="11"/>
  <c r="R15" i="11"/>
  <c r="R22" i="11" s="1"/>
  <c r="S15" i="11"/>
  <c r="T15" i="11"/>
  <c r="T22" i="11" s="1"/>
  <c r="U15" i="11"/>
  <c r="U22" i="11" s="1"/>
  <c r="V15" i="11"/>
  <c r="V22" i="11" s="1"/>
  <c r="W15" i="11"/>
  <c r="W22" i="11" s="1"/>
  <c r="X15" i="11"/>
  <c r="X22" i="11" s="1"/>
  <c r="Y15" i="11"/>
  <c r="Y25" i="11" s="1"/>
  <c r="Z15" i="11"/>
  <c r="Z25" i="11" s="1"/>
  <c r="AA15" i="11"/>
  <c r="AB15" i="11"/>
  <c r="AB25" i="11" s="1"/>
  <c r="AC15" i="11"/>
  <c r="AD15" i="11"/>
  <c r="AD22" i="11" s="1"/>
  <c r="AE15" i="11"/>
  <c r="AF15" i="11"/>
  <c r="AF22" i="11" s="1"/>
  <c r="F16" i="11"/>
  <c r="F25" i="11" s="1"/>
  <c r="G16" i="11"/>
  <c r="G25" i="11" s="1"/>
  <c r="H16" i="11"/>
  <c r="H25" i="11" s="1"/>
  <c r="I16" i="11"/>
  <c r="I25" i="11" s="1"/>
  <c r="J16" i="11"/>
  <c r="J25" i="11" s="1"/>
  <c r="K16" i="11"/>
  <c r="L16" i="11"/>
  <c r="M16" i="11"/>
  <c r="N16" i="11"/>
  <c r="O16" i="11"/>
  <c r="O22" i="11" s="1"/>
  <c r="P16" i="11"/>
  <c r="Q16" i="11"/>
  <c r="Q25" i="11" s="1"/>
  <c r="R16" i="11"/>
  <c r="R25" i="11" s="1"/>
  <c r="S16" i="11"/>
  <c r="S22" i="11" s="1"/>
  <c r="T16" i="11"/>
  <c r="T25" i="11" s="1"/>
  <c r="U16" i="11"/>
  <c r="U25" i="11" s="1"/>
  <c r="V16" i="11"/>
  <c r="V25" i="11" s="1"/>
  <c r="W16" i="11"/>
  <c r="X16" i="11"/>
  <c r="Y16" i="11"/>
  <c r="Z16" i="11"/>
  <c r="AA16" i="11"/>
  <c r="AA22" i="11" s="1"/>
  <c r="AB16" i="11"/>
  <c r="AC16" i="11"/>
  <c r="AC25" i="11" s="1"/>
  <c r="AD16" i="11"/>
  <c r="AD25" i="11" s="1"/>
  <c r="AE16" i="11"/>
  <c r="AE25" i="11" s="1"/>
  <c r="AF16" i="11"/>
  <c r="AF25" i="11" s="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13" i="11"/>
  <c r="D17" i="11"/>
  <c r="E17" i="11"/>
  <c r="AG17" i="11"/>
  <c r="C17" i="11"/>
  <c r="D13" i="11"/>
  <c r="E13" i="11"/>
  <c r="C13" i="11"/>
  <c r="AY39" i="8"/>
  <c r="Y22" i="11" l="1"/>
  <c r="AA25" i="11"/>
  <c r="O25" i="11"/>
  <c r="AE22" i="11"/>
  <c r="G22" i="11"/>
  <c r="AC22" i="11"/>
  <c r="M22" i="11"/>
  <c r="L22" i="11"/>
  <c r="S25" i="11"/>
  <c r="Q22" i="11"/>
  <c r="X25" i="11"/>
  <c r="AB22" i="11"/>
  <c r="P22" i="11"/>
  <c r="W25" i="11"/>
  <c r="K25" i="11"/>
  <c r="AG3" i="11" l="1"/>
  <c r="AG2" i="11"/>
  <c r="E2" i="11"/>
  <c r="D14" i="11"/>
  <c r="E14" i="11"/>
  <c r="AG14" i="11"/>
  <c r="D15" i="11"/>
  <c r="E15" i="11"/>
  <c r="AG15" i="11"/>
  <c r="D16" i="11"/>
  <c r="E16" i="11"/>
  <c r="AG16" i="11"/>
  <c r="D18" i="11"/>
  <c r="E18" i="11"/>
  <c r="AG18" i="11"/>
  <c r="D19" i="11"/>
  <c r="E19" i="11"/>
  <c r="AG19" i="11"/>
  <c r="D20" i="11"/>
  <c r="E20" i="11"/>
  <c r="AG20" i="11"/>
  <c r="D21" i="11"/>
  <c r="E21" i="11"/>
  <c r="AG21" i="11"/>
  <c r="C21" i="11"/>
  <c r="C20" i="11"/>
  <c r="C19" i="11"/>
  <c r="C18" i="11"/>
  <c r="C16" i="11"/>
  <c r="C15" i="11"/>
  <c r="D4" i="11"/>
  <c r="E4" i="11"/>
  <c r="AG4" i="11"/>
  <c r="D5" i="11"/>
  <c r="E5" i="11"/>
  <c r="AG5" i="11"/>
  <c r="D6" i="11"/>
  <c r="E6" i="11"/>
  <c r="AG6" i="11"/>
  <c r="D7" i="11"/>
  <c r="E7" i="11"/>
  <c r="AG7" i="11"/>
  <c r="D8" i="11"/>
  <c r="E8" i="11"/>
  <c r="AG8" i="11"/>
  <c r="D9" i="11"/>
  <c r="E9" i="11"/>
  <c r="AG9" i="11"/>
  <c r="D10" i="11"/>
  <c r="E10" i="11"/>
  <c r="AG10" i="11"/>
  <c r="D11" i="11"/>
  <c r="E11" i="11"/>
  <c r="AG11" i="11"/>
  <c r="D12" i="11"/>
  <c r="E12" i="11"/>
  <c r="AG12" i="11"/>
  <c r="D2" i="11"/>
  <c r="D3" i="11"/>
  <c r="E3" i="11"/>
  <c r="C12" i="11"/>
  <c r="C11" i="11"/>
  <c r="C10" i="11"/>
  <c r="C9" i="11"/>
  <c r="C8" i="11"/>
  <c r="C7" i="11"/>
  <c r="C6" i="11"/>
  <c r="C5" i="11"/>
  <c r="C4" i="11"/>
  <c r="C14" i="11"/>
  <c r="C2" i="11"/>
  <c r="C3" i="11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B49" i="4"/>
  <c r="AG22" i="11" l="1"/>
  <c r="AG26" i="11"/>
  <c r="AG25" i="11"/>
  <c r="E22" i="11"/>
  <c r="E25" i="11"/>
  <c r="AH4" i="11"/>
  <c r="AH2" i="11"/>
</calcChain>
</file>

<file path=xl/sharedStrings.xml><?xml version="1.0" encoding="utf-8"?>
<sst xmlns="http://schemas.openxmlformats.org/spreadsheetml/2006/main" count="355" uniqueCount="233">
  <si>
    <t>TAX_CR_19_0</t>
  </si>
  <si>
    <t>TAX_0</t>
  </si>
  <si>
    <t>REC_VAL_2</t>
  </si>
  <si>
    <t>DIV_GOV_VAL_2</t>
  </si>
  <si>
    <t>IR_VAL_2</t>
  </si>
  <si>
    <t>AIC_VAL_2</t>
  </si>
  <si>
    <t>CL_S_20_2</t>
  </si>
  <si>
    <t>L_S_20_2</t>
  </si>
  <si>
    <t>PROG_L_20_2</t>
  </si>
  <si>
    <t>PY_20_2</t>
  </si>
  <si>
    <t>Y_20_2</t>
  </si>
  <si>
    <t>PTAX_2</t>
  </si>
  <si>
    <t>TAX_2</t>
  </si>
  <si>
    <t>PIY_2</t>
  </si>
  <si>
    <t>IY_2</t>
  </si>
  <si>
    <t>PIS_2</t>
  </si>
  <si>
    <t>IS_2</t>
  </si>
  <si>
    <t>PCSE_TOT_2</t>
  </si>
  <si>
    <t>CSE_TOT_2</t>
  </si>
  <si>
    <t>PCSS_TOT_2</t>
  </si>
  <si>
    <t>CSS_TOT_2</t>
  </si>
  <si>
    <t>PE_20_2</t>
  </si>
  <si>
    <t>E_20_2</t>
  </si>
  <si>
    <t>PMAT_20_2</t>
  </si>
  <si>
    <t>MAT_20_2</t>
  </si>
  <si>
    <t>PIY_20_2</t>
  </si>
  <si>
    <t>IY_20_2</t>
  </si>
  <si>
    <t>CL_S_20_2*L_S_20_2*PROG_L_20_2</t>
  </si>
  <si>
    <t>PTAX_2*TAX_2</t>
  </si>
  <si>
    <t>PIY_2*IY_2</t>
  </si>
  <si>
    <t>PIS_2*IS_2</t>
  </si>
  <si>
    <t>PCSE_TOT_2*CSE_TOT_2</t>
  </si>
  <si>
    <t>PCSS_TOT_2*CSS_TOT_2</t>
  </si>
  <si>
    <t>PE_20_2*E_20_2</t>
  </si>
  <si>
    <t>PMAT_20_2*MAT_20_2</t>
  </si>
  <si>
    <t>PIY_20_2*IY_20_2</t>
  </si>
  <si>
    <t>DEP_VAL_2</t>
  </si>
  <si>
    <t>R_G_2(-1)</t>
  </si>
  <si>
    <t>DEBT_G_VAL_2(-1)</t>
  </si>
  <si>
    <t>PRESOC_VAL_2</t>
  </si>
  <si>
    <t>SUB_AUTO_VAL_2</t>
  </si>
  <si>
    <t>PIA_20_2</t>
  </si>
  <si>
    <t>IA_20_2</t>
  </si>
  <si>
    <t>PG_2</t>
  </si>
  <si>
    <t>G_2</t>
  </si>
  <si>
    <t>PG_20_2</t>
  </si>
  <si>
    <t>G_20_2</t>
  </si>
  <si>
    <t>PSUB_2</t>
  </si>
  <si>
    <t>SUB_2</t>
  </si>
  <si>
    <t>PSUB_01_2</t>
  </si>
  <si>
    <t>SUB_01_2</t>
  </si>
  <si>
    <t>PSY_2</t>
  </si>
  <si>
    <t>SY_2</t>
  </si>
  <si>
    <t>PSY_2*SY_2</t>
  </si>
  <si>
    <t>PSY_01_2</t>
  </si>
  <si>
    <t>SY_01_2</t>
  </si>
  <si>
    <t>TAX_CR_19_2</t>
  </si>
  <si>
    <t>R_G_2(-1)*DEBT_G_VAL_2(-1)</t>
  </si>
  <si>
    <t>PIA_20_2*IA_20_2</t>
  </si>
  <si>
    <t>PG_2*G_2-PG_20_2*G_20_2</t>
  </si>
  <si>
    <t>PSUB_2*SUB_2-PSUB_20*SUB_20</t>
  </si>
  <si>
    <t>PSY_2*SY_2-PSY_20_2*SY_20_2</t>
  </si>
  <si>
    <t>DEP_VAL_2-REC_VAL_2</t>
  </si>
  <si>
    <t>(DEP_VAL_2-REC_VAL_2)/(PGDP_2*GDP_2)</t>
  </si>
  <si>
    <t>TAX_01_0</t>
  </si>
  <si>
    <t>TAX_02_0</t>
  </si>
  <si>
    <t>TAX_03_0</t>
  </si>
  <si>
    <t>TAX_04_0</t>
  </si>
  <si>
    <t>TAX_05_0</t>
  </si>
  <si>
    <t>TAX_06_0</t>
  </si>
  <si>
    <t>TAX_07_0</t>
  </si>
  <si>
    <t>TAX_08_0</t>
  </si>
  <si>
    <t>TAX_09_0</t>
  </si>
  <si>
    <t>TAX_10_0</t>
  </si>
  <si>
    <t>TAX_11_0</t>
  </si>
  <si>
    <t>TAX_12_0</t>
  </si>
  <si>
    <t>TAX_13_0</t>
  </si>
  <si>
    <t>TAX_14_0</t>
  </si>
  <si>
    <t>TAX_15_0</t>
  </si>
  <si>
    <t>TAX_16_0</t>
  </si>
  <si>
    <t>TAX_17_0</t>
  </si>
  <si>
    <t>TAX_18_0</t>
  </si>
  <si>
    <t>TAX_19_0</t>
  </si>
  <si>
    <t>TAX_21_0</t>
  </si>
  <si>
    <t>TAX_22_0</t>
  </si>
  <si>
    <t>TAX_23_0</t>
  </si>
  <si>
    <t>TAX_24_0</t>
  </si>
  <si>
    <t>SUB_REHAB_VAL_2-CEE</t>
  </si>
  <si>
    <t>0-(PSUB_2*SUB_2-PSUB_01_2*SUB_01_2)</t>
  </si>
  <si>
    <t>0-(PSY_2*SY_2-PSY_01_2*SY_01_2)</t>
  </si>
  <si>
    <t>INC_GOV_OTH_NET</t>
  </si>
  <si>
    <t>PCSE_TOT_2*CSE_TOT_2+PCSS_TOT_2*CSS_TOT_2</t>
  </si>
  <si>
    <t>PY_20_2*Y_20_2-(PE_20_2*E_20_2+PMAT_20_2*MAT_20_2+PIY_20_2*IY_20_2)</t>
  </si>
  <si>
    <t>(-1)*CL_S_20_2*L_S_20_2*PROG_L_20_2</t>
  </si>
  <si>
    <t xml:space="preserve">Déficit public  Tend </t>
  </si>
  <si>
    <t>TEND</t>
  </si>
  <si>
    <t>Déficit public   en % PIB</t>
  </si>
  <si>
    <t>Dépenses publiques</t>
  </si>
  <si>
    <t>Cotisations sociales</t>
  </si>
  <si>
    <t>Intérêts de la dette</t>
  </si>
  <si>
    <t>Consommations intermédiaires</t>
  </si>
  <si>
    <t>Taxe à la production</t>
  </si>
  <si>
    <t>Investissements</t>
  </si>
  <si>
    <t>Consommation finale</t>
  </si>
  <si>
    <t>Subventions</t>
  </si>
  <si>
    <t xml:space="preserve">Taxes à la production </t>
  </si>
  <si>
    <t>Prestations sociales</t>
  </si>
  <si>
    <t>Subventions à la rénovation énergétique</t>
  </si>
  <si>
    <t>Subventions aux automobiles</t>
  </si>
  <si>
    <t>choc</t>
  </si>
  <si>
    <t>Recettes publiques</t>
  </si>
  <si>
    <t>Dividendes</t>
  </si>
  <si>
    <t>Impôts sur les revenus et le patrimoine</t>
  </si>
  <si>
    <t>Versement européens</t>
  </si>
  <si>
    <t>Taxes à la consommation</t>
  </si>
  <si>
    <t>Impôts sur les bénéfices</t>
  </si>
  <si>
    <t>Revenus des services publics</t>
  </si>
  <si>
    <t>moins les cotisations salariales des salariés du public</t>
  </si>
  <si>
    <t>Taxes sur les revenus financiers</t>
  </si>
  <si>
    <t>Facture énergétique</t>
  </si>
  <si>
    <t>Déficit public  choc</t>
  </si>
  <si>
    <t xml:space="preserve">Subventions à la production </t>
  </si>
  <si>
    <t>Subventions sur les produits</t>
  </si>
  <si>
    <t>Charges courantes</t>
  </si>
  <si>
    <t xml:space="preserve">Subventions </t>
  </si>
  <si>
    <t>Recettes publiques en M€ courants</t>
  </si>
  <si>
    <t>Dépenses publiques (-) en M€ courants</t>
  </si>
  <si>
    <t>Solde bonus malus automobile</t>
  </si>
  <si>
    <t xml:space="preserve">Solde public </t>
  </si>
  <si>
    <t xml:space="preserve">en écart au Tend </t>
  </si>
  <si>
    <t>SUB_RENOV_VAL_2</t>
  </si>
  <si>
    <t>BONUS_ELEC_H01_2</t>
  </si>
  <si>
    <t>BONUS_ELEC_H01_2*NEWAUTO_ELEC_H01_2</t>
  </si>
  <si>
    <t>DEP_VAL_1-REC_VAL_1</t>
  </si>
  <si>
    <t>(DEP_VAL_1-REC_VAL_1)/(PGDP_1*GDP_1)</t>
  </si>
  <si>
    <t>DEP_VAL_1</t>
  </si>
  <si>
    <t>CL_S_20_1*L_S_20_1*PROG_L_20_1</t>
  </si>
  <si>
    <t>R_G_1(-1)*DEBT_G_VAL_1(-1)</t>
  </si>
  <si>
    <t>PE_20_1*E_20_1</t>
  </si>
  <si>
    <t>PMAT_20_1*MAT_20_1</t>
  </si>
  <si>
    <t>PIY_20_1*IY_20_1</t>
  </si>
  <si>
    <t>PIA_20_1*IA_20_1</t>
  </si>
  <si>
    <t>PG_1*G_1-PG_20_1*G_20_1</t>
  </si>
  <si>
    <t>0-(PSUB_1*SUB_1-PSUB_01_1*SUB_01_1)</t>
  </si>
  <si>
    <t>0-(PSY_1*SY_1-PSY_01_1*SY_01_1)</t>
  </si>
  <si>
    <t>PRESOC_VAL_1</t>
  </si>
  <si>
    <t>SUB_RENOV_VAL_1</t>
  </si>
  <si>
    <t>SUB_AUTO_VAL_1</t>
  </si>
  <si>
    <t>REC_VAL_1</t>
  </si>
  <si>
    <t>DIV_GOV_VAL_1</t>
  </si>
  <si>
    <t>IR_VAL_1</t>
  </si>
  <si>
    <t>AIC_VAL_1</t>
  </si>
  <si>
    <t>PTAX_1*TAX_1</t>
  </si>
  <si>
    <t>PIY_1*IY_1</t>
  </si>
  <si>
    <t>PIS_1*IS_1</t>
  </si>
  <si>
    <t>PCSE_TOT_1*CSE_TOT_1+PCSS_TOT_1*CSS_TOT_1</t>
  </si>
  <si>
    <t>PY_20_1*Y_20_1-(PE_20_1*E_20_1+PMAT_20_1*MAT_20_1+PIY_20_1*IY_20_1)</t>
  </si>
  <si>
    <t>(-1)*CL_S_20_1*L_S_20_1*PROG_L_20_1</t>
  </si>
  <si>
    <t>CL_S_20_1</t>
  </si>
  <si>
    <t>L_S_20_1</t>
  </si>
  <si>
    <t>PROG_L_20_1</t>
  </si>
  <si>
    <t>R_G_1(-1)</t>
  </si>
  <si>
    <t>DEBT_G_VAL_1(-1)</t>
  </si>
  <si>
    <t>SUB_REHAB_VAL_1-CEE</t>
  </si>
  <si>
    <t>PE_20_1</t>
  </si>
  <si>
    <t>E_20_1</t>
  </si>
  <si>
    <t>PMAT_20_1</t>
  </si>
  <si>
    <t>MAT_20_1</t>
  </si>
  <si>
    <t>PIY_20_1</t>
  </si>
  <si>
    <t>IY_20_1</t>
  </si>
  <si>
    <t>PIA_20_1</t>
  </si>
  <si>
    <t>IA_20_1</t>
  </si>
  <si>
    <t>PG_1</t>
  </si>
  <si>
    <t>G_1</t>
  </si>
  <si>
    <t>PG_20_1</t>
  </si>
  <si>
    <t>G_20_1</t>
  </si>
  <si>
    <t>PSUB_1</t>
  </si>
  <si>
    <t>SUB_1</t>
  </si>
  <si>
    <t>PSUB_01_1</t>
  </si>
  <si>
    <t>SUB_01_1</t>
  </si>
  <si>
    <t>PSY_1</t>
  </si>
  <si>
    <t>SY_1</t>
  </si>
  <si>
    <t>PSY_1*SY_1</t>
  </si>
  <si>
    <t>PSY_01_1</t>
  </si>
  <si>
    <t>SY_01_1</t>
  </si>
  <si>
    <t>TAX_CR_19_1</t>
  </si>
  <si>
    <t>PY_20_1</t>
  </si>
  <si>
    <t>Y_20_1</t>
  </si>
  <si>
    <t>PTAX_1</t>
  </si>
  <si>
    <t>TAX_1</t>
  </si>
  <si>
    <t>PIY_1</t>
  </si>
  <si>
    <t>IY_1</t>
  </si>
  <si>
    <t>PIS_1</t>
  </si>
  <si>
    <t>IS_1</t>
  </si>
  <si>
    <t>PCSE_TOT_1</t>
  </si>
  <si>
    <t>CSE_TOT_1</t>
  </si>
  <si>
    <t>PCSS_TOT_1</t>
  </si>
  <si>
    <t>CSS_TOT_1</t>
  </si>
  <si>
    <t>PCSE_TOT_1*CSE_TOT_1</t>
  </si>
  <si>
    <t>PCSS_TOT_1*CSS_TOT_1</t>
  </si>
  <si>
    <t>BONUS_ELEC_H01_1</t>
  </si>
  <si>
    <t>BONUS_ELEC_H01_1*NEWAUTO_ELEC_H01_1</t>
  </si>
  <si>
    <t>REC_VAL_SEC_ETS_1</t>
  </si>
  <si>
    <t>REC_VAL_SEC_ETS2_1</t>
  </si>
  <si>
    <t>REC_VAL_ETS2_HH_1</t>
  </si>
  <si>
    <t>REC_VAL_TCO_HH_1</t>
  </si>
  <si>
    <t>REC_VAL_SEC_TCO_1</t>
  </si>
  <si>
    <t>REDIS_VAL_TCO_H_1</t>
  </si>
  <si>
    <t>REDIS_VAL_SEC_TCO_1</t>
  </si>
  <si>
    <t>REDIS_VAL_SEC_ETS_1</t>
  </si>
  <si>
    <t>REDIS_VAL_ETS2_H_1</t>
  </si>
  <si>
    <t>REDIS_VAL_SEC_ETS2_1</t>
  </si>
  <si>
    <t>REC_VAL_SEC_ETS_2</t>
  </si>
  <si>
    <t>REC_VAL_SEC_ETS2_2</t>
  </si>
  <si>
    <t>REC_VAL_ETS2_HH_2</t>
  </si>
  <si>
    <t>REC_VAL_TCO_HH_2</t>
  </si>
  <si>
    <t>REC_VAL_SEC_TCO_2</t>
  </si>
  <si>
    <t>REDIS_VAL_TCO_H_2</t>
  </si>
  <si>
    <t>REDIS_VAL_SEC_TCO_2</t>
  </si>
  <si>
    <t>REDIS_VAL_SEC_ETS_2</t>
  </si>
  <si>
    <t>REDIS_VAL_ETS2_H_2</t>
  </si>
  <si>
    <t>REDIS_VAL_SEC_ETS2_2</t>
  </si>
  <si>
    <t>Redistribution des recettes de l'ETS aux secteurs</t>
  </si>
  <si>
    <t>Redistribution des recettes de taxe carbone aux ménages</t>
  </si>
  <si>
    <t>Redistribution des recettes de l'ETS aux ménages</t>
  </si>
  <si>
    <t>Taxes énergétiques</t>
  </si>
  <si>
    <t>Redistribution aux agents</t>
  </si>
  <si>
    <t>recettes de l'ETS aux secteurs</t>
  </si>
  <si>
    <t>recettes de l'ETS aux ménages</t>
  </si>
  <si>
    <t>recettes de taxe carbone aux ménages</t>
  </si>
  <si>
    <t>recettes de taxe carbone aux secteurs</t>
  </si>
  <si>
    <t>BF_G_VAL_1</t>
  </si>
  <si>
    <t>BF_G_VAL_2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</si>
</sst>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8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3" fillId="3" borderId="3" xfId="0" applyFont="1" applyFill="1" applyBorder="1"/>
    <xf numFmtId="0" fontId="0" fillId="4" borderId="3" xfId="0" applyFill="1" applyBorder="1"/>
    <xf numFmtId="0" fontId="3" fillId="5" borderId="3" xfId="0" applyFont="1" applyFill="1" applyBorder="1"/>
    <xf numFmtId="0" fontId="4" fillId="3" borderId="3" xfId="0" applyFont="1" applyFill="1" applyBorder="1"/>
    <xf numFmtId="0" fontId="2" fillId="2" borderId="3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4" borderId="3" xfId="0" applyFont="1" applyFill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0" fillId="0" borderId="1" xfId="0" applyBorder="1"/>
    <xf numFmtId="1" fontId="0" fillId="0" borderId="1" xfId="0" applyNumberFormat="1" applyBorder="1"/>
    <xf numFmtId="10" fontId="0" fillId="0" borderId="1" xfId="1" applyNumberFormat="1" applyFont="1" applyBorder="1"/>
    <xf numFmtId="11" fontId="0" fillId="0" borderId="0" xfId="0" applyNumberFormat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7" fillId="6" borderId="0" xfId="0" applyFont="1" applyFill="1"/>
    <xf numFmtId="0" fontId="0" fillId="0" borderId="0" xfId="0" applyBorder="1"/>
    <xf numFmtId="0" fontId="0" fillId="0" borderId="4" xfId="0" applyBorder="1"/>
    <xf numFmtId="0" fontId="0" fillId="0" borderId="5" xfId="0" applyBorder="1"/>
    <xf numFmtId="1" fontId="0" fillId="0" borderId="0" xfId="0" applyNumberFormat="1"/>
    <xf numFmtId="168" fontId="0" fillId="0" borderId="1" xfId="1" applyNumberFormat="1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finances publiques (M€ courants, écart au Tend)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graph'!$B$5</c:f>
              <c:strCache>
                <c:ptCount val="1"/>
                <c:pt idx="0">
                  <c:v>Intérêts de la dette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graph'!$C$5:$AG$5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37.83308019398828</c:v>
                </c:pt>
                <c:pt idx="3">
                  <c:v>192.85948608798208</c:v>
                </c:pt>
                <c:pt idx="4">
                  <c:v>199.27298670701566</c:v>
                </c:pt>
                <c:pt idx="5">
                  <c:v>-66.365542882005684</c:v>
                </c:pt>
                <c:pt idx="6">
                  <c:v>-259.32170811499236</c:v>
                </c:pt>
                <c:pt idx="7">
                  <c:v>-307.34717584803002</c:v>
                </c:pt>
                <c:pt idx="8">
                  <c:v>-361.19708054297371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28-4713-AEBF-2E4DB2323FAA}"/>
            </c:ext>
          </c:extLst>
        </c:ser>
        <c:ser>
          <c:idx val="4"/>
          <c:order val="1"/>
          <c:tx>
            <c:strRef>
              <c:f>'T graph'!$B$6</c:f>
              <c:strCache>
                <c:ptCount val="1"/>
                <c:pt idx="0">
                  <c:v>Facture énergétique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graph'!$C$6:$AG$6</c:f>
              <c:numCache>
                <c:formatCode>0</c:formatCode>
                <c:ptCount val="9"/>
                <c:pt idx="0">
                  <c:v>0</c:v>
                </c:pt>
                <c:pt idx="1">
                  <c:v>-1.3262088010505977</c:v>
                </c:pt>
                <c:pt idx="2">
                  <c:v>-4.0723924101803277</c:v>
                </c:pt>
                <c:pt idx="3">
                  <c:v>2.6186850664298618</c:v>
                </c:pt>
                <c:pt idx="4">
                  <c:v>1.6228193915294469</c:v>
                </c:pt>
                <c:pt idx="5">
                  <c:v>-11.668988629218802</c:v>
                </c:pt>
                <c:pt idx="6">
                  <c:v>-16.830438646380571</c:v>
                </c:pt>
                <c:pt idx="7">
                  <c:v>-21.183740262309584</c:v>
                </c:pt>
                <c:pt idx="8">
                  <c:v>-23.984571990011318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28-4713-AEBF-2E4DB2323FAA}"/>
            </c:ext>
          </c:extLst>
        </c:ser>
        <c:ser>
          <c:idx val="5"/>
          <c:order val="2"/>
          <c:tx>
            <c:strRef>
              <c:f>'T graph'!$B$7</c:f>
              <c:strCache>
                <c:ptCount val="1"/>
                <c:pt idx="0">
                  <c:v>Charges courantes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graph'!$C$7:$AG$7</c:f>
              <c:numCache>
                <c:formatCode>0</c:formatCode>
                <c:ptCount val="9"/>
                <c:pt idx="0">
                  <c:v>0</c:v>
                </c:pt>
                <c:pt idx="1">
                  <c:v>34.414416463514499</c:v>
                </c:pt>
                <c:pt idx="2">
                  <c:v>42.15177397228581</c:v>
                </c:pt>
                <c:pt idx="3">
                  <c:v>-868.21997210361224</c:v>
                </c:pt>
                <c:pt idx="4">
                  <c:v>-1287.0967457316856</c:v>
                </c:pt>
                <c:pt idx="5">
                  <c:v>-3736.2576616447659</c:v>
                </c:pt>
                <c:pt idx="6">
                  <c:v>-5480.1494265149086</c:v>
                </c:pt>
                <c:pt idx="7">
                  <c:v>-6801.9446853617701</c:v>
                </c:pt>
                <c:pt idx="8">
                  <c:v>-8150.4660012434433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28-4713-AEBF-2E4DB2323FAA}"/>
            </c:ext>
          </c:extLst>
        </c:ser>
        <c:ser>
          <c:idx val="6"/>
          <c:order val="3"/>
          <c:tx>
            <c:strRef>
              <c:f>'T graph'!$B$8</c:f>
              <c:strCache>
                <c:ptCount val="1"/>
                <c:pt idx="0">
                  <c:v>Investissements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graph'!$C$8:$AG$8</c:f>
              <c:numCache>
                <c:formatCode>0</c:formatCode>
                <c:ptCount val="9"/>
                <c:pt idx="0">
                  <c:v>0</c:v>
                </c:pt>
                <c:pt idx="1">
                  <c:v>1.7984423344023526</c:v>
                </c:pt>
                <c:pt idx="2">
                  <c:v>-2.5573333234060556</c:v>
                </c:pt>
                <c:pt idx="3">
                  <c:v>-92.884264833002817</c:v>
                </c:pt>
                <c:pt idx="4">
                  <c:v>-128.05759549800132</c:v>
                </c:pt>
                <c:pt idx="5">
                  <c:v>-326.78224649900221</c:v>
                </c:pt>
                <c:pt idx="6">
                  <c:v>-500.48318939100136</c:v>
                </c:pt>
                <c:pt idx="7">
                  <c:v>-652.92771839798661</c:v>
                </c:pt>
                <c:pt idx="8">
                  <c:v>-809.05965690198354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28-4713-AEBF-2E4DB2323FAA}"/>
            </c:ext>
          </c:extLst>
        </c:ser>
        <c:ser>
          <c:idx val="7"/>
          <c:order val="4"/>
          <c:tx>
            <c:strRef>
              <c:f>'T graph'!$B$9</c:f>
              <c:strCache>
                <c:ptCount val="1"/>
                <c:pt idx="0">
                  <c:v>Prestations sociales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graph'!$C$9:$AG$9</c:f>
              <c:numCache>
                <c:formatCode>0</c:formatCode>
                <c:ptCount val="9"/>
                <c:pt idx="0">
                  <c:v>0</c:v>
                </c:pt>
                <c:pt idx="1">
                  <c:v>41.554000000003725</c:v>
                </c:pt>
                <c:pt idx="2">
                  <c:v>147.77020000002813</c:v>
                </c:pt>
                <c:pt idx="3">
                  <c:v>405.46630000008736</c:v>
                </c:pt>
                <c:pt idx="4">
                  <c:v>341.21120000001974</c:v>
                </c:pt>
                <c:pt idx="5">
                  <c:v>-979.40190000005532</c:v>
                </c:pt>
                <c:pt idx="6">
                  <c:v>-2374.5719999999274</c:v>
                </c:pt>
                <c:pt idx="7">
                  <c:v>-3640.6630000001751</c:v>
                </c:pt>
                <c:pt idx="8">
                  <c:v>-4921.8049999999348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28-4713-AEBF-2E4DB2323FAA}"/>
            </c:ext>
          </c:extLst>
        </c:ser>
        <c:ser>
          <c:idx val="8"/>
          <c:order val="5"/>
          <c:tx>
            <c:strRef>
              <c:f>'T graph'!$B$10</c:f>
              <c:strCache>
                <c:ptCount val="1"/>
                <c:pt idx="0">
                  <c:v>Subventions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graph'!$C$10:$AG$10</c:f>
              <c:numCache>
                <c:formatCode>0</c:formatCode>
                <c:ptCount val="9"/>
                <c:pt idx="0">
                  <c:v>0</c:v>
                </c:pt>
                <c:pt idx="1">
                  <c:v>-43.044195892500284</c:v>
                </c:pt>
                <c:pt idx="2">
                  <c:v>-89.096295754701714</c:v>
                </c:pt>
                <c:pt idx="3">
                  <c:v>-238.70030073519592</c:v>
                </c:pt>
                <c:pt idx="4">
                  <c:v>-270.90303661230064</c:v>
                </c:pt>
                <c:pt idx="5">
                  <c:v>-344.1384277439065</c:v>
                </c:pt>
                <c:pt idx="6">
                  <c:v>-398.97973262489904</c:v>
                </c:pt>
                <c:pt idx="7">
                  <c:v>-435.28299647679887</c:v>
                </c:pt>
                <c:pt idx="8">
                  <c:v>-482.53370259009898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28-4713-AEBF-2E4DB2323FAA}"/>
            </c:ext>
          </c:extLst>
        </c:ser>
        <c:ser>
          <c:idx val="9"/>
          <c:order val="6"/>
          <c:tx>
            <c:strRef>
              <c:f>'T graph'!$B$11</c:f>
              <c:strCache>
                <c:ptCount val="1"/>
                <c:pt idx="0">
                  <c:v>Subventions à la rénovation énergétique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graph'!$C$11:$AG$11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28-4713-AEBF-2E4DB2323FAA}"/>
            </c:ext>
          </c:extLst>
        </c:ser>
        <c:ser>
          <c:idx val="10"/>
          <c:order val="7"/>
          <c:tx>
            <c:strRef>
              <c:f>'T graph'!$B$12</c:f>
              <c:strCache>
                <c:ptCount val="1"/>
                <c:pt idx="0">
                  <c:v>Solde bonus malus automobile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graph'!$C$12:$AG$12</c:f>
              <c:numCache>
                <c:formatCode>0</c:formatCode>
                <c:ptCount val="9"/>
                <c:pt idx="0">
                  <c:v>0</c:v>
                </c:pt>
                <c:pt idx="1">
                  <c:v>0.79054500000006556</c:v>
                </c:pt>
                <c:pt idx="2">
                  <c:v>2.152495799999997</c:v>
                </c:pt>
                <c:pt idx="3">
                  <c:v>0.26746950000000425</c:v>
                </c:pt>
                <c:pt idx="4">
                  <c:v>-0.22902190000002065</c:v>
                </c:pt>
                <c:pt idx="5">
                  <c:v>0.45994399999995039</c:v>
                </c:pt>
                <c:pt idx="6">
                  <c:v>1.5990489999999227</c:v>
                </c:pt>
                <c:pt idx="7">
                  <c:v>1.6745820000001004</c:v>
                </c:pt>
                <c:pt idx="8">
                  <c:v>2.0206889999999476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28-4713-AEBF-2E4DB2323FAA}"/>
            </c:ext>
          </c:extLst>
        </c:ser>
        <c:ser>
          <c:idx val="11"/>
          <c:order val="8"/>
          <c:tx>
            <c:strRef>
              <c:f>'T graph'!$B$13</c:f>
              <c:strCache>
                <c:ptCount val="1"/>
                <c:pt idx="0">
                  <c:v>Redistribution aux agents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graph'!$C$13:$AG$13</c:f>
              <c:numCache>
                <c:formatCode>0</c:formatCode>
                <c:ptCount val="9"/>
                <c:pt idx="0">
                  <c:v>0</c:v>
                </c:pt>
                <c:pt idx="1">
                  <c:v>355.82958299999882</c:v>
                </c:pt>
                <c:pt idx="2">
                  <c:v>860.6525359999996</c:v>
                </c:pt>
                <c:pt idx="3">
                  <c:v>2124.7108640000006</c:v>
                </c:pt>
                <c:pt idx="4">
                  <c:v>2405.9871500000008</c:v>
                </c:pt>
                <c:pt idx="5">
                  <c:v>2705.5074359999999</c:v>
                </c:pt>
                <c:pt idx="6">
                  <c:v>3102.0482920000013</c:v>
                </c:pt>
                <c:pt idx="7">
                  <c:v>4246.1287219999995</c:v>
                </c:pt>
                <c:pt idx="8">
                  <c:v>5088.5008220000018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D28-4713-AEBF-2E4DB2323FAA}"/>
            </c:ext>
          </c:extLst>
        </c:ser>
        <c:ser>
          <c:idx val="13"/>
          <c:order val="9"/>
          <c:tx>
            <c:strRef>
              <c:f>'T graph'!$B$15</c:f>
              <c:strCache>
                <c:ptCount val="1"/>
                <c:pt idx="0">
                  <c:v>Impôts sur les revenus et le patrimoine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graph'!$C$15:$AG$15</c:f>
              <c:numCache>
                <c:formatCode>0</c:formatCode>
                <c:ptCount val="9"/>
                <c:pt idx="0">
                  <c:v>0</c:v>
                </c:pt>
                <c:pt idx="1">
                  <c:v>10.375426999957199</c:v>
                </c:pt>
                <c:pt idx="2">
                  <c:v>105.54580500002339</c:v>
                </c:pt>
                <c:pt idx="3">
                  <c:v>869.55672600002799</c:v>
                </c:pt>
                <c:pt idx="4">
                  <c:v>1059.3474099999967</c:v>
                </c:pt>
                <c:pt idx="5">
                  <c:v>1604.5241600000354</c:v>
                </c:pt>
                <c:pt idx="6">
                  <c:v>1972.6456399999824</c:v>
                </c:pt>
                <c:pt idx="7">
                  <c:v>2296.4911700000375</c:v>
                </c:pt>
                <c:pt idx="8">
                  <c:v>2745.7342899999676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D28-4713-AEBF-2E4DB2323FAA}"/>
            </c:ext>
          </c:extLst>
        </c:ser>
        <c:ser>
          <c:idx val="14"/>
          <c:order val="10"/>
          <c:tx>
            <c:strRef>
              <c:f>'T graph'!$B$16</c:f>
              <c:strCache>
                <c:ptCount val="1"/>
                <c:pt idx="0">
                  <c:v>Taxes à la consommation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graph'!$C$16:$AG$16</c:f>
              <c:numCache>
                <c:formatCode>0</c:formatCode>
                <c:ptCount val="9"/>
                <c:pt idx="0">
                  <c:v>0</c:v>
                </c:pt>
                <c:pt idx="1">
                  <c:v>-83.160999822022859</c:v>
                </c:pt>
                <c:pt idx="2">
                  <c:v>-126.12892631802242</c:v>
                </c:pt>
                <c:pt idx="3">
                  <c:v>14.883403774991166</c:v>
                </c:pt>
                <c:pt idx="4">
                  <c:v>86.804258437012322</c:v>
                </c:pt>
                <c:pt idx="5">
                  <c:v>602.78094969899394</c:v>
                </c:pt>
                <c:pt idx="6">
                  <c:v>899.94393698399654</c:v>
                </c:pt>
                <c:pt idx="7">
                  <c:v>1063.8957488140441</c:v>
                </c:pt>
                <c:pt idx="8">
                  <c:v>1312.2078349390067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D28-4713-AEBF-2E4DB2323FAA}"/>
            </c:ext>
          </c:extLst>
        </c:ser>
        <c:ser>
          <c:idx val="15"/>
          <c:order val="11"/>
          <c:tx>
            <c:strRef>
              <c:f>'T graph'!$B$18</c:f>
              <c:strCache>
                <c:ptCount val="1"/>
                <c:pt idx="0">
                  <c:v>Taxes à la production 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graph'!$C$18:$AG$18</c:f>
              <c:numCache>
                <c:formatCode>0</c:formatCode>
                <c:ptCount val="9"/>
                <c:pt idx="0">
                  <c:v>0</c:v>
                </c:pt>
                <c:pt idx="1">
                  <c:v>30.948442009001155</c:v>
                </c:pt>
                <c:pt idx="2">
                  <c:v>86.60669841899653</c:v>
                </c:pt>
                <c:pt idx="3">
                  <c:v>359.63591008599906</c:v>
                </c:pt>
                <c:pt idx="4">
                  <c:v>435.06480259200907</c:v>
                </c:pt>
                <c:pt idx="5">
                  <c:v>710.66905681500793</c:v>
                </c:pt>
                <c:pt idx="6">
                  <c:v>889.48470976302633</c:v>
                </c:pt>
                <c:pt idx="7">
                  <c:v>1014.8404578659975</c:v>
                </c:pt>
                <c:pt idx="8">
                  <c:v>1169.8589613119839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D28-4713-AEBF-2E4DB2323FAA}"/>
            </c:ext>
          </c:extLst>
        </c:ser>
        <c:ser>
          <c:idx val="16"/>
          <c:order val="12"/>
          <c:tx>
            <c:strRef>
              <c:f>'T graph'!$B$19</c:f>
              <c:strCache>
                <c:ptCount val="1"/>
                <c:pt idx="0">
                  <c:v>Impôts sur les bénéfices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graph'!$C$19:$AG$19</c:f>
              <c:numCache>
                <c:formatCode>0</c:formatCode>
                <c:ptCount val="9"/>
                <c:pt idx="0">
                  <c:v>0</c:v>
                </c:pt>
                <c:pt idx="1">
                  <c:v>-244.85271023929818</c:v>
                </c:pt>
                <c:pt idx="2">
                  <c:v>-369.08619217340311</c:v>
                </c:pt>
                <c:pt idx="3">
                  <c:v>-575.5153691493033</c:v>
                </c:pt>
                <c:pt idx="4">
                  <c:v>-565.07179929809354</c:v>
                </c:pt>
                <c:pt idx="5">
                  <c:v>267.51912416840787</c:v>
                </c:pt>
                <c:pt idx="6">
                  <c:v>56.229044669802533</c:v>
                </c:pt>
                <c:pt idx="7">
                  <c:v>50.316684848992736</c:v>
                </c:pt>
                <c:pt idx="8">
                  <c:v>116.53324568799871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D28-4713-AEBF-2E4DB2323FAA}"/>
            </c:ext>
          </c:extLst>
        </c:ser>
        <c:ser>
          <c:idx val="17"/>
          <c:order val="13"/>
          <c:tx>
            <c:strRef>
              <c:f>'T graph'!$B$20</c:f>
              <c:strCache>
                <c:ptCount val="1"/>
                <c:pt idx="0">
                  <c:v>Cotisations sociales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graph'!$C$20:$AG$20</c:f>
              <c:numCache>
                <c:formatCode>0</c:formatCode>
                <c:ptCount val="9"/>
                <c:pt idx="0">
                  <c:v>0</c:v>
                </c:pt>
                <c:pt idx="1">
                  <c:v>3.4309129830216989</c:v>
                </c:pt>
                <c:pt idx="2">
                  <c:v>179.35576381208375</c:v>
                </c:pt>
                <c:pt idx="3">
                  <c:v>2346.9559645990375</c:v>
                </c:pt>
                <c:pt idx="4">
                  <c:v>3051.2174884630367</c:v>
                </c:pt>
                <c:pt idx="5">
                  <c:v>6010.5771428649314</c:v>
                </c:pt>
                <c:pt idx="6">
                  <c:v>7670.1840783979278</c:v>
                </c:pt>
                <c:pt idx="7">
                  <c:v>8693.9349382300861</c:v>
                </c:pt>
                <c:pt idx="8">
                  <c:v>9815.4759821200278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D28-4713-AEBF-2E4DB2323FAA}"/>
            </c:ext>
          </c:extLst>
        </c:ser>
        <c:ser>
          <c:idx val="18"/>
          <c:order val="14"/>
          <c:tx>
            <c:strRef>
              <c:f>'T graph'!$B$21</c:f>
              <c:strCache>
                <c:ptCount val="1"/>
                <c:pt idx="0">
                  <c:v>Revenus des services publics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graph'!$C$21:$AG$21</c:f>
              <c:numCache>
                <c:formatCode>0</c:formatCode>
                <c:ptCount val="9"/>
                <c:pt idx="0">
                  <c:v>0</c:v>
                </c:pt>
                <c:pt idx="1">
                  <c:v>23.126646687043831</c:v>
                </c:pt>
                <c:pt idx="2">
                  <c:v>40.571841406985186</c:v>
                </c:pt>
                <c:pt idx="3">
                  <c:v>-453.07604164502118</c:v>
                </c:pt>
                <c:pt idx="4">
                  <c:v>-673.50188618298853</c:v>
                </c:pt>
                <c:pt idx="5">
                  <c:v>-1657.9384736760403</c:v>
                </c:pt>
                <c:pt idx="6">
                  <c:v>-1676.3234865900595</c:v>
                </c:pt>
                <c:pt idx="7">
                  <c:v>-1230.8745517879725</c:v>
                </c:pt>
                <c:pt idx="8">
                  <c:v>-770.23556382802781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D28-4713-AEBF-2E4DB232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390912"/>
        <c:axId val="230396320"/>
      </c:barChart>
      <c:lineChart>
        <c:grouping val="standard"/>
        <c:varyColors val="0"/>
        <c:ser>
          <c:idx val="0"/>
          <c:order val="15"/>
          <c:tx>
            <c:strRef>
              <c:f>'T graph'!$B$2</c:f>
              <c:strCache>
                <c:ptCount val="1"/>
                <c:pt idx="0">
                  <c:v>Solde public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 graph'!$C$1:$AG$1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2029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'T graph'!$C$2:$AG$2</c:f>
              <c:numCache>
                <c:formatCode>0</c:formatCode>
                <c:ptCount val="9"/>
                <c:pt idx="0">
                  <c:v>0</c:v>
                </c:pt>
                <c:pt idx="1">
                  <c:v>-225.94500000006519</c:v>
                </c:pt>
                <c:pt idx="2">
                  <c:v>51.044999999925494</c:v>
                </c:pt>
                <c:pt idx="3">
                  <c:v>1963.8489999999292</c:v>
                </c:pt>
                <c:pt idx="4">
                  <c:v>2249.6820000002626</c:v>
                </c:pt>
                <c:pt idx="5">
                  <c:v>2073.9769999994896</c:v>
                </c:pt>
                <c:pt idx="6">
                  <c:v>783.42700000014156</c:v>
                </c:pt>
                <c:pt idx="7">
                  <c:v>30.93099999986589</c:v>
                </c:pt>
                <c:pt idx="8">
                  <c:v>-357.44900000002235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A-41AD-8045-F8822514E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390912"/>
        <c:axId val="230396320"/>
      </c:lineChart>
      <c:catAx>
        <c:axId val="23039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0396320"/>
        <c:crosses val="autoZero"/>
        <c:auto val="1"/>
        <c:lblAlgn val="ctr"/>
        <c:lblOffset val="100"/>
        <c:noMultiLvlLbl val="0"/>
      </c:catAx>
      <c:valAx>
        <c:axId val="2303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03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076EE0-9AFC-425C-8D8E-70025A02FF84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79C01F-38CB-9A6B-ECCB-D3E4A6BD64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448A-04C4-469B-ADBF-45A1C797268A}">
  <dimension ref="A1:Z49"/>
  <sheetViews>
    <sheetView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I52" sqref="I52"/>
    </sheetView>
  </sheetViews>
  <sheetFormatPr baseColWidth="10" defaultRowHeight="15" x14ac:dyDescent="0.25"/>
  <sheetData>
    <row r="1" spans="1:26" x14ac:dyDescent="0.25">
      <c r="B1" t="s">
        <v>1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0</v>
      </c>
    </row>
    <row r="2" spans="1:26" x14ac:dyDescent="0.25">
      <c r="A2">
        <v>2004</v>
      </c>
      <c r="B2">
        <v>198321.64173969199</v>
      </c>
      <c r="C2">
        <v>1826.86719476238</v>
      </c>
      <c r="D2">
        <v>23732.806542242899</v>
      </c>
      <c r="E2">
        <v>10811.353563504699</v>
      </c>
      <c r="F2">
        <v>318.68468031475101</v>
      </c>
      <c r="G2">
        <v>249.91078273894701</v>
      </c>
      <c r="H2">
        <v>834.97323535358203</v>
      </c>
      <c r="I2">
        <v>52.3069080148381</v>
      </c>
      <c r="J2">
        <v>120.11215914581901</v>
      </c>
      <c r="K2">
        <v>803.97654912233202</v>
      </c>
      <c r="L2">
        <v>7.7491715574644404</v>
      </c>
      <c r="M2">
        <v>11.6237573365913</v>
      </c>
      <c r="N2">
        <v>31876.895255556101</v>
      </c>
      <c r="O2">
        <v>21060.3110012375</v>
      </c>
      <c r="P2">
        <v>282.13878739847598</v>
      </c>
      <c r="Q2">
        <v>743.92046954974001</v>
      </c>
      <c r="R2">
        <v>235.78891252896199</v>
      </c>
      <c r="S2">
        <v>12.8732456456229</v>
      </c>
      <c r="T2">
        <v>525.99232562322698</v>
      </c>
      <c r="U2">
        <v>63127.6574492531</v>
      </c>
      <c r="V2">
        <v>32.933979120874703</v>
      </c>
      <c r="W2">
        <v>33245.165240907299</v>
      </c>
      <c r="X2">
        <v>6431.8123929821204</v>
      </c>
      <c r="Y2">
        <v>1975.78813579454</v>
      </c>
      <c r="Z2">
        <v>0</v>
      </c>
    </row>
    <row r="3" spans="1:26" x14ac:dyDescent="0.25">
      <c r="A3">
        <v>2005</v>
      </c>
      <c r="B3">
        <v>201505.75984677501</v>
      </c>
      <c r="C3">
        <v>1856.1981384912301</v>
      </c>
      <c r="D3">
        <v>24113.8444278723</v>
      </c>
      <c r="E3">
        <v>10984.933341998099</v>
      </c>
      <c r="F3">
        <v>323.80126593868499</v>
      </c>
      <c r="G3">
        <v>253.923181191754</v>
      </c>
      <c r="H3">
        <v>848.37900072692901</v>
      </c>
      <c r="I3">
        <v>53.146712342165102</v>
      </c>
      <c r="J3">
        <v>122.04059871228399</v>
      </c>
      <c r="K3">
        <v>816.88465267207403</v>
      </c>
      <c r="L3">
        <v>7.8735870133601003</v>
      </c>
      <c r="M3">
        <v>11.8103805204411</v>
      </c>
      <c r="N3">
        <v>32388.689119758001</v>
      </c>
      <c r="O3">
        <v>21398.441106513001</v>
      </c>
      <c r="P3">
        <v>286.66861689053502</v>
      </c>
      <c r="Q3">
        <v>755.86435331625501</v>
      </c>
      <c r="R3">
        <v>239.57457978769901</v>
      </c>
      <c r="S3">
        <v>13.079929768432599</v>
      </c>
      <c r="T3">
        <v>534.43730254814602</v>
      </c>
      <c r="U3">
        <v>64141.192408820199</v>
      </c>
      <c r="V3">
        <v>33.462744808457799</v>
      </c>
      <c r="W3">
        <v>33778.927122303401</v>
      </c>
      <c r="X3">
        <v>6535.0772213801101</v>
      </c>
      <c r="Y3">
        <v>2007.5100534015</v>
      </c>
      <c r="Z3">
        <v>0</v>
      </c>
    </row>
    <row r="4" spans="1:26" x14ac:dyDescent="0.25">
      <c r="A4">
        <v>2006</v>
      </c>
      <c r="B4">
        <v>204740.95970000001</v>
      </c>
      <c r="C4">
        <v>1886</v>
      </c>
      <c r="D4">
        <v>24501</v>
      </c>
      <c r="E4">
        <v>11161.299559999999</v>
      </c>
      <c r="F4">
        <v>329</v>
      </c>
      <c r="G4">
        <v>258</v>
      </c>
      <c r="H4">
        <v>862.000001</v>
      </c>
      <c r="I4">
        <v>54.000000020000002</v>
      </c>
      <c r="J4">
        <v>123.9999991</v>
      </c>
      <c r="K4">
        <v>830</v>
      </c>
      <c r="L4">
        <v>8.0000000250000003</v>
      </c>
      <c r="M4">
        <v>12</v>
      </c>
      <c r="N4">
        <v>32908.698980000001</v>
      </c>
      <c r="O4">
        <v>21741.99454</v>
      </c>
      <c r="P4">
        <v>291.27117429999998</v>
      </c>
      <c r="Q4">
        <v>768.00000030000001</v>
      </c>
      <c r="R4">
        <v>243.42103130000001</v>
      </c>
      <c r="S4">
        <v>13.28993227</v>
      </c>
      <c r="T4">
        <v>543.01787320000005</v>
      </c>
      <c r="U4">
        <v>65170.999689999997</v>
      </c>
      <c r="V4">
        <v>33.999984750000003</v>
      </c>
      <c r="W4">
        <v>34321.218730000001</v>
      </c>
      <c r="X4">
        <v>6640.008683</v>
      </c>
      <c r="Y4">
        <v>2039.739562</v>
      </c>
      <c r="Z4">
        <v>0</v>
      </c>
    </row>
    <row r="5" spans="1:26" x14ac:dyDescent="0.25">
      <c r="A5">
        <v>2007</v>
      </c>
      <c r="B5">
        <v>209991.48079999999</v>
      </c>
      <c r="C5">
        <v>1905.3784069999999</v>
      </c>
      <c r="D5">
        <v>25023.32648</v>
      </c>
      <c r="E5">
        <v>11567.724270000001</v>
      </c>
      <c r="F5">
        <v>338.88249999999999</v>
      </c>
      <c r="G5">
        <v>265.7524598</v>
      </c>
      <c r="H5">
        <v>882.31679559999998</v>
      </c>
      <c r="I5">
        <v>56.439167670000003</v>
      </c>
      <c r="J5">
        <v>128.57922020000001</v>
      </c>
      <c r="K5">
        <v>863.56226839999999</v>
      </c>
      <c r="L5">
        <v>8.2068010190000003</v>
      </c>
      <c r="M5">
        <v>12.26666107</v>
      </c>
      <c r="N5">
        <v>34428.956579999998</v>
      </c>
      <c r="O5">
        <v>22680.40408</v>
      </c>
      <c r="P5">
        <v>297.651206</v>
      </c>
      <c r="Q5">
        <v>784.87868649999996</v>
      </c>
      <c r="R5">
        <v>250.2793714</v>
      </c>
      <c r="S5">
        <v>13.7466916</v>
      </c>
      <c r="T5">
        <v>570.48783920000005</v>
      </c>
      <c r="U5">
        <v>66788.125780000002</v>
      </c>
      <c r="V5">
        <v>33.509740829999998</v>
      </c>
      <c r="W5">
        <v>34363.047359999997</v>
      </c>
      <c r="X5">
        <v>6704.8704729999999</v>
      </c>
      <c r="Y5">
        <v>2023.087941</v>
      </c>
      <c r="Z5">
        <v>0</v>
      </c>
    </row>
    <row r="6" spans="1:26" x14ac:dyDescent="0.25">
      <c r="A6">
        <v>2008</v>
      </c>
      <c r="B6">
        <v>209240.758</v>
      </c>
      <c r="C6">
        <v>1896.5490460000001</v>
      </c>
      <c r="D6">
        <v>24894.248189999998</v>
      </c>
      <c r="E6">
        <v>11196.43399</v>
      </c>
      <c r="F6">
        <v>331.84910109999998</v>
      </c>
      <c r="G6">
        <v>260.37758769999999</v>
      </c>
      <c r="H6">
        <v>863.61728400000004</v>
      </c>
      <c r="I6">
        <v>57.082175800000002</v>
      </c>
      <c r="J6">
        <v>128.94594720000001</v>
      </c>
      <c r="K6">
        <v>856.90965010000002</v>
      </c>
      <c r="L6">
        <v>7.5151292659999998</v>
      </c>
      <c r="M6">
        <v>11.236935519999999</v>
      </c>
      <c r="N6">
        <v>34437.71675</v>
      </c>
      <c r="O6">
        <v>22926.552660000001</v>
      </c>
      <c r="P6">
        <v>313.61208690000001</v>
      </c>
      <c r="Q6">
        <v>821.52287190000004</v>
      </c>
      <c r="R6">
        <v>250.80887910000001</v>
      </c>
      <c r="S6">
        <v>13.8221042</v>
      </c>
      <c r="T6">
        <v>578.00803810000002</v>
      </c>
      <c r="U6">
        <v>67101.751120000001</v>
      </c>
      <c r="V6">
        <v>30.068642520000001</v>
      </c>
      <c r="W6">
        <v>33456.791319999997</v>
      </c>
      <c r="X6">
        <v>6844.7813839999999</v>
      </c>
      <c r="Y6">
        <v>1960.557078</v>
      </c>
      <c r="Z6">
        <v>0</v>
      </c>
    </row>
    <row r="7" spans="1:26" x14ac:dyDescent="0.25">
      <c r="A7">
        <v>2009</v>
      </c>
      <c r="B7">
        <v>204626.30350000001</v>
      </c>
      <c r="C7">
        <v>1947.3628670000001</v>
      </c>
      <c r="D7">
        <v>24730.05054</v>
      </c>
      <c r="E7">
        <v>11129.92578</v>
      </c>
      <c r="F7">
        <v>305.08906880000001</v>
      </c>
      <c r="G7">
        <v>239.18113349999999</v>
      </c>
      <c r="H7">
        <v>838.55166780000002</v>
      </c>
      <c r="I7">
        <v>54.58101465</v>
      </c>
      <c r="J7">
        <v>119.5547421</v>
      </c>
      <c r="K7">
        <v>847.06200000000001</v>
      </c>
      <c r="L7">
        <v>6.0322074130000001</v>
      </c>
      <c r="M7">
        <v>8.5210076939999997</v>
      </c>
      <c r="N7">
        <v>33709.028660000004</v>
      </c>
      <c r="O7">
        <v>21800.770789999999</v>
      </c>
      <c r="P7">
        <v>312.4620999</v>
      </c>
      <c r="Q7">
        <v>814.74771480000004</v>
      </c>
      <c r="R7">
        <v>240.58612389999999</v>
      </c>
      <c r="S7">
        <v>13.67167703</v>
      </c>
      <c r="T7">
        <v>507.46659240000002</v>
      </c>
      <c r="U7">
        <v>65807.790439999997</v>
      </c>
      <c r="V7">
        <v>27.57218902</v>
      </c>
      <c r="W7">
        <v>32730.936610000001</v>
      </c>
      <c r="X7">
        <v>6499.3414190000003</v>
      </c>
      <c r="Y7">
        <v>1936.0172070000001</v>
      </c>
      <c r="Z7">
        <v>0</v>
      </c>
    </row>
    <row r="8" spans="1:26" x14ac:dyDescent="0.25">
      <c r="A8">
        <v>2010</v>
      </c>
      <c r="B8">
        <v>207310.26139999999</v>
      </c>
      <c r="C8">
        <v>1951.0906520000001</v>
      </c>
      <c r="D8">
        <v>25085.222590000001</v>
      </c>
      <c r="E8">
        <v>11057.387779999999</v>
      </c>
      <c r="F8">
        <v>308.9355367</v>
      </c>
      <c r="G8">
        <v>242.7337694</v>
      </c>
      <c r="H8">
        <v>844.34920990000001</v>
      </c>
      <c r="I8">
        <v>58.08351923</v>
      </c>
      <c r="J8">
        <v>127.7650374</v>
      </c>
      <c r="K8">
        <v>892.90759830000002</v>
      </c>
      <c r="L8">
        <v>6.5552106810000002</v>
      </c>
      <c r="M8">
        <v>9.632842278</v>
      </c>
      <c r="N8">
        <v>34473.2664</v>
      </c>
      <c r="O8">
        <v>22074.18145</v>
      </c>
      <c r="P8">
        <v>319.45385240000002</v>
      </c>
      <c r="Q8">
        <v>833.39602600000001</v>
      </c>
      <c r="R8">
        <v>252.27213990000001</v>
      </c>
      <c r="S8">
        <v>14.17664079</v>
      </c>
      <c r="T8">
        <v>535.11449440000001</v>
      </c>
      <c r="U8">
        <v>67121.994829999996</v>
      </c>
      <c r="V8">
        <v>27.171899060000001</v>
      </c>
      <c r="W8">
        <v>32504.314170000001</v>
      </c>
      <c r="X8">
        <v>6639.6542319999999</v>
      </c>
      <c r="Y8">
        <v>1930.601506</v>
      </c>
      <c r="Z8">
        <v>0</v>
      </c>
    </row>
    <row r="9" spans="1:26" x14ac:dyDescent="0.25">
      <c r="A9">
        <v>2011</v>
      </c>
      <c r="B9">
        <v>209299.35560000001</v>
      </c>
      <c r="C9">
        <v>1932.555736</v>
      </c>
      <c r="D9">
        <v>25689.1165</v>
      </c>
      <c r="E9">
        <v>11180.927</v>
      </c>
      <c r="F9">
        <v>316.98660869999998</v>
      </c>
      <c r="G9">
        <v>248.96461830000001</v>
      </c>
      <c r="H9">
        <v>842.96819540000001</v>
      </c>
      <c r="I9">
        <v>60.323065319999998</v>
      </c>
      <c r="J9">
        <v>131.71102260000001</v>
      </c>
      <c r="K9">
        <v>916.0617747</v>
      </c>
      <c r="L9">
        <v>6.6628277709999999</v>
      </c>
      <c r="M9">
        <v>10.18924842</v>
      </c>
      <c r="N9">
        <v>35058.739300000001</v>
      </c>
      <c r="O9">
        <v>22342.249650000002</v>
      </c>
      <c r="P9">
        <v>323.89320759999998</v>
      </c>
      <c r="Q9">
        <v>844.07263650000004</v>
      </c>
      <c r="R9">
        <v>255.74179770000001</v>
      </c>
      <c r="S9">
        <v>13.96051587</v>
      </c>
      <c r="T9">
        <v>571.38807840000004</v>
      </c>
      <c r="U9">
        <v>67990.382110000006</v>
      </c>
      <c r="V9">
        <v>25.836486969999999</v>
      </c>
      <c r="W9">
        <v>31824.112280000001</v>
      </c>
      <c r="X9">
        <v>6829.5699210000002</v>
      </c>
      <c r="Y9">
        <v>1882.942988</v>
      </c>
      <c r="Z9">
        <v>0</v>
      </c>
    </row>
    <row r="10" spans="1:26" x14ac:dyDescent="0.25">
      <c r="A10">
        <v>2012</v>
      </c>
      <c r="B10">
        <v>207603.30739999999</v>
      </c>
      <c r="C10">
        <v>1935.278374</v>
      </c>
      <c r="D10">
        <v>25530.945339999998</v>
      </c>
      <c r="E10">
        <v>10384.84584</v>
      </c>
      <c r="F10">
        <v>311.92784319999998</v>
      </c>
      <c r="G10">
        <v>244.72035880000001</v>
      </c>
      <c r="H10">
        <v>837.21273180000003</v>
      </c>
      <c r="I10">
        <v>60.99918143</v>
      </c>
      <c r="J10">
        <v>131.36426499999999</v>
      </c>
      <c r="K10">
        <v>899.37691900000004</v>
      </c>
      <c r="L10">
        <v>6.3662692710000002</v>
      </c>
      <c r="M10">
        <v>9.5946222199999998</v>
      </c>
      <c r="N10">
        <v>34855.861749999996</v>
      </c>
      <c r="O10">
        <v>22242.910449999999</v>
      </c>
      <c r="P10">
        <v>325.51307220000001</v>
      </c>
      <c r="Q10">
        <v>846.95562870000003</v>
      </c>
      <c r="R10">
        <v>253.8574217</v>
      </c>
      <c r="S10">
        <v>13.643760139999999</v>
      </c>
      <c r="T10">
        <v>574.61610250000001</v>
      </c>
      <c r="U10">
        <v>68506.186960000006</v>
      </c>
      <c r="V10">
        <v>24.980024520000001</v>
      </c>
      <c r="W10">
        <v>30852.696629999999</v>
      </c>
      <c r="X10">
        <v>6948.9827690000002</v>
      </c>
      <c r="Y10">
        <v>1804.471084</v>
      </c>
      <c r="Z10">
        <v>0</v>
      </c>
    </row>
    <row r="11" spans="1:26" x14ac:dyDescent="0.25">
      <c r="A11">
        <v>2013</v>
      </c>
      <c r="B11">
        <v>207229.40030000001</v>
      </c>
      <c r="C11">
        <v>1969.8311779999999</v>
      </c>
      <c r="D11">
        <v>25554.738529999999</v>
      </c>
      <c r="E11">
        <v>9974.364431</v>
      </c>
      <c r="F11">
        <v>307.53943820000001</v>
      </c>
      <c r="G11">
        <v>241.44689750000001</v>
      </c>
      <c r="H11">
        <v>833.40555819999997</v>
      </c>
      <c r="I11">
        <v>60.82727586</v>
      </c>
      <c r="J11">
        <v>128.80102059999999</v>
      </c>
      <c r="K11">
        <v>884.60346419999996</v>
      </c>
      <c r="L11">
        <v>6.3358360630000004</v>
      </c>
      <c r="M11">
        <v>9.7084024709999994</v>
      </c>
      <c r="N11">
        <v>35011.170480000001</v>
      </c>
      <c r="O11">
        <v>22079.734329999999</v>
      </c>
      <c r="P11">
        <v>324.94147950000001</v>
      </c>
      <c r="Q11">
        <v>845.90580220000004</v>
      </c>
      <c r="R11">
        <v>255.20131470000001</v>
      </c>
      <c r="S11">
        <v>14.042137589999999</v>
      </c>
      <c r="T11">
        <v>575.97144990000004</v>
      </c>
      <c r="U11">
        <v>69243.97494</v>
      </c>
      <c r="V11">
        <v>25.08655332</v>
      </c>
      <c r="W11">
        <v>30190.98315</v>
      </c>
      <c r="X11">
        <v>6928.1031970000004</v>
      </c>
      <c r="Y11">
        <v>1762.6834469999999</v>
      </c>
      <c r="Z11">
        <v>0</v>
      </c>
    </row>
    <row r="12" spans="1:26" x14ac:dyDescent="0.25">
      <c r="A12">
        <v>2014</v>
      </c>
      <c r="B12">
        <v>209134.9485</v>
      </c>
      <c r="C12">
        <v>2040.6589469999999</v>
      </c>
      <c r="D12">
        <v>25862.833289999999</v>
      </c>
      <c r="E12">
        <v>9941.7860849999997</v>
      </c>
      <c r="F12">
        <v>306.48310789999999</v>
      </c>
      <c r="G12">
        <v>240.8137945</v>
      </c>
      <c r="H12">
        <v>837.12413600000002</v>
      </c>
      <c r="I12">
        <v>62.771681620000003</v>
      </c>
      <c r="J12">
        <v>131.5253084</v>
      </c>
      <c r="K12">
        <v>901.38293220000003</v>
      </c>
      <c r="L12">
        <v>6.3640719969999999</v>
      </c>
      <c r="M12">
        <v>9.7492742630000002</v>
      </c>
      <c r="N12">
        <v>35883.383289999998</v>
      </c>
      <c r="O12">
        <v>22005.91043</v>
      </c>
      <c r="P12">
        <v>322.3744974</v>
      </c>
      <c r="Q12">
        <v>839.73136280000006</v>
      </c>
      <c r="R12">
        <v>255.8142383</v>
      </c>
      <c r="S12">
        <v>14.51024305</v>
      </c>
      <c r="T12">
        <v>581.14739750000001</v>
      </c>
      <c r="U12">
        <v>70352.64112</v>
      </c>
      <c r="V12">
        <v>24.93872494</v>
      </c>
      <c r="W12">
        <v>29881.596389999999</v>
      </c>
      <c r="X12">
        <v>6892.6535080000003</v>
      </c>
      <c r="Y12">
        <v>1738.754631</v>
      </c>
      <c r="Z12">
        <v>0</v>
      </c>
    </row>
    <row r="13" spans="1:26" x14ac:dyDescent="0.25">
      <c r="A13">
        <v>2015</v>
      </c>
      <c r="B13">
        <v>212002.0398</v>
      </c>
      <c r="C13">
        <v>2031.8000440000001</v>
      </c>
      <c r="D13">
        <v>26297.76009</v>
      </c>
      <c r="E13">
        <v>10415.96969</v>
      </c>
      <c r="F13">
        <v>303.26802609999999</v>
      </c>
      <c r="G13">
        <v>238.3957068</v>
      </c>
      <c r="H13">
        <v>840.76785540000003</v>
      </c>
      <c r="I13">
        <v>64.551056740000007</v>
      </c>
      <c r="J13">
        <v>135.09932470000001</v>
      </c>
      <c r="K13">
        <v>907.42526859999998</v>
      </c>
      <c r="L13">
        <v>6.1862031049999997</v>
      </c>
      <c r="M13">
        <v>9.8302362270000003</v>
      </c>
      <c r="N13">
        <v>36853.612059999999</v>
      </c>
      <c r="O13">
        <v>22000.406080000001</v>
      </c>
      <c r="P13">
        <v>320.64200849999997</v>
      </c>
      <c r="Q13">
        <v>831.31364740000004</v>
      </c>
      <c r="R13">
        <v>249.8077863</v>
      </c>
      <c r="S13">
        <v>14.932054859999999</v>
      </c>
      <c r="T13">
        <v>580.20501200000001</v>
      </c>
      <c r="U13">
        <v>71533.501629999999</v>
      </c>
      <c r="V13">
        <v>24.415354570000002</v>
      </c>
      <c r="W13">
        <v>29853.08597</v>
      </c>
      <c r="X13">
        <v>6763.2854779999998</v>
      </c>
      <c r="Y13">
        <v>1725.779178</v>
      </c>
      <c r="Z13">
        <v>0</v>
      </c>
    </row>
    <row r="14" spans="1:26" x14ac:dyDescent="0.25">
      <c r="A14">
        <v>2016</v>
      </c>
      <c r="B14">
        <v>220143.04149999999</v>
      </c>
      <c r="C14">
        <v>2004.509047</v>
      </c>
      <c r="D14">
        <v>27156.031599999998</v>
      </c>
      <c r="E14">
        <v>11503.78779</v>
      </c>
      <c r="F14">
        <v>326.0622755</v>
      </c>
      <c r="G14">
        <v>258.60797600000001</v>
      </c>
      <c r="H14">
        <v>868.00991150000004</v>
      </c>
      <c r="I14">
        <v>64.841149939999994</v>
      </c>
      <c r="J14">
        <v>138.32475479999999</v>
      </c>
      <c r="K14">
        <v>892.90199810000001</v>
      </c>
      <c r="L14">
        <v>6.3686652779999999</v>
      </c>
      <c r="M14">
        <v>10.057834550000001</v>
      </c>
      <c r="N14">
        <v>36615.72795</v>
      </c>
      <c r="O14">
        <v>26248.34921</v>
      </c>
      <c r="P14">
        <v>321.64705729999997</v>
      </c>
      <c r="Q14">
        <v>832.49969599999997</v>
      </c>
      <c r="R14">
        <v>250.00313610000001</v>
      </c>
      <c r="S14">
        <v>15.92572766</v>
      </c>
      <c r="T14">
        <v>594.57513029999996</v>
      </c>
      <c r="U14">
        <v>73567.338810000001</v>
      </c>
      <c r="V14">
        <v>23.963822159999999</v>
      </c>
      <c r="W14">
        <v>29949.645059999999</v>
      </c>
      <c r="X14">
        <v>6785.5173580000001</v>
      </c>
      <c r="Y14">
        <v>1708.3454999999999</v>
      </c>
      <c r="Z14">
        <v>0</v>
      </c>
    </row>
    <row r="15" spans="1:26" x14ac:dyDescent="0.25">
      <c r="A15">
        <v>2017</v>
      </c>
      <c r="B15">
        <v>223155.6257</v>
      </c>
      <c r="C15">
        <v>1998.1322540000001</v>
      </c>
      <c r="D15">
        <v>27872.937010000001</v>
      </c>
      <c r="E15">
        <v>11902.585719999999</v>
      </c>
      <c r="F15">
        <v>340.45258159999997</v>
      </c>
      <c r="G15">
        <v>270.72262019999999</v>
      </c>
      <c r="H15">
        <v>889.07248619999996</v>
      </c>
      <c r="I15">
        <v>65.580397590000004</v>
      </c>
      <c r="J15">
        <v>140.7266199</v>
      </c>
      <c r="K15">
        <v>897.41021260000002</v>
      </c>
      <c r="L15">
        <v>6.481188854</v>
      </c>
      <c r="M15">
        <v>10.22909741</v>
      </c>
      <c r="N15">
        <v>36938.442690000003</v>
      </c>
      <c r="O15">
        <v>26269.782999999999</v>
      </c>
      <c r="P15">
        <v>323.62119619999999</v>
      </c>
      <c r="Q15">
        <v>835.05597049999994</v>
      </c>
      <c r="R15">
        <v>252.3908989</v>
      </c>
      <c r="S15">
        <v>16.591103279999999</v>
      </c>
      <c r="T15">
        <v>608.95495200000005</v>
      </c>
      <c r="U15">
        <v>75329.556500000006</v>
      </c>
      <c r="V15">
        <v>23.45136226</v>
      </c>
      <c r="W15">
        <v>29671.185649999999</v>
      </c>
      <c r="X15">
        <v>6837.9244429999999</v>
      </c>
      <c r="Y15">
        <v>1654.3377379999999</v>
      </c>
      <c r="Z15">
        <v>0</v>
      </c>
    </row>
    <row r="16" spans="1:26" x14ac:dyDescent="0.25">
      <c r="A16">
        <v>2018</v>
      </c>
      <c r="B16">
        <v>226300.63329999999</v>
      </c>
      <c r="C16">
        <v>2000.554521</v>
      </c>
      <c r="D16">
        <v>28543.989150000001</v>
      </c>
      <c r="E16">
        <v>12224.883030000001</v>
      </c>
      <c r="F16">
        <v>351.40390889999998</v>
      </c>
      <c r="G16">
        <v>279.76308289999997</v>
      </c>
      <c r="H16">
        <v>908.45016029999999</v>
      </c>
      <c r="I16">
        <v>66.512104820000005</v>
      </c>
      <c r="J16">
        <v>142.91107289999999</v>
      </c>
      <c r="K16">
        <v>911.0804048</v>
      </c>
      <c r="L16">
        <v>6.5961245140000004</v>
      </c>
      <c r="M16">
        <v>10.40807991</v>
      </c>
      <c r="N16">
        <v>37538.81409</v>
      </c>
      <c r="O16">
        <v>26466.55905</v>
      </c>
      <c r="P16">
        <v>325.68194</v>
      </c>
      <c r="Q16">
        <v>837.34864489999995</v>
      </c>
      <c r="R16">
        <v>256.03254659999999</v>
      </c>
      <c r="S16">
        <v>17.100570220000002</v>
      </c>
      <c r="T16">
        <v>622.23214540000004</v>
      </c>
      <c r="U16">
        <v>77069.070550000004</v>
      </c>
      <c r="V16">
        <v>22.912104549999999</v>
      </c>
      <c r="W16">
        <v>29206.240559999998</v>
      </c>
      <c r="X16">
        <v>6917.7864920000002</v>
      </c>
      <c r="Y16">
        <v>1574.3029899999999</v>
      </c>
      <c r="Z16">
        <v>0</v>
      </c>
    </row>
    <row r="17" spans="1:26" x14ac:dyDescent="0.25">
      <c r="A17">
        <v>2019</v>
      </c>
      <c r="B17">
        <v>229405.94820000001</v>
      </c>
      <c r="C17">
        <v>2006.5120010000001</v>
      </c>
      <c r="D17">
        <v>29152.699929999999</v>
      </c>
      <c r="E17">
        <v>12599.981739999999</v>
      </c>
      <c r="F17">
        <v>360.2548693</v>
      </c>
      <c r="G17">
        <v>286.98773879999999</v>
      </c>
      <c r="H17">
        <v>925.69613370000002</v>
      </c>
      <c r="I17">
        <v>67.445796380000004</v>
      </c>
      <c r="J17">
        <v>144.8577253</v>
      </c>
      <c r="K17">
        <v>927.60492020000004</v>
      </c>
      <c r="L17">
        <v>6.7082977069999998</v>
      </c>
      <c r="M17">
        <v>10.584610509999999</v>
      </c>
      <c r="N17">
        <v>38209.142220000002</v>
      </c>
      <c r="O17">
        <v>26724.29406</v>
      </c>
      <c r="P17">
        <v>327.50520940000001</v>
      </c>
      <c r="Q17">
        <v>839.32923730000005</v>
      </c>
      <c r="R17">
        <v>260.1098126</v>
      </c>
      <c r="S17">
        <v>17.504298989999999</v>
      </c>
      <c r="T17">
        <v>633.72821309999995</v>
      </c>
      <c r="U17">
        <v>78666.585949999906</v>
      </c>
      <c r="V17">
        <v>22.47793699</v>
      </c>
      <c r="W17">
        <v>28743.7366</v>
      </c>
      <c r="X17">
        <v>6961.3910820000001</v>
      </c>
      <c r="Y17">
        <v>1510.8098050000001</v>
      </c>
      <c r="Z17">
        <v>0</v>
      </c>
    </row>
    <row r="18" spans="1:26" x14ac:dyDescent="0.25">
      <c r="A18">
        <v>2020</v>
      </c>
      <c r="B18">
        <v>232141.03909999999</v>
      </c>
      <c r="C18">
        <v>2013.8227770000001</v>
      </c>
      <c r="D18">
        <v>29713.609369999998</v>
      </c>
      <c r="E18">
        <v>12822.299870000001</v>
      </c>
      <c r="F18">
        <v>367.94451070000002</v>
      </c>
      <c r="G18">
        <v>293.23678009999998</v>
      </c>
      <c r="H18">
        <v>941.37592489999997</v>
      </c>
      <c r="I18">
        <v>68.309073670000004</v>
      </c>
      <c r="J18">
        <v>146.52114950000001</v>
      </c>
      <c r="K18">
        <v>945.25833709999995</v>
      </c>
      <c r="L18">
        <v>6.8090381620000002</v>
      </c>
      <c r="M18">
        <v>10.748257069999999</v>
      </c>
      <c r="N18">
        <v>38895.417300000001</v>
      </c>
      <c r="O18">
        <v>26945.6185</v>
      </c>
      <c r="P18">
        <v>329.1559828</v>
      </c>
      <c r="Q18">
        <v>840.78192999999999</v>
      </c>
      <c r="R18">
        <v>264.13387310000002</v>
      </c>
      <c r="S18">
        <v>17.850835369999999</v>
      </c>
      <c r="T18">
        <v>644.01264609999998</v>
      </c>
      <c r="U18">
        <v>80117.794299999994</v>
      </c>
      <c r="V18">
        <v>22.081421689999999</v>
      </c>
      <c r="W18">
        <v>28283.579959999999</v>
      </c>
      <c r="X18">
        <v>7006.2846019999997</v>
      </c>
      <c r="Y18">
        <v>1444.3926779999999</v>
      </c>
      <c r="Z18">
        <v>0</v>
      </c>
    </row>
    <row r="19" spans="1:26" x14ac:dyDescent="0.25">
      <c r="A19">
        <v>2021</v>
      </c>
      <c r="B19">
        <v>234640.57120000001</v>
      </c>
      <c r="C19">
        <v>2021.6859919999999</v>
      </c>
      <c r="D19">
        <v>30243.921719999998</v>
      </c>
      <c r="E19">
        <v>13031.120339999999</v>
      </c>
      <c r="F19">
        <v>375.06624979999998</v>
      </c>
      <c r="G19">
        <v>299.03239409999998</v>
      </c>
      <c r="H19">
        <v>956.22628069999996</v>
      </c>
      <c r="I19">
        <v>69.101279640000001</v>
      </c>
      <c r="J19">
        <v>147.88833149999999</v>
      </c>
      <c r="K19">
        <v>963.71604860000002</v>
      </c>
      <c r="L19">
        <v>6.9023285200000002</v>
      </c>
      <c r="M19">
        <v>10.900607040000001</v>
      </c>
      <c r="N19">
        <v>39594.792809999999</v>
      </c>
      <c r="O19">
        <v>27225.081819999999</v>
      </c>
      <c r="P19">
        <v>330.49341859999998</v>
      </c>
      <c r="Q19">
        <v>840.66210439999998</v>
      </c>
      <c r="R19">
        <v>268.04792379999998</v>
      </c>
      <c r="S19">
        <v>18.172908119999999</v>
      </c>
      <c r="T19">
        <v>653.54892580000001</v>
      </c>
      <c r="U19">
        <v>81471.912660000002</v>
      </c>
      <c r="V19">
        <v>21.788969949999998</v>
      </c>
      <c r="W19">
        <v>27540.2624</v>
      </c>
      <c r="X19">
        <v>7153.0799509999997</v>
      </c>
      <c r="Y19">
        <v>1397.165716</v>
      </c>
      <c r="Z19">
        <v>14.717003050000001</v>
      </c>
    </row>
    <row r="20" spans="1:26" x14ac:dyDescent="0.25">
      <c r="A20">
        <v>2022</v>
      </c>
      <c r="B20">
        <v>236044.94010000001</v>
      </c>
      <c r="C20">
        <v>2025.0104100000001</v>
      </c>
      <c r="D20">
        <v>30237.65049</v>
      </c>
      <c r="E20">
        <v>13350.963599999999</v>
      </c>
      <c r="F20">
        <v>384.36615799999998</v>
      </c>
      <c r="G20">
        <v>306.60339349999998</v>
      </c>
      <c r="H20">
        <v>972.47204409999995</v>
      </c>
      <c r="I20">
        <v>68.635704189999998</v>
      </c>
      <c r="J20">
        <v>143.2177082</v>
      </c>
      <c r="K20">
        <v>982.17509440000003</v>
      </c>
      <c r="L20">
        <v>6.8873758169999997</v>
      </c>
      <c r="M20">
        <v>10.96464039</v>
      </c>
      <c r="N20">
        <v>39503.476970000003</v>
      </c>
      <c r="O20">
        <v>27397.619640000001</v>
      </c>
      <c r="P20">
        <v>331.61814459999999</v>
      </c>
      <c r="Q20">
        <v>841.42089150000004</v>
      </c>
      <c r="R20">
        <v>272.39985460000003</v>
      </c>
      <c r="S20">
        <v>18.62442016</v>
      </c>
      <c r="T20">
        <v>661.67826790000004</v>
      </c>
      <c r="U20">
        <v>83143.029469999994</v>
      </c>
      <c r="V20">
        <v>20.94259628</v>
      </c>
      <c r="W20">
        <v>26088.196919999998</v>
      </c>
      <c r="X20">
        <v>7726.1668129999998</v>
      </c>
      <c r="Y20">
        <v>1550.819467</v>
      </c>
      <c r="Z20">
        <v>17.083757869999999</v>
      </c>
    </row>
    <row r="21" spans="1:26" x14ac:dyDescent="0.25">
      <c r="A21">
        <v>2023</v>
      </c>
      <c r="B21">
        <v>236950.44130000001</v>
      </c>
      <c r="C21">
        <v>2026.5929759999999</v>
      </c>
      <c r="D21">
        <v>30115.182860000001</v>
      </c>
      <c r="E21">
        <v>13666.88363</v>
      </c>
      <c r="F21">
        <v>394.29659779999997</v>
      </c>
      <c r="G21">
        <v>314.67924870000002</v>
      </c>
      <c r="H21">
        <v>989.22332870000002</v>
      </c>
      <c r="I21">
        <v>67.880927029999995</v>
      </c>
      <c r="J21">
        <v>139.49627129999999</v>
      </c>
      <c r="K21">
        <v>1004.3352619999999</v>
      </c>
      <c r="L21">
        <v>6.8310565009999999</v>
      </c>
      <c r="M21">
        <v>10.98269314</v>
      </c>
      <c r="N21">
        <v>39035.283819999997</v>
      </c>
      <c r="O21">
        <v>27595.508089999999</v>
      </c>
      <c r="P21">
        <v>332.49142940000002</v>
      </c>
      <c r="Q21">
        <v>841.82374979999997</v>
      </c>
      <c r="R21">
        <v>276.58027379999999</v>
      </c>
      <c r="S21">
        <v>19.113472829999999</v>
      </c>
      <c r="T21">
        <v>668.11108920000004</v>
      </c>
      <c r="U21">
        <v>84837.114109999995</v>
      </c>
      <c r="V21">
        <v>19.921323409999999</v>
      </c>
      <c r="W21">
        <v>25012.837439999999</v>
      </c>
      <c r="X21">
        <v>7966.7059019999997</v>
      </c>
      <c r="Y21">
        <v>1608.5657490000001</v>
      </c>
      <c r="Z21">
        <v>18.987111590000001</v>
      </c>
    </row>
    <row r="22" spans="1:26" x14ac:dyDescent="0.25">
      <c r="A22">
        <v>2024</v>
      </c>
      <c r="B22">
        <v>237692.42009999999</v>
      </c>
      <c r="C22">
        <v>2027.4085110000001</v>
      </c>
      <c r="D22">
        <v>29955.307059999999</v>
      </c>
      <c r="E22">
        <v>13989.9715</v>
      </c>
      <c r="F22">
        <v>403.94688739999998</v>
      </c>
      <c r="G22">
        <v>322.5416318</v>
      </c>
      <c r="H22">
        <v>1005.36396</v>
      </c>
      <c r="I22">
        <v>67.051320329999996</v>
      </c>
      <c r="J22">
        <v>136.68168679999999</v>
      </c>
      <c r="K22">
        <v>1027.125888</v>
      </c>
      <c r="L22">
        <v>6.7709526579999997</v>
      </c>
      <c r="M22">
        <v>10.995443079999999</v>
      </c>
      <c r="N22">
        <v>38445.301769999998</v>
      </c>
      <c r="O22">
        <v>27797.271339999999</v>
      </c>
      <c r="P22">
        <v>333.15947269999998</v>
      </c>
      <c r="Q22">
        <v>841.95977730000004</v>
      </c>
      <c r="R22">
        <v>280.61558150000002</v>
      </c>
      <c r="S22">
        <v>19.589294599999999</v>
      </c>
      <c r="T22">
        <v>673.64456659999996</v>
      </c>
      <c r="U22">
        <v>86485.274399999995</v>
      </c>
      <c r="V22">
        <v>18.896171939999999</v>
      </c>
      <c r="W22">
        <v>24164.887050000001</v>
      </c>
      <c r="X22">
        <v>8055.7334060000003</v>
      </c>
      <c r="Y22">
        <v>1622.9223770000001</v>
      </c>
      <c r="Z22">
        <v>20.593786659999999</v>
      </c>
    </row>
    <row r="23" spans="1:26" x14ac:dyDescent="0.25">
      <c r="A23">
        <v>2025</v>
      </c>
      <c r="B23">
        <v>238365.2205</v>
      </c>
      <c r="C23">
        <v>2027.8664249999999</v>
      </c>
      <c r="D23">
        <v>29789.949809999998</v>
      </c>
      <c r="E23">
        <v>14338.00691</v>
      </c>
      <c r="F23">
        <v>413.37891669999999</v>
      </c>
      <c r="G23">
        <v>330.23027689999998</v>
      </c>
      <c r="H23">
        <v>1021.119207</v>
      </c>
      <c r="I23">
        <v>66.207363139999998</v>
      </c>
      <c r="J23">
        <v>134.4550874</v>
      </c>
      <c r="K23">
        <v>1050.2079020000001</v>
      </c>
      <c r="L23">
        <v>6.7082805619999997</v>
      </c>
      <c r="M23">
        <v>11.00568975</v>
      </c>
      <c r="N23">
        <v>37816.344340000003</v>
      </c>
      <c r="O23">
        <v>27951.851409999999</v>
      </c>
      <c r="P23">
        <v>333.77528089999998</v>
      </c>
      <c r="Q23">
        <v>842.04910159999997</v>
      </c>
      <c r="R23">
        <v>284.54016580000001</v>
      </c>
      <c r="S23">
        <v>20.055033139999999</v>
      </c>
      <c r="T23">
        <v>678.79343970000002</v>
      </c>
      <c r="U23">
        <v>88098.172099999996</v>
      </c>
      <c r="V23">
        <v>17.910700550000001</v>
      </c>
      <c r="W23">
        <v>23437.93518</v>
      </c>
      <c r="X23">
        <v>8079.0474549999999</v>
      </c>
      <c r="Y23">
        <v>1615.610381</v>
      </c>
      <c r="Z23">
        <v>22.000824359999999</v>
      </c>
    </row>
    <row r="24" spans="1:26" x14ac:dyDescent="0.25">
      <c r="A24">
        <v>2026</v>
      </c>
      <c r="B24">
        <v>239071.61960000001</v>
      </c>
      <c r="C24">
        <v>2028.1564490000001</v>
      </c>
      <c r="D24">
        <v>29633.466110000001</v>
      </c>
      <c r="E24">
        <v>14793.62846</v>
      </c>
      <c r="F24">
        <v>422.95237120000002</v>
      </c>
      <c r="G24">
        <v>338.01819130000001</v>
      </c>
      <c r="H24">
        <v>1037.2517330000001</v>
      </c>
      <c r="I24">
        <v>65.392344600000001</v>
      </c>
      <c r="J24">
        <v>132.6759883</v>
      </c>
      <c r="K24">
        <v>1074.1679810000001</v>
      </c>
      <c r="L24">
        <v>6.6410423390000002</v>
      </c>
      <c r="M24">
        <v>11.012048310000001</v>
      </c>
      <c r="N24">
        <v>37174.262000000002</v>
      </c>
      <c r="O24">
        <v>28011.938109999999</v>
      </c>
      <c r="P24">
        <v>334.36729000000003</v>
      </c>
      <c r="Q24">
        <v>842.46369760000005</v>
      </c>
      <c r="R24">
        <v>288.51084020000002</v>
      </c>
      <c r="S24">
        <v>20.529344519999999</v>
      </c>
      <c r="T24">
        <v>684.20741139999996</v>
      </c>
      <c r="U24">
        <v>89727.566850000003</v>
      </c>
      <c r="V24">
        <v>16.998046429999999</v>
      </c>
      <c r="W24">
        <v>22802.634119999999</v>
      </c>
      <c r="X24">
        <v>8026.3918350000004</v>
      </c>
      <c r="Y24">
        <v>1598.387301</v>
      </c>
      <c r="Z24">
        <v>23.024039259999999</v>
      </c>
    </row>
    <row r="25" spans="1:26" x14ac:dyDescent="0.25">
      <c r="A25">
        <v>2027</v>
      </c>
      <c r="B25">
        <v>240277.09599999999</v>
      </c>
      <c r="C25">
        <v>2028.4427109999999</v>
      </c>
      <c r="D25">
        <v>29495.54724</v>
      </c>
      <c r="E25">
        <v>15290.112870000001</v>
      </c>
      <c r="F25">
        <v>433.18103439999999</v>
      </c>
      <c r="G25">
        <v>346.36370440000002</v>
      </c>
      <c r="H25">
        <v>1055.224999</v>
      </c>
      <c r="I25">
        <v>64.680085009999999</v>
      </c>
      <c r="J25">
        <v>131.4584562</v>
      </c>
      <c r="K25">
        <v>1100.1321849999999</v>
      </c>
      <c r="L25">
        <v>6.5921878700000001</v>
      </c>
      <c r="M25">
        <v>11.03951915</v>
      </c>
      <c r="N25">
        <v>36558.32069</v>
      </c>
      <c r="O25">
        <v>28260.83755</v>
      </c>
      <c r="P25">
        <v>335.0504401</v>
      </c>
      <c r="Q25">
        <v>843.2969008</v>
      </c>
      <c r="R25">
        <v>293.0247177</v>
      </c>
      <c r="S25">
        <v>21.035255230000001</v>
      </c>
      <c r="T25">
        <v>690.4153761</v>
      </c>
      <c r="U25">
        <v>91510.558090000006</v>
      </c>
      <c r="V25">
        <v>16.16684047</v>
      </c>
      <c r="W25">
        <v>22244.68534</v>
      </c>
      <c r="X25">
        <v>7967.0071239999997</v>
      </c>
      <c r="Y25">
        <v>1573.922638</v>
      </c>
      <c r="Z25">
        <v>24.038707129999999</v>
      </c>
    </row>
    <row r="26" spans="1:26" x14ac:dyDescent="0.25">
      <c r="A26">
        <v>2028</v>
      </c>
      <c r="B26">
        <v>241455.23800000001</v>
      </c>
      <c r="C26">
        <v>2028.691822</v>
      </c>
      <c r="D26">
        <v>29376.639289999999</v>
      </c>
      <c r="E26">
        <v>15817.94896</v>
      </c>
      <c r="F26">
        <v>444.37763469999999</v>
      </c>
      <c r="G26">
        <v>355.44981369999999</v>
      </c>
      <c r="H26">
        <v>1075.529591</v>
      </c>
      <c r="I26">
        <v>64.029106720000001</v>
      </c>
      <c r="J26">
        <v>130.5057041</v>
      </c>
      <c r="K26">
        <v>1128.7438030000001</v>
      </c>
      <c r="L26">
        <v>6.5446590459999996</v>
      </c>
      <c r="M26">
        <v>11.072130680000001</v>
      </c>
      <c r="N26">
        <v>35959.463889999999</v>
      </c>
      <c r="O26">
        <v>28203.310819999999</v>
      </c>
      <c r="P26">
        <v>335.86351200000001</v>
      </c>
      <c r="Q26">
        <v>844.51857029999996</v>
      </c>
      <c r="R26">
        <v>298.03682329999998</v>
      </c>
      <c r="S26">
        <v>21.591033459999998</v>
      </c>
      <c r="T26">
        <v>697.35345199999995</v>
      </c>
      <c r="U26">
        <v>93467.061159999997</v>
      </c>
      <c r="V26">
        <v>15.39045582</v>
      </c>
      <c r="W26">
        <v>21721.4784</v>
      </c>
      <c r="X26">
        <v>7907.8640969999997</v>
      </c>
      <c r="Y26">
        <v>1543.773299</v>
      </c>
      <c r="Z26">
        <v>25.066653729999999</v>
      </c>
    </row>
    <row r="27" spans="1:26" x14ac:dyDescent="0.25">
      <c r="A27">
        <v>2029</v>
      </c>
      <c r="B27">
        <v>243224.5061</v>
      </c>
      <c r="C27">
        <v>2028.9595240000001</v>
      </c>
      <c r="D27">
        <v>29276.446899999999</v>
      </c>
      <c r="E27">
        <v>16380.50799</v>
      </c>
      <c r="F27">
        <v>456.52210769999999</v>
      </c>
      <c r="G27">
        <v>365.33372789999999</v>
      </c>
      <c r="H27">
        <v>1098.160073</v>
      </c>
      <c r="I27">
        <v>63.45959749</v>
      </c>
      <c r="J27">
        <v>129.84750120000001</v>
      </c>
      <c r="K27">
        <v>1159.8990699999999</v>
      </c>
      <c r="L27">
        <v>6.5099041890000002</v>
      </c>
      <c r="M27">
        <v>11.121043179999999</v>
      </c>
      <c r="N27">
        <v>35381.00563</v>
      </c>
      <c r="O27">
        <v>28426.297999999999</v>
      </c>
      <c r="P27">
        <v>336.81237779999998</v>
      </c>
      <c r="Q27">
        <v>846.07537149999996</v>
      </c>
      <c r="R27">
        <v>303.65022590000001</v>
      </c>
      <c r="S27">
        <v>22.19357638</v>
      </c>
      <c r="T27">
        <v>705.03891109999995</v>
      </c>
      <c r="U27">
        <v>95611.608980000005</v>
      </c>
      <c r="V27">
        <v>14.669073790000001</v>
      </c>
      <c r="W27">
        <v>21233.641640000002</v>
      </c>
      <c r="X27">
        <v>7857.4909120000002</v>
      </c>
      <c r="Y27">
        <v>1509.253995</v>
      </c>
      <c r="Z27">
        <v>26.166470289999999</v>
      </c>
    </row>
    <row r="28" spans="1:26" x14ac:dyDescent="0.25">
      <c r="A28">
        <v>2030</v>
      </c>
      <c r="B28">
        <v>244815.8768</v>
      </c>
      <c r="C28">
        <v>2029.1695970000001</v>
      </c>
      <c r="D28">
        <v>29194.157889999999</v>
      </c>
      <c r="E28">
        <v>16969.559430000001</v>
      </c>
      <c r="F28">
        <v>469.5829895</v>
      </c>
      <c r="G28">
        <v>375.90071499999999</v>
      </c>
      <c r="H28">
        <v>1122.960752</v>
      </c>
      <c r="I28">
        <v>62.934824990000003</v>
      </c>
      <c r="J28">
        <v>129.30672060000001</v>
      </c>
      <c r="K28">
        <v>1193.447815</v>
      </c>
      <c r="L28">
        <v>6.4738490840000003</v>
      </c>
      <c r="M28">
        <v>11.172818319999999</v>
      </c>
      <c r="N28">
        <v>34820.736089999999</v>
      </c>
      <c r="O28">
        <v>28230.825199999999</v>
      </c>
      <c r="P28">
        <v>337.85159629999998</v>
      </c>
      <c r="Q28">
        <v>847.84182150000004</v>
      </c>
      <c r="R28">
        <v>309.70987500000001</v>
      </c>
      <c r="S28">
        <v>22.843565000000002</v>
      </c>
      <c r="T28">
        <v>713.22612119999997</v>
      </c>
      <c r="U28">
        <v>97916.869009999995</v>
      </c>
      <c r="V28">
        <v>13.988420339999999</v>
      </c>
      <c r="W28">
        <v>20751.247889999999</v>
      </c>
      <c r="X28">
        <v>7814.9474639999999</v>
      </c>
      <c r="Y28">
        <v>1471.1223050000001</v>
      </c>
      <c r="Z28">
        <v>27.28770969</v>
      </c>
    </row>
    <row r="29" spans="1:26" x14ac:dyDescent="0.25">
      <c r="A29">
        <v>2031</v>
      </c>
      <c r="B29">
        <v>247437.77989999999</v>
      </c>
      <c r="C29">
        <v>2029.438748</v>
      </c>
      <c r="D29">
        <v>29130.76512</v>
      </c>
      <c r="E29">
        <v>17698.775379999999</v>
      </c>
      <c r="F29">
        <v>483.45325400000002</v>
      </c>
      <c r="G29">
        <v>387.18900660000003</v>
      </c>
      <c r="H29">
        <v>1149.8901490000001</v>
      </c>
      <c r="I29">
        <v>62.554152289999998</v>
      </c>
      <c r="J29">
        <v>129.32219409999999</v>
      </c>
      <c r="K29">
        <v>1229.1296950000001</v>
      </c>
      <c r="L29">
        <v>6.4661239799999999</v>
      </c>
      <c r="M29">
        <v>11.254773500000001</v>
      </c>
      <c r="N29">
        <v>34293.844449999997</v>
      </c>
      <c r="O29">
        <v>28598.405060000001</v>
      </c>
      <c r="P29">
        <v>338.94209219999999</v>
      </c>
      <c r="Q29">
        <v>850.44518960000005</v>
      </c>
      <c r="R29">
        <v>316.49321190000001</v>
      </c>
      <c r="S29">
        <v>23.531051040000001</v>
      </c>
      <c r="T29">
        <v>723.06085410000003</v>
      </c>
      <c r="U29">
        <v>100415.02340000001</v>
      </c>
      <c r="V29">
        <v>13.45543758</v>
      </c>
      <c r="W29">
        <v>20298.587189999998</v>
      </c>
      <c r="X29">
        <v>7810.100273</v>
      </c>
      <c r="Y29">
        <v>1437.65309</v>
      </c>
      <c r="Z29">
        <v>28.053105599999999</v>
      </c>
    </row>
    <row r="30" spans="1:26" x14ac:dyDescent="0.25">
      <c r="A30">
        <v>2032</v>
      </c>
      <c r="B30">
        <v>249750.28760000001</v>
      </c>
      <c r="C30">
        <v>2029.5989549999999</v>
      </c>
      <c r="D30">
        <v>29081.461579999999</v>
      </c>
      <c r="E30">
        <v>18429.5769</v>
      </c>
      <c r="F30">
        <v>498.58665280000002</v>
      </c>
      <c r="G30">
        <v>399.41731979999997</v>
      </c>
      <c r="H30">
        <v>1179.6130009999999</v>
      </c>
      <c r="I30">
        <v>62.20951487</v>
      </c>
      <c r="J30">
        <v>129.41522800000001</v>
      </c>
      <c r="K30">
        <v>1268.0340610000001</v>
      </c>
      <c r="L30">
        <v>6.448329727</v>
      </c>
      <c r="M30">
        <v>11.33038277</v>
      </c>
      <c r="N30">
        <v>33771.8773</v>
      </c>
      <c r="O30">
        <v>28398.32892</v>
      </c>
      <c r="P30">
        <v>340.13296059999999</v>
      </c>
      <c r="Q30">
        <v>853.62899960000004</v>
      </c>
      <c r="R30">
        <v>323.80563319999999</v>
      </c>
      <c r="S30">
        <v>24.28459951</v>
      </c>
      <c r="T30">
        <v>733.92406570000003</v>
      </c>
      <c r="U30">
        <v>103113.03019999999</v>
      </c>
      <c r="V30">
        <v>12.962445280000001</v>
      </c>
      <c r="W30">
        <v>19856.728070000001</v>
      </c>
      <c r="X30">
        <v>7821.6382860000003</v>
      </c>
      <c r="Y30">
        <v>1404.2542510000001</v>
      </c>
      <c r="Z30">
        <v>28.735062379999999</v>
      </c>
    </row>
    <row r="31" spans="1:26" x14ac:dyDescent="0.25">
      <c r="A31">
        <v>2033</v>
      </c>
      <c r="B31">
        <v>252139.41990000001</v>
      </c>
      <c r="C31">
        <v>2029.692712</v>
      </c>
      <c r="D31">
        <v>29048.26009</v>
      </c>
      <c r="E31">
        <v>19132.69544</v>
      </c>
      <c r="F31">
        <v>514.42166090000001</v>
      </c>
      <c r="G31">
        <v>412.19560999999999</v>
      </c>
      <c r="H31">
        <v>1211.00765</v>
      </c>
      <c r="I31">
        <v>61.920613760000002</v>
      </c>
      <c r="J31">
        <v>129.66877819999999</v>
      </c>
      <c r="K31">
        <v>1308.7480430000001</v>
      </c>
      <c r="L31">
        <v>6.4341756620000004</v>
      </c>
      <c r="M31">
        <v>11.412850280000001</v>
      </c>
      <c r="N31">
        <v>33269.189680000003</v>
      </c>
      <c r="O31">
        <v>28095.78671</v>
      </c>
      <c r="P31">
        <v>341.32172910000003</v>
      </c>
      <c r="Q31">
        <v>857.05978010000001</v>
      </c>
      <c r="R31">
        <v>331.52998289999999</v>
      </c>
      <c r="S31">
        <v>25.07363213</v>
      </c>
      <c r="T31">
        <v>745.19545630000005</v>
      </c>
      <c r="U31">
        <v>105942.038</v>
      </c>
      <c r="V31">
        <v>12.5035156</v>
      </c>
      <c r="W31">
        <v>19429.956600000001</v>
      </c>
      <c r="X31">
        <v>7852.8112179999998</v>
      </c>
      <c r="Y31">
        <v>1370.495919</v>
      </c>
      <c r="Z31">
        <v>29.381365370000001</v>
      </c>
    </row>
    <row r="32" spans="1:26" x14ac:dyDescent="0.25">
      <c r="A32">
        <v>2034</v>
      </c>
      <c r="B32">
        <v>255401.4093</v>
      </c>
      <c r="C32">
        <v>2029.7968599999999</v>
      </c>
      <c r="D32">
        <v>29025.516090000001</v>
      </c>
      <c r="E32">
        <v>19819.95865</v>
      </c>
      <c r="F32">
        <v>530.43645479999998</v>
      </c>
      <c r="G32">
        <v>425.2119616</v>
      </c>
      <c r="H32">
        <v>1242.9475480000001</v>
      </c>
      <c r="I32">
        <v>61.703719900000003</v>
      </c>
      <c r="J32">
        <v>130.16240500000001</v>
      </c>
      <c r="K32">
        <v>1349.9720179999999</v>
      </c>
      <c r="L32">
        <v>6.4382976669999996</v>
      </c>
      <c r="M32">
        <v>11.51516522</v>
      </c>
      <c r="N32">
        <v>32783.268300000003</v>
      </c>
      <c r="O32">
        <v>28537.290260000002</v>
      </c>
      <c r="P32">
        <v>342.55430999999999</v>
      </c>
      <c r="Q32">
        <v>860.70025450000003</v>
      </c>
      <c r="R32">
        <v>339.55906870000001</v>
      </c>
      <c r="S32">
        <v>25.869120259999999</v>
      </c>
      <c r="T32">
        <v>756.95500289999995</v>
      </c>
      <c r="U32">
        <v>108835.9452</v>
      </c>
      <c r="V32">
        <v>12.08056139</v>
      </c>
      <c r="W32">
        <v>19033.334750000002</v>
      </c>
      <c r="X32">
        <v>7903.4224809999996</v>
      </c>
      <c r="Y32">
        <v>1336.7707519999999</v>
      </c>
      <c r="Z32">
        <v>30.058792329999999</v>
      </c>
    </row>
    <row r="33" spans="1:26" x14ac:dyDescent="0.25">
      <c r="A33">
        <v>2035</v>
      </c>
      <c r="B33">
        <v>257704.93799999999</v>
      </c>
      <c r="C33">
        <v>2029.7260269999999</v>
      </c>
      <c r="D33">
        <v>29010.402529999999</v>
      </c>
      <c r="E33">
        <v>20473.701590000001</v>
      </c>
      <c r="F33">
        <v>546.59657130000005</v>
      </c>
      <c r="G33">
        <v>438.22457320000001</v>
      </c>
      <c r="H33">
        <v>1275.1753249999999</v>
      </c>
      <c r="I33">
        <v>61.466772120000002</v>
      </c>
      <c r="J33">
        <v>130.5150031</v>
      </c>
      <c r="K33">
        <v>1391.5505539999999</v>
      </c>
      <c r="L33">
        <v>6.4228051730000004</v>
      </c>
      <c r="M33">
        <v>11.60110845</v>
      </c>
      <c r="N33">
        <v>32299.875240000001</v>
      </c>
      <c r="O33">
        <v>28057.314610000001</v>
      </c>
      <c r="P33">
        <v>343.75304290000003</v>
      </c>
      <c r="Q33">
        <v>864.34884539999996</v>
      </c>
      <c r="R33">
        <v>347.4903554</v>
      </c>
      <c r="S33">
        <v>26.675484690000001</v>
      </c>
      <c r="T33">
        <v>768.6077196</v>
      </c>
      <c r="U33">
        <v>111726.1937</v>
      </c>
      <c r="V33">
        <v>11.669612369999999</v>
      </c>
      <c r="W33">
        <v>18617.130249999998</v>
      </c>
      <c r="X33">
        <v>7963.808086</v>
      </c>
      <c r="Y33">
        <v>1302.6882410000001</v>
      </c>
      <c r="Z33">
        <v>30.562760260000001</v>
      </c>
    </row>
    <row r="34" spans="1:26" x14ac:dyDescent="0.25">
      <c r="A34">
        <v>2036</v>
      </c>
      <c r="B34">
        <v>260568.71840000001</v>
      </c>
      <c r="C34">
        <v>2029.6520929999999</v>
      </c>
      <c r="D34">
        <v>29005.103889999999</v>
      </c>
      <c r="E34">
        <v>21104.715100000001</v>
      </c>
      <c r="F34">
        <v>562.40969370000005</v>
      </c>
      <c r="G34">
        <v>451.02684440000002</v>
      </c>
      <c r="H34">
        <v>1306.7904980000001</v>
      </c>
      <c r="I34">
        <v>61.281607170000001</v>
      </c>
      <c r="J34">
        <v>131.04415130000001</v>
      </c>
      <c r="K34">
        <v>1432.289892</v>
      </c>
      <c r="L34">
        <v>6.4228467550000001</v>
      </c>
      <c r="M34">
        <v>11.70344354</v>
      </c>
      <c r="N34">
        <v>31837.988860000001</v>
      </c>
      <c r="O34">
        <v>28124.823189999999</v>
      </c>
      <c r="P34">
        <v>344.88868150000002</v>
      </c>
      <c r="Q34">
        <v>867.94813769999996</v>
      </c>
      <c r="R34">
        <v>355.44765560000002</v>
      </c>
      <c r="S34">
        <v>27.462213070000001</v>
      </c>
      <c r="T34">
        <v>780.13415680000003</v>
      </c>
      <c r="U34">
        <v>114588.8325</v>
      </c>
      <c r="V34">
        <v>11.29178626</v>
      </c>
      <c r="W34">
        <v>18222.104149999999</v>
      </c>
      <c r="X34">
        <v>8035.3057349999999</v>
      </c>
      <c r="Y34">
        <v>1270.0512369999999</v>
      </c>
      <c r="Z34">
        <v>31.08085531</v>
      </c>
    </row>
    <row r="35" spans="1:26" x14ac:dyDescent="0.25">
      <c r="A35">
        <v>2037</v>
      </c>
      <c r="B35">
        <v>263060.4129</v>
      </c>
      <c r="C35">
        <v>2029.4823779999999</v>
      </c>
      <c r="D35">
        <v>29006.751130000001</v>
      </c>
      <c r="E35">
        <v>21709.739130000002</v>
      </c>
      <c r="F35">
        <v>577.83827710000003</v>
      </c>
      <c r="G35">
        <v>463.48026249999998</v>
      </c>
      <c r="H35">
        <v>1337.615681</v>
      </c>
      <c r="I35">
        <v>61.099798399999997</v>
      </c>
      <c r="J35">
        <v>131.55486379999999</v>
      </c>
      <c r="K35">
        <v>1472.061608</v>
      </c>
      <c r="L35">
        <v>6.4186755099999999</v>
      </c>
      <c r="M35">
        <v>11.803095000000001</v>
      </c>
      <c r="N35">
        <v>31388.246419999999</v>
      </c>
      <c r="O35">
        <v>27891.55918</v>
      </c>
      <c r="P35">
        <v>345.97507339999999</v>
      </c>
      <c r="Q35">
        <v>871.49760730000003</v>
      </c>
      <c r="R35">
        <v>363.2114138</v>
      </c>
      <c r="S35">
        <v>28.230603500000001</v>
      </c>
      <c r="T35">
        <v>791.49466729999995</v>
      </c>
      <c r="U35">
        <v>117384.72900000001</v>
      </c>
      <c r="V35">
        <v>10.934773460000001</v>
      </c>
      <c r="W35">
        <v>17825.288980000001</v>
      </c>
      <c r="X35">
        <v>8112.9430949999996</v>
      </c>
      <c r="Y35">
        <v>1238.457249</v>
      </c>
      <c r="Z35">
        <v>31.5013343</v>
      </c>
    </row>
    <row r="36" spans="1:26" x14ac:dyDescent="0.25">
      <c r="A36">
        <v>2038</v>
      </c>
      <c r="B36">
        <v>265659.43150000001</v>
      </c>
      <c r="C36">
        <v>2029.261853</v>
      </c>
      <c r="D36">
        <v>29015.25114</v>
      </c>
      <c r="E36">
        <v>22293.948520000002</v>
      </c>
      <c r="F36">
        <v>592.81397040000002</v>
      </c>
      <c r="G36">
        <v>475.58769139999998</v>
      </c>
      <c r="H36">
        <v>1367.506942</v>
      </c>
      <c r="I36">
        <v>60.934483299999997</v>
      </c>
      <c r="J36">
        <v>132.10537479999999</v>
      </c>
      <c r="K36">
        <v>1510.706774</v>
      </c>
      <c r="L36">
        <v>6.4180739239999998</v>
      </c>
      <c r="M36">
        <v>11.90699139</v>
      </c>
      <c r="N36">
        <v>30951.370159999999</v>
      </c>
      <c r="O36">
        <v>27821.78239</v>
      </c>
      <c r="P36">
        <v>347.00866680000001</v>
      </c>
      <c r="Q36">
        <v>874.99448610000002</v>
      </c>
      <c r="R36">
        <v>370.8175554</v>
      </c>
      <c r="S36">
        <v>28.975825740000001</v>
      </c>
      <c r="T36">
        <v>802.66271689999996</v>
      </c>
      <c r="U36">
        <v>120112.5468</v>
      </c>
      <c r="V36">
        <v>10.59963879</v>
      </c>
      <c r="W36">
        <v>17437.170160000001</v>
      </c>
      <c r="X36">
        <v>8197.12837699999</v>
      </c>
      <c r="Y36">
        <v>1207.9329110000001</v>
      </c>
      <c r="Z36">
        <v>31.854646209999999</v>
      </c>
    </row>
    <row r="37" spans="1:26" x14ac:dyDescent="0.25">
      <c r="A37">
        <v>2039</v>
      </c>
      <c r="B37">
        <v>268123.51929999999</v>
      </c>
      <c r="C37">
        <v>2028.9656230000001</v>
      </c>
      <c r="D37">
        <v>29029.7673</v>
      </c>
      <c r="E37">
        <v>22855.68074</v>
      </c>
      <c r="F37">
        <v>607.39152479999996</v>
      </c>
      <c r="G37">
        <v>487.3638133</v>
      </c>
      <c r="H37">
        <v>1396.5688749999999</v>
      </c>
      <c r="I37">
        <v>60.774390619999998</v>
      </c>
      <c r="J37">
        <v>132.65264089999999</v>
      </c>
      <c r="K37">
        <v>1548.3564100000001</v>
      </c>
      <c r="L37">
        <v>6.4162632070000001</v>
      </c>
      <c r="M37">
        <v>12.010569289999999</v>
      </c>
      <c r="N37">
        <v>30525.391</v>
      </c>
      <c r="O37">
        <v>27682.87355</v>
      </c>
      <c r="P37">
        <v>347.99514479999999</v>
      </c>
      <c r="Q37">
        <v>878.45331620000002</v>
      </c>
      <c r="R37">
        <v>378.24101889999997</v>
      </c>
      <c r="S37">
        <v>29.70144672</v>
      </c>
      <c r="T37">
        <v>813.6561375</v>
      </c>
      <c r="U37">
        <v>122773.7306</v>
      </c>
      <c r="V37">
        <v>10.282129279999999</v>
      </c>
      <c r="W37">
        <v>17052.655470000002</v>
      </c>
      <c r="X37">
        <v>8286.268564</v>
      </c>
      <c r="Y37">
        <v>1178.3227750000001</v>
      </c>
      <c r="Z37">
        <v>32.12081165</v>
      </c>
    </row>
    <row r="38" spans="1:26" x14ac:dyDescent="0.25">
      <c r="A38">
        <v>2040</v>
      </c>
      <c r="B38">
        <v>270343.15019999997</v>
      </c>
      <c r="C38">
        <v>2028.9869510000001</v>
      </c>
      <c r="D38">
        <v>29341.17338</v>
      </c>
      <c r="E38">
        <v>23387.05459</v>
      </c>
      <c r="F38">
        <v>620.37024940000003</v>
      </c>
      <c r="G38">
        <v>497.7970957</v>
      </c>
      <c r="H38">
        <v>1422.2250570000001</v>
      </c>
      <c r="I38">
        <v>60.634219850000001</v>
      </c>
      <c r="J38">
        <v>133.12385639999999</v>
      </c>
      <c r="K38">
        <v>1581.9160489999999</v>
      </c>
      <c r="L38">
        <v>6.4060616359999996</v>
      </c>
      <c r="M38">
        <v>12.106955770000001</v>
      </c>
      <c r="N38">
        <v>30105.219959999999</v>
      </c>
      <c r="O38">
        <v>27300.2415</v>
      </c>
      <c r="P38">
        <v>348.91363180000002</v>
      </c>
      <c r="Q38">
        <v>881.83447679999995</v>
      </c>
      <c r="R38">
        <v>384.9589186</v>
      </c>
      <c r="S38">
        <v>30.346851869999998</v>
      </c>
      <c r="T38">
        <v>824.25604039999996</v>
      </c>
      <c r="U38">
        <v>125167.4709</v>
      </c>
      <c r="V38">
        <v>9.9756405459999904</v>
      </c>
      <c r="W38">
        <v>16669.595109999998</v>
      </c>
      <c r="X38">
        <v>8379.0394209999995</v>
      </c>
      <c r="Y38">
        <v>1149.5033330000001</v>
      </c>
      <c r="Z38">
        <v>32.236273050000001</v>
      </c>
    </row>
    <row r="39" spans="1:26" x14ac:dyDescent="0.25">
      <c r="A39">
        <v>2041</v>
      </c>
      <c r="B39">
        <v>272829.49920000002</v>
      </c>
      <c r="C39">
        <v>2029.150666</v>
      </c>
      <c r="D39">
        <v>29767.65814</v>
      </c>
      <c r="E39">
        <v>23894.66776</v>
      </c>
      <c r="F39">
        <v>632.36777229999996</v>
      </c>
      <c r="G39">
        <v>507.4650504</v>
      </c>
      <c r="H39">
        <v>1445.851776</v>
      </c>
      <c r="I39">
        <v>60.532028910000001</v>
      </c>
      <c r="J39">
        <v>133.6911571</v>
      </c>
      <c r="K39">
        <v>1613.0005699999999</v>
      </c>
      <c r="L39">
        <v>6.4033354530000004</v>
      </c>
      <c r="M39">
        <v>12.21121372</v>
      </c>
      <c r="N39">
        <v>29701.204860000002</v>
      </c>
      <c r="O39">
        <v>27187.537069999998</v>
      </c>
      <c r="P39">
        <v>349.77107799999999</v>
      </c>
      <c r="Q39">
        <v>884.92731349999997</v>
      </c>
      <c r="R39">
        <v>391.35282610000002</v>
      </c>
      <c r="S39">
        <v>30.941542640000002</v>
      </c>
      <c r="T39">
        <v>834.65423060000001</v>
      </c>
      <c r="U39">
        <v>127416.08960000001</v>
      </c>
      <c r="V39">
        <v>9.6970615680000005</v>
      </c>
      <c r="W39">
        <v>16324.60605</v>
      </c>
      <c r="X39">
        <v>8473.9026959999901</v>
      </c>
      <c r="Y39">
        <v>1121.815398</v>
      </c>
      <c r="Z39">
        <v>32.335766399999997</v>
      </c>
    </row>
    <row r="40" spans="1:26" x14ac:dyDescent="0.25">
      <c r="A40">
        <v>2042</v>
      </c>
      <c r="B40">
        <v>275347.96500000003</v>
      </c>
      <c r="C40">
        <v>2029.3346489999999</v>
      </c>
      <c r="D40">
        <v>30240.326819999998</v>
      </c>
      <c r="E40">
        <v>24378.798569999999</v>
      </c>
      <c r="F40">
        <v>643.84792219999997</v>
      </c>
      <c r="G40">
        <v>516.71977930000003</v>
      </c>
      <c r="H40">
        <v>1468.4172160000001</v>
      </c>
      <c r="I40">
        <v>60.450671290000003</v>
      </c>
      <c r="J40">
        <v>134.3029128</v>
      </c>
      <c r="K40">
        <v>1642.7880399999999</v>
      </c>
      <c r="L40">
        <v>6.4031255290000004</v>
      </c>
      <c r="M40">
        <v>12.3188174</v>
      </c>
      <c r="N40">
        <v>29308.890220000001</v>
      </c>
      <c r="O40">
        <v>27139.168720000001</v>
      </c>
      <c r="P40">
        <v>350.60795969999998</v>
      </c>
      <c r="Q40">
        <v>887.94843470000001</v>
      </c>
      <c r="R40">
        <v>397.5612185</v>
      </c>
      <c r="S40">
        <v>31.509928420000001</v>
      </c>
      <c r="T40">
        <v>845.04775289999998</v>
      </c>
      <c r="U40">
        <v>129586.14870000001</v>
      </c>
      <c r="V40">
        <v>9.436387281</v>
      </c>
      <c r="W40">
        <v>15991.720649999999</v>
      </c>
      <c r="X40">
        <v>8570.4721360000003</v>
      </c>
      <c r="Y40">
        <v>1095.744365</v>
      </c>
      <c r="Z40">
        <v>32.429703439999997</v>
      </c>
    </row>
    <row r="41" spans="1:26" x14ac:dyDescent="0.25">
      <c r="A41">
        <v>2043</v>
      </c>
      <c r="B41">
        <v>277415.5404</v>
      </c>
      <c r="C41">
        <v>2029.433722</v>
      </c>
      <c r="D41">
        <v>30735.061399999999</v>
      </c>
      <c r="E41">
        <v>24833.024020000001</v>
      </c>
      <c r="F41">
        <v>655.15167719999999</v>
      </c>
      <c r="G41">
        <v>525.77637600000003</v>
      </c>
      <c r="H41">
        <v>1490.632214</v>
      </c>
      <c r="I41">
        <v>60.36537818</v>
      </c>
      <c r="J41">
        <v>134.86485680000001</v>
      </c>
      <c r="K41">
        <v>1672.1305600000001</v>
      </c>
      <c r="L41">
        <v>6.3949406890000002</v>
      </c>
      <c r="M41">
        <v>12.420296649999999</v>
      </c>
      <c r="N41">
        <v>28925.723450000001</v>
      </c>
      <c r="O41">
        <v>26678.794040000001</v>
      </c>
      <c r="P41">
        <v>351.40564360000002</v>
      </c>
      <c r="Q41">
        <v>890.91293250000001</v>
      </c>
      <c r="R41">
        <v>403.6271883</v>
      </c>
      <c r="S41">
        <v>32.070995549999999</v>
      </c>
      <c r="T41">
        <v>855.30326869999999</v>
      </c>
      <c r="U41">
        <v>131717.0135</v>
      </c>
      <c r="V41">
        <v>9.1854099930000004</v>
      </c>
      <c r="W41">
        <v>15658.7453</v>
      </c>
      <c r="X41">
        <v>8666.9008709999998</v>
      </c>
      <c r="Y41">
        <v>1070.602359</v>
      </c>
      <c r="Z41">
        <v>32.486055149999999</v>
      </c>
    </row>
    <row r="42" spans="1:26" x14ac:dyDescent="0.25">
      <c r="A42">
        <v>2044</v>
      </c>
      <c r="B42">
        <v>279889.76860000001</v>
      </c>
      <c r="C42">
        <v>2029.5149879999999</v>
      </c>
      <c r="D42">
        <v>31236.963199999998</v>
      </c>
      <c r="E42">
        <v>25264.970939999999</v>
      </c>
      <c r="F42">
        <v>666.29694900000004</v>
      </c>
      <c r="G42">
        <v>534.75319850000005</v>
      </c>
      <c r="H42">
        <v>1512.5518649999999</v>
      </c>
      <c r="I42">
        <v>60.308259810000003</v>
      </c>
      <c r="J42">
        <v>135.51634329999999</v>
      </c>
      <c r="K42">
        <v>1701.104568</v>
      </c>
      <c r="L42">
        <v>6.3950284249999996</v>
      </c>
      <c r="M42">
        <v>12.530659979999999</v>
      </c>
      <c r="N42">
        <v>28555.528030000001</v>
      </c>
      <c r="O42">
        <v>26617.75087</v>
      </c>
      <c r="P42">
        <v>352.1892939</v>
      </c>
      <c r="Q42">
        <v>893.8876338</v>
      </c>
      <c r="R42">
        <v>409.70838300000003</v>
      </c>
      <c r="S42">
        <v>32.622946769999999</v>
      </c>
      <c r="T42">
        <v>865.56683780000003</v>
      </c>
      <c r="U42">
        <v>133835.3866</v>
      </c>
      <c r="V42">
        <v>8.9489104630000007</v>
      </c>
      <c r="W42">
        <v>15344.69613</v>
      </c>
      <c r="X42">
        <v>8766.048632</v>
      </c>
      <c r="Y42">
        <v>1046.528278</v>
      </c>
      <c r="Z42">
        <v>32.604528219999999</v>
      </c>
    </row>
    <row r="43" spans="1:26" x14ac:dyDescent="0.25">
      <c r="A43">
        <v>2045</v>
      </c>
      <c r="B43">
        <v>282463.58549999999</v>
      </c>
      <c r="C43">
        <v>2029.524228</v>
      </c>
      <c r="D43">
        <v>31744.2628</v>
      </c>
      <c r="E43">
        <v>25675.896059999999</v>
      </c>
      <c r="F43">
        <v>677.42569609999998</v>
      </c>
      <c r="G43">
        <v>543.72590609999997</v>
      </c>
      <c r="H43">
        <v>1534.4419130000001</v>
      </c>
      <c r="I43">
        <v>60.258444879999999</v>
      </c>
      <c r="J43">
        <v>136.17058710000001</v>
      </c>
      <c r="K43">
        <v>1730.0595499999999</v>
      </c>
      <c r="L43">
        <v>6.3945407970000003</v>
      </c>
      <c r="M43">
        <v>12.641652560000001</v>
      </c>
      <c r="N43">
        <v>28190.495989999999</v>
      </c>
      <c r="O43">
        <v>26658.488799999999</v>
      </c>
      <c r="P43">
        <v>352.9913411</v>
      </c>
      <c r="Q43">
        <v>896.92785519999995</v>
      </c>
      <c r="R43">
        <v>415.77892279999998</v>
      </c>
      <c r="S43">
        <v>33.174248650000003</v>
      </c>
      <c r="T43">
        <v>875.96126189999995</v>
      </c>
      <c r="U43">
        <v>135949.75820000001</v>
      </c>
      <c r="V43">
        <v>8.7193757240000007</v>
      </c>
      <c r="W43">
        <v>15041.194589999999</v>
      </c>
      <c r="X43">
        <v>8866.5949579999997</v>
      </c>
      <c r="Y43">
        <v>1022.698629</v>
      </c>
      <c r="Z43">
        <v>32.750171969999997</v>
      </c>
    </row>
    <row r="44" spans="1:26" x14ac:dyDescent="0.25">
      <c r="A44">
        <v>2046</v>
      </c>
      <c r="B44">
        <v>284624.92839999998</v>
      </c>
      <c r="C44">
        <v>2029.402059</v>
      </c>
      <c r="D44">
        <v>32260.49224</v>
      </c>
      <c r="E44">
        <v>26058.916519999999</v>
      </c>
      <c r="F44">
        <v>688.68710490000001</v>
      </c>
      <c r="G44">
        <v>552.75028729999997</v>
      </c>
      <c r="H44">
        <v>1556.677848</v>
      </c>
      <c r="I44">
        <v>60.209039799999999</v>
      </c>
      <c r="J44">
        <v>136.80810690000001</v>
      </c>
      <c r="K44">
        <v>1759.362623</v>
      </c>
      <c r="L44">
        <v>6.3884112640000001</v>
      </c>
      <c r="M44">
        <v>12.749103270000001</v>
      </c>
      <c r="N44">
        <v>27837.59578</v>
      </c>
      <c r="O44">
        <v>26273.944370000001</v>
      </c>
      <c r="P44">
        <v>353.77229</v>
      </c>
      <c r="Q44">
        <v>899.98110229999998</v>
      </c>
      <c r="R44">
        <v>421.87045499999999</v>
      </c>
      <c r="S44">
        <v>33.73353659</v>
      </c>
      <c r="T44">
        <v>886.38143700000001</v>
      </c>
      <c r="U44">
        <v>138082.18299999999</v>
      </c>
      <c r="V44">
        <v>8.49693744</v>
      </c>
      <c r="W44">
        <v>14739.879790000001</v>
      </c>
      <c r="X44">
        <v>8965.1857679999903</v>
      </c>
      <c r="Y44">
        <v>999.46055049999995</v>
      </c>
      <c r="Z44">
        <v>32.922498390000001</v>
      </c>
    </row>
    <row r="45" spans="1:26" x14ac:dyDescent="0.25">
      <c r="A45">
        <v>2047</v>
      </c>
      <c r="B45">
        <v>287338.60989999998</v>
      </c>
      <c r="C45">
        <v>2029.2434479999999</v>
      </c>
      <c r="D45">
        <v>32781.130089999999</v>
      </c>
      <c r="E45">
        <v>26426.352050000001</v>
      </c>
      <c r="F45">
        <v>699.99112639999998</v>
      </c>
      <c r="G45">
        <v>561.87051980000001</v>
      </c>
      <c r="H45">
        <v>1579.0551250000001</v>
      </c>
      <c r="I45">
        <v>60.192638680000002</v>
      </c>
      <c r="J45">
        <v>137.56503850000001</v>
      </c>
      <c r="K45">
        <v>1788.8168330000001</v>
      </c>
      <c r="L45">
        <v>6.3934906150000002</v>
      </c>
      <c r="M45">
        <v>12.868108380000001</v>
      </c>
      <c r="N45">
        <v>27498.400300000001</v>
      </c>
      <c r="O45">
        <v>26387.15799</v>
      </c>
      <c r="P45">
        <v>354.5636002</v>
      </c>
      <c r="Q45">
        <v>903.09747900000002</v>
      </c>
      <c r="R45">
        <v>428.09641440000001</v>
      </c>
      <c r="S45">
        <v>34.293345930000001</v>
      </c>
      <c r="T45">
        <v>896.99944119999998</v>
      </c>
      <c r="U45">
        <v>140241.11300000001</v>
      </c>
      <c r="V45">
        <v>8.2866386839999997</v>
      </c>
      <c r="W45">
        <v>14460.69974</v>
      </c>
      <c r="X45">
        <v>9065.4941290000006</v>
      </c>
      <c r="Y45">
        <v>976.9293758</v>
      </c>
      <c r="Z45">
        <v>33.198924429999998</v>
      </c>
    </row>
    <row r="46" spans="1:26" x14ac:dyDescent="0.25">
      <c r="A46">
        <v>2048</v>
      </c>
      <c r="B46">
        <v>289898.82069999998</v>
      </c>
      <c r="C46">
        <v>2028.953379</v>
      </c>
      <c r="D46">
        <v>33312.204169999997</v>
      </c>
      <c r="E46">
        <v>26775.005949999999</v>
      </c>
      <c r="F46">
        <v>711.50841660000003</v>
      </c>
      <c r="G46">
        <v>571.13626520000003</v>
      </c>
      <c r="H46">
        <v>1601.928328</v>
      </c>
      <c r="I46">
        <v>60.179304530000003</v>
      </c>
      <c r="J46">
        <v>138.31842219999999</v>
      </c>
      <c r="K46">
        <v>1818.8329080000001</v>
      </c>
      <c r="L46">
        <v>6.395338958</v>
      </c>
      <c r="M46">
        <v>12.98546337</v>
      </c>
      <c r="N46">
        <v>27166.715889999999</v>
      </c>
      <c r="O46">
        <v>26305.471860000001</v>
      </c>
      <c r="P46">
        <v>355.37304460000001</v>
      </c>
      <c r="Q46">
        <v>906.28441009999995</v>
      </c>
      <c r="R46">
        <v>434.39995470000002</v>
      </c>
      <c r="S46">
        <v>34.86461868</v>
      </c>
      <c r="T46">
        <v>907.87930319999998</v>
      </c>
      <c r="U46">
        <v>142434.09419999999</v>
      </c>
      <c r="V46">
        <v>8.0824917289999902</v>
      </c>
      <c r="W46">
        <v>14188.311970000001</v>
      </c>
      <c r="X46">
        <v>9164.9924489999994</v>
      </c>
      <c r="Y46">
        <v>954.90249070000004</v>
      </c>
      <c r="Z46">
        <v>33.520777440000003</v>
      </c>
    </row>
    <row r="47" spans="1:26" x14ac:dyDescent="0.25">
      <c r="A47">
        <v>2049</v>
      </c>
      <c r="B47">
        <v>292473.80739999999</v>
      </c>
      <c r="C47">
        <v>2028.541995</v>
      </c>
      <c r="D47">
        <v>33852.880700000002</v>
      </c>
      <c r="E47">
        <v>27107.80431</v>
      </c>
      <c r="F47">
        <v>723.22371740000006</v>
      </c>
      <c r="G47">
        <v>580.55539269999997</v>
      </c>
      <c r="H47">
        <v>1625.2640449999999</v>
      </c>
      <c r="I47">
        <v>60.174171090000002</v>
      </c>
      <c r="J47">
        <v>139.09359259999999</v>
      </c>
      <c r="K47">
        <v>1849.3784989999999</v>
      </c>
      <c r="L47">
        <v>6.3971022790000003</v>
      </c>
      <c r="M47">
        <v>13.10385782</v>
      </c>
      <c r="N47">
        <v>26843.851780000001</v>
      </c>
      <c r="O47">
        <v>26189.021219999999</v>
      </c>
      <c r="P47">
        <v>356.18696519999997</v>
      </c>
      <c r="Q47">
        <v>909.51311120000003</v>
      </c>
      <c r="R47">
        <v>440.8005339</v>
      </c>
      <c r="S47">
        <v>35.446050329999998</v>
      </c>
      <c r="T47">
        <v>918.91212250000001</v>
      </c>
      <c r="U47">
        <v>144662.49739999999</v>
      </c>
      <c r="V47">
        <v>7.8851002289999998</v>
      </c>
      <c r="W47">
        <v>13925.776970000001</v>
      </c>
      <c r="X47">
        <v>9264.0727330000009</v>
      </c>
      <c r="Y47">
        <v>933.42596639999999</v>
      </c>
      <c r="Z47">
        <v>33.89514243</v>
      </c>
    </row>
    <row r="48" spans="1:26" x14ac:dyDescent="0.25">
      <c r="A48">
        <v>2050</v>
      </c>
      <c r="B48">
        <v>295197.14929999999</v>
      </c>
      <c r="C48">
        <v>2028.021661</v>
      </c>
      <c r="D48">
        <v>34402.121500000001</v>
      </c>
      <c r="E48">
        <v>27423.60039</v>
      </c>
      <c r="F48">
        <v>735.110409</v>
      </c>
      <c r="G48">
        <v>590.12363100000005</v>
      </c>
      <c r="H48">
        <v>1649.0070250000001</v>
      </c>
      <c r="I48">
        <v>60.182293610000002</v>
      </c>
      <c r="J48">
        <v>139.91302809999999</v>
      </c>
      <c r="K48">
        <v>1880.3914950000001</v>
      </c>
      <c r="L48">
        <v>6.4014144169999998</v>
      </c>
      <c r="M48">
        <v>13.22561312</v>
      </c>
      <c r="N48">
        <v>26529.84246</v>
      </c>
      <c r="O48">
        <v>26170.295129999999</v>
      </c>
      <c r="P48">
        <v>357.00294559999998</v>
      </c>
      <c r="Q48">
        <v>912.78049480000004</v>
      </c>
      <c r="R48">
        <v>447.31213020000001</v>
      </c>
      <c r="S48">
        <v>36.035838560000002</v>
      </c>
      <c r="T48">
        <v>930.14481139999998</v>
      </c>
      <c r="U48">
        <v>146926.0269</v>
      </c>
      <c r="V48">
        <v>7.6950037340000002</v>
      </c>
      <c r="W48">
        <v>13675.934310000001</v>
      </c>
      <c r="X48">
        <v>9363.4382619999997</v>
      </c>
      <c r="Y48">
        <v>912.54258679999998</v>
      </c>
      <c r="Z48">
        <v>34.343912680000003</v>
      </c>
    </row>
    <row r="49" spans="2:26" x14ac:dyDescent="0.25">
      <c r="B49" s="1">
        <f>(B48/B18)^(1/30)-1</f>
        <v>8.0421094832419104E-3</v>
      </c>
      <c r="C49" s="1">
        <f t="shared" ref="C49:Z49" si="0">(C48/C18)^(1/30)-1</f>
        <v>2.3422648491089326E-4</v>
      </c>
      <c r="D49" s="1">
        <f t="shared" si="0"/>
        <v>4.8957138763541241E-3</v>
      </c>
      <c r="E49" s="1">
        <f t="shared" si="0"/>
        <v>2.566440706304296E-2</v>
      </c>
      <c r="F49" s="1">
        <f t="shared" si="0"/>
        <v>2.3337780601958569E-2</v>
      </c>
      <c r="G49" s="1">
        <f t="shared" si="0"/>
        <v>2.3585563726509662E-2</v>
      </c>
      <c r="H49" s="1">
        <f t="shared" si="0"/>
        <v>1.8861880534199349E-2</v>
      </c>
      <c r="I49" s="1">
        <f t="shared" si="0"/>
        <v>-4.2132467664226514E-3</v>
      </c>
      <c r="J49" s="1">
        <f t="shared" si="0"/>
        <v>-1.5371101513800278E-3</v>
      </c>
      <c r="K49" s="1">
        <f t="shared" si="0"/>
        <v>2.3190718764205975E-2</v>
      </c>
      <c r="L49" s="1">
        <f t="shared" si="0"/>
        <v>-2.0556144089173278E-3</v>
      </c>
      <c r="M49" s="1">
        <f t="shared" si="0"/>
        <v>6.9376792641855367E-3</v>
      </c>
      <c r="N49" s="1">
        <f t="shared" si="0"/>
        <v>-1.2672558457503147E-2</v>
      </c>
      <c r="O49" s="1">
        <f t="shared" si="0"/>
        <v>-9.7271698357492831E-4</v>
      </c>
      <c r="P49" s="1">
        <f t="shared" si="0"/>
        <v>2.7107435211235487E-3</v>
      </c>
      <c r="Q49" s="1">
        <f t="shared" si="0"/>
        <v>2.7425239198672902E-3</v>
      </c>
      <c r="R49" s="1">
        <f t="shared" si="0"/>
        <v>1.7715102190401399E-2</v>
      </c>
      <c r="S49" s="1">
        <f t="shared" si="0"/>
        <v>2.3691749145582808E-2</v>
      </c>
      <c r="T49" s="1">
        <f t="shared" si="0"/>
        <v>1.2329452750936332E-2</v>
      </c>
      <c r="U49" s="1">
        <f t="shared" si="0"/>
        <v>2.0420069517262496E-2</v>
      </c>
      <c r="V49" s="1">
        <f t="shared" si="0"/>
        <v>-3.4528644078080428E-2</v>
      </c>
      <c r="W49" s="1">
        <f t="shared" si="0"/>
        <v>-2.3930473051873791E-2</v>
      </c>
      <c r="X49" s="1">
        <f t="shared" si="0"/>
        <v>9.7137084977665378E-3</v>
      </c>
      <c r="Y49" s="1">
        <f t="shared" si="0"/>
        <v>-1.5190425792443008E-2</v>
      </c>
      <c r="Z49" s="1" t="e">
        <f t="shared" si="0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B470-8BC2-438A-8A31-AD697111F297}">
  <dimension ref="A1:AY237"/>
  <sheetViews>
    <sheetView tabSelected="1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39" sqref="C39"/>
    </sheetView>
  </sheetViews>
  <sheetFormatPr baseColWidth="10" defaultRowHeight="15" x14ac:dyDescent="0.25"/>
  <cols>
    <col min="2" max="2" width="32.42578125" customWidth="1"/>
    <col min="3" max="3" width="81.7109375" customWidth="1"/>
    <col min="4" max="19" width="10.85546875" hidden="1" customWidth="1"/>
    <col min="20" max="20" width="10.85546875" customWidth="1"/>
    <col min="24" max="29" width="11.42578125" customWidth="1"/>
    <col min="31" max="34" width="0" hidden="1" customWidth="1"/>
    <col min="36" max="39" width="0" hidden="1" customWidth="1"/>
    <col min="41" max="49" width="0" hidden="1" customWidth="1"/>
  </cols>
  <sheetData>
    <row r="1" spans="1:50" ht="15.75" thickBot="1" x14ac:dyDescent="0.3">
      <c r="C1" s="28"/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  <c r="X1">
        <v>2024</v>
      </c>
      <c r="Y1">
        <v>2025</v>
      </c>
      <c r="Z1">
        <v>2026</v>
      </c>
      <c r="AA1">
        <v>2027</v>
      </c>
      <c r="AB1">
        <v>2028</v>
      </c>
      <c r="AC1">
        <v>2029</v>
      </c>
      <c r="AD1">
        <v>2030</v>
      </c>
      <c r="AE1">
        <v>2031</v>
      </c>
      <c r="AF1">
        <v>2032</v>
      </c>
      <c r="AG1">
        <v>2033</v>
      </c>
      <c r="AH1">
        <v>2034</v>
      </c>
      <c r="AI1">
        <v>2035</v>
      </c>
      <c r="AJ1">
        <v>2036</v>
      </c>
      <c r="AK1">
        <v>2037</v>
      </c>
      <c r="AL1">
        <v>2038</v>
      </c>
      <c r="AM1">
        <v>2039</v>
      </c>
      <c r="AN1">
        <v>2040</v>
      </c>
      <c r="AO1">
        <v>2041</v>
      </c>
      <c r="AP1">
        <v>2042</v>
      </c>
      <c r="AQ1">
        <v>2043</v>
      </c>
      <c r="AR1">
        <v>2044</v>
      </c>
      <c r="AS1">
        <v>2045</v>
      </c>
      <c r="AT1">
        <v>2046</v>
      </c>
      <c r="AU1">
        <v>2047</v>
      </c>
      <c r="AV1">
        <v>2048</v>
      </c>
      <c r="AW1">
        <v>2049</v>
      </c>
      <c r="AX1">
        <v>2050</v>
      </c>
    </row>
    <row r="2" spans="1:50" x14ac:dyDescent="0.25">
      <c r="A2" s="30"/>
      <c r="B2" s="14" t="s">
        <v>94</v>
      </c>
      <c r="C2" s="25" t="s">
        <v>133</v>
      </c>
      <c r="F2">
        <v>46046.847899999899</v>
      </c>
      <c r="G2">
        <v>41515.083299999998</v>
      </c>
      <c r="H2">
        <v>39594.513199999899</v>
      </c>
      <c r="I2">
        <v>69718.510299999907</v>
      </c>
      <c r="J2">
        <v>87488.348599999998</v>
      </c>
      <c r="K2">
        <v>77038.754599999898</v>
      </c>
      <c r="L2">
        <v>81118.732499999998</v>
      </c>
      <c r="M2">
        <v>92939.120999999999</v>
      </c>
      <c r="N2">
        <v>101137.91099999999</v>
      </c>
      <c r="O2">
        <v>107539.250999999</v>
      </c>
      <c r="P2">
        <v>112002.027</v>
      </c>
      <c r="Q2">
        <v>106420.947999999</v>
      </c>
      <c r="R2">
        <v>102279.61599999999</v>
      </c>
      <c r="S2">
        <v>108345.105</v>
      </c>
      <c r="T2">
        <v>123607.720999999</v>
      </c>
      <c r="U2">
        <v>139142.73199999999</v>
      </c>
      <c r="V2">
        <v>148016.42099999901</v>
      </c>
      <c r="W2">
        <v>160126.872</v>
      </c>
      <c r="X2">
        <v>168814.274999999</v>
      </c>
      <c r="Y2">
        <v>180400.68599999999</v>
      </c>
      <c r="Z2">
        <v>194747.03799999901</v>
      </c>
      <c r="AA2">
        <v>210868.31199999899</v>
      </c>
      <c r="AB2">
        <v>225696.611</v>
      </c>
      <c r="AC2">
        <v>240632.166999999</v>
      </c>
      <c r="AD2">
        <v>254458.85200000001</v>
      </c>
      <c r="AE2">
        <v>269491.64199999999</v>
      </c>
      <c r="AF2">
        <v>285171.44400000002</v>
      </c>
      <c r="AG2">
        <v>300672.08100000001</v>
      </c>
      <c r="AH2">
        <v>317224.10700000002</v>
      </c>
      <c r="AI2">
        <v>335142.04799999902</v>
      </c>
      <c r="AJ2">
        <v>353508.55799999897</v>
      </c>
      <c r="AK2">
        <v>374408.79899999901</v>
      </c>
      <c r="AL2">
        <v>396617.79699999897</v>
      </c>
      <c r="AM2">
        <v>419707.54899999901</v>
      </c>
      <c r="AN2">
        <v>444154.10499999998</v>
      </c>
      <c r="AO2">
        <v>470379.62399999902</v>
      </c>
      <c r="AP2">
        <v>498706.87099999998</v>
      </c>
      <c r="AQ2">
        <v>528110.02999999898</v>
      </c>
      <c r="AR2">
        <v>558501.83799999999</v>
      </c>
      <c r="AS2">
        <v>590076.10800000001</v>
      </c>
      <c r="AT2">
        <v>623118.38</v>
      </c>
      <c r="AU2">
        <v>657464.49399999995</v>
      </c>
      <c r="AV2">
        <v>693614.91799999995</v>
      </c>
      <c r="AW2">
        <v>731588.91699999897</v>
      </c>
      <c r="AX2">
        <v>769566.071</v>
      </c>
    </row>
    <row r="3" spans="1:50" x14ac:dyDescent="0.25">
      <c r="A3" s="31" t="s">
        <v>95</v>
      </c>
      <c r="B3" s="15" t="s">
        <v>96</v>
      </c>
      <c r="C3" s="25" t="s">
        <v>134</v>
      </c>
      <c r="F3">
        <v>2.61247156255364E-2</v>
      </c>
      <c r="G3">
        <v>2.27444199723629E-2</v>
      </c>
      <c r="H3">
        <v>2.1522202252119298E-2</v>
      </c>
      <c r="I3">
        <v>3.8636076230315203E-2</v>
      </c>
      <c r="J3">
        <v>4.7502792740004601E-2</v>
      </c>
      <c r="K3">
        <v>4.1135130891583403E-2</v>
      </c>
      <c r="L3">
        <v>4.3197439475360498E-2</v>
      </c>
      <c r="M3">
        <v>4.9103404884988502E-2</v>
      </c>
      <c r="N3">
        <v>5.2446889523165202E-2</v>
      </c>
      <c r="O3">
        <v>5.4724876284302199E-2</v>
      </c>
      <c r="P3">
        <v>5.5834332859289001E-2</v>
      </c>
      <c r="Q3">
        <v>5.1298635188608298E-2</v>
      </c>
      <c r="R3">
        <v>4.76202381268769E-2</v>
      </c>
      <c r="S3">
        <v>4.8286177065300397E-2</v>
      </c>
      <c r="T3">
        <v>5.3494859461421101E-2</v>
      </c>
      <c r="U3">
        <v>5.8288537296657401E-2</v>
      </c>
      <c r="V3">
        <v>6.0211742749687602E-2</v>
      </c>
      <c r="W3">
        <v>6.2828808180089402E-2</v>
      </c>
      <c r="X3">
        <v>6.4223791556562604E-2</v>
      </c>
      <c r="Y3">
        <v>6.6833525004087194E-2</v>
      </c>
      <c r="Z3">
        <v>7.0364834006587496E-2</v>
      </c>
      <c r="AA3">
        <v>7.4166453615655006E-2</v>
      </c>
      <c r="AB3">
        <v>7.7210770486739105E-2</v>
      </c>
      <c r="AC3">
        <v>8.0065450757277307E-2</v>
      </c>
      <c r="AD3">
        <v>8.2328169875164697E-2</v>
      </c>
      <c r="AE3">
        <v>8.47310840513847E-2</v>
      </c>
      <c r="AF3">
        <v>8.7058824205159299E-2</v>
      </c>
      <c r="AG3">
        <v>8.9077886167488601E-2</v>
      </c>
      <c r="AH3">
        <v>9.11567910828084E-2</v>
      </c>
      <c r="AI3">
        <v>9.3302269939513696E-2</v>
      </c>
      <c r="AJ3">
        <v>9.5276489193005298E-2</v>
      </c>
      <c r="AK3">
        <v>9.7641455100172095E-2</v>
      </c>
      <c r="AL3">
        <v>0.10002783023344899</v>
      </c>
      <c r="AM3">
        <v>0.102331906545094</v>
      </c>
      <c r="AN3">
        <v>0.10468288036936201</v>
      </c>
      <c r="AO3">
        <v>0.107208098080543</v>
      </c>
      <c r="AP3">
        <v>0.109873390752996</v>
      </c>
      <c r="AQ3">
        <v>0.112492552143657</v>
      </c>
      <c r="AR3">
        <v>0.115019372588168</v>
      </c>
      <c r="AS3">
        <v>0.117530687847391</v>
      </c>
      <c r="AT3">
        <v>0.120038096441622</v>
      </c>
      <c r="AU3">
        <v>0.122514564939982</v>
      </c>
      <c r="AV3">
        <v>0.12503401661653499</v>
      </c>
      <c r="AW3">
        <v>0.12758576142974601</v>
      </c>
      <c r="AX3">
        <v>0.12974965107445799</v>
      </c>
    </row>
    <row r="4" spans="1:50" x14ac:dyDescent="0.25">
      <c r="A4" s="31"/>
      <c r="B4" s="13" t="s">
        <v>97</v>
      </c>
      <c r="C4" s="25" t="s">
        <v>135</v>
      </c>
      <c r="E4">
        <v>912128.34170305706</v>
      </c>
      <c r="F4">
        <v>937425.07259999996</v>
      </c>
      <c r="G4">
        <v>961862.00450000004</v>
      </c>
      <c r="H4">
        <v>986659.89729999995</v>
      </c>
      <c r="I4">
        <v>1008523.498</v>
      </c>
      <c r="J4">
        <v>1032902.336</v>
      </c>
      <c r="K4">
        <v>1047851.843</v>
      </c>
      <c r="L4">
        <v>1070612.0560000001</v>
      </c>
      <c r="M4">
        <v>1095908.192</v>
      </c>
      <c r="N4">
        <v>1121771.642</v>
      </c>
      <c r="O4">
        <v>1148883.034</v>
      </c>
      <c r="P4">
        <v>1175814.398</v>
      </c>
      <c r="Q4">
        <v>1206902.7879999999</v>
      </c>
      <c r="R4">
        <v>1245996.2320000001</v>
      </c>
      <c r="S4">
        <v>1296419.371</v>
      </c>
      <c r="T4">
        <v>1350708.45</v>
      </c>
      <c r="U4">
        <v>1402975.7320000001</v>
      </c>
      <c r="V4">
        <v>1451638.585</v>
      </c>
      <c r="W4">
        <v>1509929.6640000001</v>
      </c>
      <c r="X4">
        <v>1562894.733</v>
      </c>
      <c r="Y4">
        <v>1614378.0090000001</v>
      </c>
      <c r="Z4">
        <v>1666703.577</v>
      </c>
      <c r="AA4">
        <v>1720982.7069999999</v>
      </c>
      <c r="AB4">
        <v>1777230.7520000001</v>
      </c>
      <c r="AC4">
        <v>1834921.3629999999</v>
      </c>
      <c r="AD4">
        <v>1894585.2590000001</v>
      </c>
      <c r="AE4">
        <v>1956461.9680000001</v>
      </c>
      <c r="AF4">
        <v>2020712.2560000001</v>
      </c>
      <c r="AG4">
        <v>2087899.888</v>
      </c>
      <c r="AH4">
        <v>2158999.0660000001</v>
      </c>
      <c r="AI4">
        <v>2234346.8709999998</v>
      </c>
      <c r="AJ4">
        <v>2314702.1009999998</v>
      </c>
      <c r="AK4">
        <v>2400777.2969999998</v>
      </c>
      <c r="AL4">
        <v>2490977.0699999998</v>
      </c>
      <c r="AM4">
        <v>2585434.4249999998</v>
      </c>
      <c r="AN4">
        <v>2683857.5649999999</v>
      </c>
      <c r="AO4">
        <v>2787150.898</v>
      </c>
      <c r="AP4">
        <v>2895092.8390000002</v>
      </c>
      <c r="AQ4">
        <v>3006720.9559999998</v>
      </c>
      <c r="AR4">
        <v>3121990.2450000001</v>
      </c>
      <c r="AS4">
        <v>3240852.909</v>
      </c>
      <c r="AT4">
        <v>3363392.2710000002</v>
      </c>
      <c r="AU4">
        <v>3490292.9610000001</v>
      </c>
      <c r="AV4">
        <v>3621928.0440000002</v>
      </c>
      <c r="AW4">
        <v>3758278.3689999999</v>
      </c>
      <c r="AX4">
        <v>3899770.5359999998</v>
      </c>
    </row>
    <row r="5" spans="1:50" x14ac:dyDescent="0.25">
      <c r="A5" s="31"/>
      <c r="B5" s="8" t="s">
        <v>98</v>
      </c>
      <c r="C5" s="25" t="s">
        <v>136</v>
      </c>
      <c r="D5">
        <v>225891.81435188401</v>
      </c>
      <c r="E5">
        <v>234108.95210804199</v>
      </c>
      <c r="F5">
        <v>242473.938303237</v>
      </c>
      <c r="G5">
        <v>250402.08440805299</v>
      </c>
      <c r="H5">
        <v>256846.06168309599</v>
      </c>
      <c r="I5">
        <v>262566.57510194997</v>
      </c>
      <c r="J5">
        <v>263167.14271761</v>
      </c>
      <c r="K5">
        <v>263676.15311143798</v>
      </c>
      <c r="L5">
        <v>266631.638513499</v>
      </c>
      <c r="M5">
        <v>271219.49805156898</v>
      </c>
      <c r="N5">
        <v>274530.54164924502</v>
      </c>
      <c r="O5">
        <v>277636.50783186499</v>
      </c>
      <c r="P5">
        <v>281316.61818509299</v>
      </c>
      <c r="Q5">
        <v>286630.629226544</v>
      </c>
      <c r="R5">
        <v>294477.81583703199</v>
      </c>
      <c r="S5">
        <v>304804.23231272702</v>
      </c>
      <c r="T5">
        <v>315357.140039469</v>
      </c>
      <c r="U5">
        <v>325800.820331353</v>
      </c>
      <c r="V5">
        <v>336494.29697676701</v>
      </c>
      <c r="W5">
        <v>349298.69764229399</v>
      </c>
      <c r="X5">
        <v>361057.498878107</v>
      </c>
      <c r="Y5">
        <v>371493.16578367498</v>
      </c>
      <c r="Z5">
        <v>382345.67966991599</v>
      </c>
      <c r="AA5">
        <v>393507.52250071598</v>
      </c>
      <c r="AB5">
        <v>404975.84287306998</v>
      </c>
      <c r="AC5">
        <v>416650.50689188298</v>
      </c>
      <c r="AD5">
        <v>428687.47841030598</v>
      </c>
      <c r="AE5">
        <v>441273.82075742399</v>
      </c>
      <c r="AF5">
        <v>454423.90217164601</v>
      </c>
      <c r="AG5">
        <v>468306.159257475</v>
      </c>
      <c r="AH5">
        <v>483094.09412862902</v>
      </c>
      <c r="AI5">
        <v>498892.45059892198</v>
      </c>
      <c r="AJ5">
        <v>515802.519913166</v>
      </c>
      <c r="AK5">
        <v>533927.484961665</v>
      </c>
      <c r="AL5">
        <v>552830.23476399796</v>
      </c>
      <c r="AM5">
        <v>572566.72016896901</v>
      </c>
      <c r="AN5">
        <v>593050.89357127296</v>
      </c>
      <c r="AO5">
        <v>614387.83388623397</v>
      </c>
      <c r="AP5">
        <v>636528.73520771496</v>
      </c>
      <c r="AQ5">
        <v>659213.31323629897</v>
      </c>
      <c r="AR5">
        <v>682440.05491052102</v>
      </c>
      <c r="AS5">
        <v>706213.51349456795</v>
      </c>
      <c r="AT5">
        <v>730634.24225431099</v>
      </c>
      <c r="AU5">
        <v>755794.00607456104</v>
      </c>
      <c r="AV5">
        <v>781789.85860270006</v>
      </c>
      <c r="AW5">
        <v>808601.89145412995</v>
      </c>
      <c r="AX5">
        <v>836360.216769733</v>
      </c>
    </row>
    <row r="6" spans="1:50" x14ac:dyDescent="0.25">
      <c r="A6" s="31"/>
      <c r="B6" s="8" t="s">
        <v>99</v>
      </c>
      <c r="C6" s="25" t="s">
        <v>137</v>
      </c>
      <c r="E6">
        <v>41668.560924012403</v>
      </c>
      <c r="F6">
        <v>43184.314410679799</v>
      </c>
      <c r="G6">
        <v>43187.914989198202</v>
      </c>
      <c r="H6">
        <v>42585.465449021503</v>
      </c>
      <c r="I6">
        <v>43691.244831975499</v>
      </c>
      <c r="J6">
        <v>43903.568627556102</v>
      </c>
      <c r="K6">
        <v>45997.250153845998</v>
      </c>
      <c r="L6">
        <v>47736.632181454297</v>
      </c>
      <c r="M6">
        <v>49746.374043136602</v>
      </c>
      <c r="N6">
        <v>51750.620383076603</v>
      </c>
      <c r="O6">
        <v>54600.3663971469</v>
      </c>
      <c r="P6">
        <v>57036.086188063899</v>
      </c>
      <c r="Q6">
        <v>59608.469608676802</v>
      </c>
      <c r="R6">
        <v>63917.695767837897</v>
      </c>
      <c r="S6">
        <v>69712.845432001006</v>
      </c>
      <c r="T6">
        <v>75012.737015893596</v>
      </c>
      <c r="U6">
        <v>81112.826552230807</v>
      </c>
      <c r="V6">
        <v>87706.557915988902</v>
      </c>
      <c r="W6">
        <v>94734.859813178598</v>
      </c>
      <c r="X6">
        <v>102253.859173937</v>
      </c>
      <c r="Y6">
        <v>110015.359773611</v>
      </c>
      <c r="Z6">
        <v>118114.16891285899</v>
      </c>
      <c r="AA6">
        <v>126559.44317524599</v>
      </c>
      <c r="AB6">
        <v>135469.42479992501</v>
      </c>
      <c r="AC6">
        <v>144844.796982309</v>
      </c>
      <c r="AD6">
        <v>154706.48513159101</v>
      </c>
      <c r="AE6">
        <v>165029.93910146001</v>
      </c>
      <c r="AF6">
        <v>175911.66584508299</v>
      </c>
      <c r="AG6">
        <v>187245.567894112</v>
      </c>
      <c r="AH6">
        <v>199257.16079375101</v>
      </c>
      <c r="AI6">
        <v>211998.080980372</v>
      </c>
      <c r="AJ6">
        <v>225322.648136462</v>
      </c>
      <c r="AK6">
        <v>239682.382001224</v>
      </c>
      <c r="AL6">
        <v>254834.68003575699</v>
      </c>
      <c r="AM6">
        <v>270844.38954965398</v>
      </c>
      <c r="AN6">
        <v>287736.18018875498</v>
      </c>
      <c r="AO6">
        <v>305568.31089917402</v>
      </c>
      <c r="AP6">
        <v>324501.09892864397</v>
      </c>
      <c r="AQ6">
        <v>344518.60902133101</v>
      </c>
      <c r="AR6">
        <v>365670.45161810401</v>
      </c>
      <c r="AS6">
        <v>387995.50604155898</v>
      </c>
      <c r="AT6">
        <v>411526.55293636402</v>
      </c>
      <c r="AU6">
        <v>436361.98238097399</v>
      </c>
      <c r="AV6">
        <v>462557.848383606</v>
      </c>
      <c r="AW6">
        <v>490171.07899419102</v>
      </c>
      <c r="AX6">
        <v>519229.75771601201</v>
      </c>
    </row>
    <row r="7" spans="1:50" x14ac:dyDescent="0.25">
      <c r="A7" s="31"/>
      <c r="B7" s="8" t="s">
        <v>119</v>
      </c>
      <c r="C7" s="25" t="s">
        <v>138</v>
      </c>
      <c r="D7">
        <v>5997.7127998138503</v>
      </c>
      <c r="E7">
        <v>6215.8881792066404</v>
      </c>
      <c r="F7">
        <v>6313.0449157393796</v>
      </c>
      <c r="G7">
        <v>6408.2141414600701</v>
      </c>
      <c r="H7">
        <v>6729.4513456302902</v>
      </c>
      <c r="I7">
        <v>6554.4747929438499</v>
      </c>
      <c r="J7">
        <v>6722.3093920418196</v>
      </c>
      <c r="K7">
        <v>7044.4624935135098</v>
      </c>
      <c r="L7">
        <v>7352.3920376775204</v>
      </c>
      <c r="M7">
        <v>7418.0232756836103</v>
      </c>
      <c r="N7">
        <v>7378.7941526424402</v>
      </c>
      <c r="O7">
        <v>7231.5170872066801</v>
      </c>
      <c r="P7">
        <v>6831.6070579829102</v>
      </c>
      <c r="Q7">
        <v>6866.0635570142404</v>
      </c>
      <c r="R7">
        <v>7125.6746788884202</v>
      </c>
      <c r="S7">
        <v>7046.9340329443603</v>
      </c>
      <c r="T7">
        <v>6890.9903251292299</v>
      </c>
      <c r="U7">
        <v>7036.17683299485</v>
      </c>
      <c r="V7">
        <v>7189.86055187492</v>
      </c>
      <c r="W7">
        <v>7336.3779039851497</v>
      </c>
      <c r="X7">
        <v>7446.8041966873297</v>
      </c>
      <c r="Y7">
        <v>7522.2588700509796</v>
      </c>
      <c r="Z7">
        <v>7589.8645591274599</v>
      </c>
      <c r="AA7">
        <v>7659.77543313762</v>
      </c>
      <c r="AB7">
        <v>7730.1455653000703</v>
      </c>
      <c r="AC7">
        <v>7801.9572187056001</v>
      </c>
      <c r="AD7">
        <v>7873.2494223334597</v>
      </c>
      <c r="AE7">
        <v>7942.2767303085702</v>
      </c>
      <c r="AF7">
        <v>8011.5302063542704</v>
      </c>
      <c r="AG7">
        <v>8074.52509263722</v>
      </c>
      <c r="AH7">
        <v>8143.0708470317604</v>
      </c>
      <c r="AI7">
        <v>8206.4833786404906</v>
      </c>
      <c r="AJ7">
        <v>8272.91578195285</v>
      </c>
      <c r="AK7">
        <v>8340.7582481257796</v>
      </c>
      <c r="AL7">
        <v>8409.9950462936395</v>
      </c>
      <c r="AM7">
        <v>8479.8915041610599</v>
      </c>
      <c r="AN7">
        <v>8551.2528174662202</v>
      </c>
      <c r="AO7">
        <v>8625.0631834409596</v>
      </c>
      <c r="AP7">
        <v>8699.6064699533708</v>
      </c>
      <c r="AQ7">
        <v>8776.0369099199106</v>
      </c>
      <c r="AR7">
        <v>8853.3438752414204</v>
      </c>
      <c r="AS7">
        <v>8931.4201216661004</v>
      </c>
      <c r="AT7">
        <v>9012.6121158123296</v>
      </c>
      <c r="AU7">
        <v>9095.1669854355205</v>
      </c>
      <c r="AV7">
        <v>9181.8397585389903</v>
      </c>
      <c r="AW7">
        <v>9264.0289132419002</v>
      </c>
      <c r="AX7">
        <v>9346.0282130586293</v>
      </c>
    </row>
    <row r="8" spans="1:50" x14ac:dyDescent="0.25">
      <c r="A8" s="31"/>
      <c r="B8" s="8" t="s">
        <v>100</v>
      </c>
      <c r="C8" s="25" t="s">
        <v>139</v>
      </c>
      <c r="D8">
        <v>79234.608835044695</v>
      </c>
      <c r="E8">
        <v>82116.881031232799</v>
      </c>
      <c r="F8">
        <v>84010.915066809597</v>
      </c>
      <c r="G8">
        <v>86823.458780301196</v>
      </c>
      <c r="H8">
        <v>87308.062903111306</v>
      </c>
      <c r="I8">
        <v>81976.690337117398</v>
      </c>
      <c r="J8">
        <v>85097.049815444698</v>
      </c>
      <c r="K8">
        <v>86655.462742402902</v>
      </c>
      <c r="L8">
        <v>86623.654967245398</v>
      </c>
      <c r="M8">
        <v>87570.649626351296</v>
      </c>
      <c r="N8">
        <v>89540.405566316796</v>
      </c>
      <c r="O8">
        <v>92873.071492594696</v>
      </c>
      <c r="P8">
        <v>94878.687355119197</v>
      </c>
      <c r="Q8">
        <v>99511.806249249203</v>
      </c>
      <c r="R8">
        <v>103270.418622572</v>
      </c>
      <c r="S8">
        <v>108144.715426971</v>
      </c>
      <c r="T8">
        <v>111864.50092066301</v>
      </c>
      <c r="U8">
        <v>115659.21819073999</v>
      </c>
      <c r="V8">
        <v>119505.10706126899</v>
      </c>
      <c r="W8">
        <v>123828.109196208</v>
      </c>
      <c r="X8">
        <v>128117.41103349401</v>
      </c>
      <c r="Y8">
        <v>132149.39328970699</v>
      </c>
      <c r="Z8">
        <v>136112.483361049</v>
      </c>
      <c r="AA8">
        <v>140161.457649763</v>
      </c>
      <c r="AB8">
        <v>144340.62084951601</v>
      </c>
      <c r="AC8">
        <v>148639.918238666</v>
      </c>
      <c r="AD8">
        <v>153085.92932379301</v>
      </c>
      <c r="AE8">
        <v>157629.174032888</v>
      </c>
      <c r="AF8">
        <v>162375.38477313201</v>
      </c>
      <c r="AG8">
        <v>167332.18579205999</v>
      </c>
      <c r="AH8">
        <v>172539.578373033</v>
      </c>
      <c r="AI8">
        <v>178063.661430598</v>
      </c>
      <c r="AJ8">
        <v>183907.276598322</v>
      </c>
      <c r="AK8">
        <v>190122.877652945</v>
      </c>
      <c r="AL8">
        <v>196667.261145678</v>
      </c>
      <c r="AM8">
        <v>203529.428553256</v>
      </c>
      <c r="AN8">
        <v>210686.972673671</v>
      </c>
      <c r="AO8">
        <v>218143.411664382</v>
      </c>
      <c r="AP8">
        <v>225911.207101751</v>
      </c>
      <c r="AQ8">
        <v>233936.99904501499</v>
      </c>
      <c r="AR8">
        <v>242204.91014954</v>
      </c>
      <c r="AS8">
        <v>250699.33726877699</v>
      </c>
      <c r="AT8">
        <v>259435.98805460799</v>
      </c>
      <c r="AU8">
        <v>268429.47416460898</v>
      </c>
      <c r="AV8">
        <v>277708.55541143898</v>
      </c>
      <c r="AW8">
        <v>287278.940569364</v>
      </c>
      <c r="AX8">
        <v>297181.502641653</v>
      </c>
    </row>
    <row r="9" spans="1:50" x14ac:dyDescent="0.25">
      <c r="A9" s="31"/>
      <c r="B9" s="8" t="s">
        <v>101</v>
      </c>
      <c r="C9" s="25" t="s">
        <v>140</v>
      </c>
      <c r="D9">
        <v>7105.6417398601798</v>
      </c>
      <c r="E9">
        <v>7364.1196187061596</v>
      </c>
      <c r="F9">
        <v>7461.7211582853897</v>
      </c>
      <c r="G9">
        <v>7630.9432812661898</v>
      </c>
      <c r="H9">
        <v>7780.8692882559899</v>
      </c>
      <c r="I9">
        <v>7889.7548368841499</v>
      </c>
      <c r="J9">
        <v>7984.8461921271401</v>
      </c>
      <c r="K9">
        <v>8073.1776391085996</v>
      </c>
      <c r="L9">
        <v>8165.7127711457697</v>
      </c>
      <c r="M9">
        <v>8284.1869296038094</v>
      </c>
      <c r="N9">
        <v>8396.21327444694</v>
      </c>
      <c r="O9">
        <v>8558.75429263769</v>
      </c>
      <c r="P9">
        <v>8722.3275412884905</v>
      </c>
      <c r="Q9">
        <v>8949.8236367764603</v>
      </c>
      <c r="R9">
        <v>9200.50875333982</v>
      </c>
      <c r="S9">
        <v>9520.9596082356602</v>
      </c>
      <c r="T9">
        <v>9847.0823749253905</v>
      </c>
      <c r="U9">
        <v>10181.9355172347</v>
      </c>
      <c r="V9">
        <v>10520.846349019899</v>
      </c>
      <c r="W9">
        <v>10900.938901580301</v>
      </c>
      <c r="X9">
        <v>11277.728711088201</v>
      </c>
      <c r="Y9">
        <v>11632.5713766428</v>
      </c>
      <c r="Z9">
        <v>11981.497415497901</v>
      </c>
      <c r="AA9">
        <v>12338.1064156147</v>
      </c>
      <c r="AB9">
        <v>12705.9164851191</v>
      </c>
      <c r="AC9">
        <v>13083.907212862799</v>
      </c>
      <c r="AD9">
        <v>13474.150928137</v>
      </c>
      <c r="AE9">
        <v>13876.569692778899</v>
      </c>
      <c r="AF9">
        <v>14295.902925771101</v>
      </c>
      <c r="AG9">
        <v>14733.022828339301</v>
      </c>
      <c r="AH9">
        <v>15191.2197346136</v>
      </c>
      <c r="AI9">
        <v>15676.1522550999</v>
      </c>
      <c r="AJ9">
        <v>16188.9102503955</v>
      </c>
      <c r="AK9">
        <v>16734.183618284798</v>
      </c>
      <c r="AL9">
        <v>17308.494164325799</v>
      </c>
      <c r="AM9">
        <v>17910.9520522725</v>
      </c>
      <c r="AN9">
        <v>18539.624858515999</v>
      </c>
      <c r="AO9">
        <v>19195.569877490401</v>
      </c>
      <c r="AP9">
        <v>19879.596165825598</v>
      </c>
      <c r="AQ9">
        <v>20586.831621381902</v>
      </c>
      <c r="AR9">
        <v>21315.739224202</v>
      </c>
      <c r="AS9">
        <v>22064.797928890199</v>
      </c>
      <c r="AT9">
        <v>22835.248723606699</v>
      </c>
      <c r="AU9">
        <v>23628.228506331401</v>
      </c>
      <c r="AV9">
        <v>24446.080015510601</v>
      </c>
      <c r="AW9">
        <v>25289.462118769199</v>
      </c>
      <c r="AX9">
        <v>26160.312606402102</v>
      </c>
    </row>
    <row r="10" spans="1:50" x14ac:dyDescent="0.25">
      <c r="A10" s="31"/>
      <c r="B10" s="8" t="s">
        <v>102</v>
      </c>
      <c r="C10" s="25" t="s">
        <v>141</v>
      </c>
      <c r="D10">
        <v>56421.514030040198</v>
      </c>
      <c r="E10">
        <v>58473.927281605298</v>
      </c>
      <c r="F10">
        <v>60071.543667840997</v>
      </c>
      <c r="G10">
        <v>61013.010642954097</v>
      </c>
      <c r="H10">
        <v>60073.363367417798</v>
      </c>
      <c r="I10">
        <v>62700.447610286101</v>
      </c>
      <c r="J10">
        <v>63450.0053093346</v>
      </c>
      <c r="K10">
        <v>60935.4308334792</v>
      </c>
      <c r="L10">
        <v>63272.9855354061</v>
      </c>
      <c r="M10">
        <v>62819.217830514601</v>
      </c>
      <c r="N10">
        <v>61054.071712312201</v>
      </c>
      <c r="O10">
        <v>60796.704578978897</v>
      </c>
      <c r="P10">
        <v>62812.1712086302</v>
      </c>
      <c r="Q10">
        <v>62624.631519135401</v>
      </c>
      <c r="R10">
        <v>65020.912329070401</v>
      </c>
      <c r="S10">
        <v>71426.598661522206</v>
      </c>
      <c r="T10">
        <v>73890.333267714203</v>
      </c>
      <c r="U10">
        <v>76328.740899533397</v>
      </c>
      <c r="V10">
        <v>78845.265862886794</v>
      </c>
      <c r="W10">
        <v>81858.996921518905</v>
      </c>
      <c r="X10">
        <v>84617.555457283306</v>
      </c>
      <c r="Y10">
        <v>87074.421712154799</v>
      </c>
      <c r="Z10">
        <v>89603.334108118506</v>
      </c>
      <c r="AA10">
        <v>92225.244268734503</v>
      </c>
      <c r="AB10">
        <v>94957.072219234993</v>
      </c>
      <c r="AC10">
        <v>97759.1570967929</v>
      </c>
      <c r="AD10">
        <v>100661.301940116</v>
      </c>
      <c r="AE10">
        <v>103706.652025766</v>
      </c>
      <c r="AF10">
        <v>106891.848001527</v>
      </c>
      <c r="AG10">
        <v>110226.89591120899</v>
      </c>
      <c r="AH10">
        <v>113746.496420588</v>
      </c>
      <c r="AI10">
        <v>117503.552118589</v>
      </c>
      <c r="AJ10">
        <v>121482.674189047</v>
      </c>
      <c r="AK10">
        <v>125733.943975438</v>
      </c>
      <c r="AL10">
        <v>130174.35799423599</v>
      </c>
      <c r="AM10">
        <v>134814.48430930899</v>
      </c>
      <c r="AN10">
        <v>139636.207010966</v>
      </c>
      <c r="AO10">
        <v>144656.389975984</v>
      </c>
      <c r="AP10">
        <v>149879.63302806599</v>
      </c>
      <c r="AQ10">
        <v>155246.279801856</v>
      </c>
      <c r="AR10">
        <v>160754.07951208099</v>
      </c>
      <c r="AS10">
        <v>166399.79437954401</v>
      </c>
      <c r="AT10">
        <v>172204.93685137699</v>
      </c>
      <c r="AU10">
        <v>178189.243808447</v>
      </c>
      <c r="AV10">
        <v>184372.63021464</v>
      </c>
      <c r="AW10">
        <v>190750.38778430599</v>
      </c>
      <c r="AX10">
        <v>197376.13795115001</v>
      </c>
    </row>
    <row r="11" spans="1:50" x14ac:dyDescent="0.25">
      <c r="A11" s="31"/>
      <c r="B11" s="8" t="s">
        <v>103</v>
      </c>
      <c r="C11" s="25" t="s">
        <v>142</v>
      </c>
      <c r="D11">
        <v>107619.00345285299</v>
      </c>
      <c r="E11">
        <v>111533.798590915</v>
      </c>
      <c r="F11">
        <v>113942.673673624</v>
      </c>
      <c r="G11">
        <v>117442.672102032</v>
      </c>
      <c r="H11">
        <v>123159.05107199</v>
      </c>
      <c r="I11">
        <v>127288.16481709199</v>
      </c>
      <c r="J11">
        <v>132353.00432104801</v>
      </c>
      <c r="K11">
        <v>134411.74194275</v>
      </c>
      <c r="L11">
        <v>138386.77009091401</v>
      </c>
      <c r="M11">
        <v>143777.01769120299</v>
      </c>
      <c r="N11">
        <v>148459.893473623</v>
      </c>
      <c r="O11">
        <v>153311.54170001499</v>
      </c>
      <c r="P11">
        <v>158002.30168116401</v>
      </c>
      <c r="Q11">
        <v>162015.26339459801</v>
      </c>
      <c r="R11">
        <v>164253.738119852</v>
      </c>
      <c r="S11">
        <v>169990.653634174</v>
      </c>
      <c r="T11">
        <v>175872.75181603199</v>
      </c>
      <c r="U11">
        <v>181812.25955899601</v>
      </c>
      <c r="V11">
        <v>187877.36272803499</v>
      </c>
      <c r="W11">
        <v>194596.60749128499</v>
      </c>
      <c r="X11">
        <v>201343.374872488</v>
      </c>
      <c r="Y11">
        <v>207721.10269922501</v>
      </c>
      <c r="Z11">
        <v>214027.094741693</v>
      </c>
      <c r="AA11">
        <v>220408.28613679399</v>
      </c>
      <c r="AB11">
        <v>226947.74908725501</v>
      </c>
      <c r="AC11">
        <v>233645.10243199099</v>
      </c>
      <c r="AD11">
        <v>240538.923382496</v>
      </c>
      <c r="AE11">
        <v>247695.00826266501</v>
      </c>
      <c r="AF11">
        <v>255140.258641608</v>
      </c>
      <c r="AG11">
        <v>262913.13696084998</v>
      </c>
      <c r="AH11">
        <v>271084.112588713</v>
      </c>
      <c r="AI11">
        <v>279726.778754837</v>
      </c>
      <c r="AJ11">
        <v>288892.31204407301</v>
      </c>
      <c r="AK11">
        <v>298654.916448968</v>
      </c>
      <c r="AL11">
        <v>308942.59103001299</v>
      </c>
      <c r="AM11">
        <v>319733.35663398798</v>
      </c>
      <c r="AN11">
        <v>330995.35249387898</v>
      </c>
      <c r="AO11">
        <v>342738.18409367901</v>
      </c>
      <c r="AP11">
        <v>354964.91241285298</v>
      </c>
      <c r="AQ11">
        <v>367608.05049518199</v>
      </c>
      <c r="AR11">
        <v>380632.28789251699</v>
      </c>
      <c r="AS11">
        <v>394016.81015550299</v>
      </c>
      <c r="AT11">
        <v>407774.10140425101</v>
      </c>
      <c r="AU11">
        <v>421934.40640339098</v>
      </c>
      <c r="AV11">
        <v>436539.047859488</v>
      </c>
      <c r="AW11">
        <v>451599.39276066201</v>
      </c>
      <c r="AX11">
        <v>467162.18054239498</v>
      </c>
    </row>
    <row r="12" spans="1:50" x14ac:dyDescent="0.25">
      <c r="A12" s="31"/>
      <c r="B12" s="8" t="s">
        <v>104</v>
      </c>
      <c r="C12" s="25" t="s">
        <v>143</v>
      </c>
      <c r="D12">
        <v>8435.1564679157891</v>
      </c>
      <c r="E12">
        <v>8741.9973461055797</v>
      </c>
      <c r="F12">
        <v>9052.0675969999902</v>
      </c>
      <c r="G12">
        <v>9514.5739117800003</v>
      </c>
      <c r="H12">
        <v>9579.7847732219998</v>
      </c>
      <c r="I12">
        <v>9185.7674509654298</v>
      </c>
      <c r="J12">
        <v>9668.5068490490594</v>
      </c>
      <c r="K12">
        <v>9958.4653767711497</v>
      </c>
      <c r="L12">
        <v>10138.964105716699</v>
      </c>
      <c r="M12">
        <v>10380.176319512901</v>
      </c>
      <c r="N12">
        <v>10657.1592650766</v>
      </c>
      <c r="O12">
        <v>10910.0596640576</v>
      </c>
      <c r="P12">
        <v>11189.513861900399</v>
      </c>
      <c r="Q12">
        <v>11835.115698851199</v>
      </c>
      <c r="R12">
        <v>12147.1045862106</v>
      </c>
      <c r="S12">
        <v>12663.0461021705</v>
      </c>
      <c r="T12">
        <v>12921.231799204799</v>
      </c>
      <c r="U12">
        <v>13199.941720925901</v>
      </c>
      <c r="V12">
        <v>13543.214676526301</v>
      </c>
      <c r="W12">
        <v>13963.0580917201</v>
      </c>
      <c r="X12">
        <v>14418.0926356811</v>
      </c>
      <c r="Y12">
        <v>14859.8715487644</v>
      </c>
      <c r="Z12">
        <v>15285.356178014399</v>
      </c>
      <c r="AA12">
        <v>15712.973587619699</v>
      </c>
      <c r="AB12">
        <v>16158.9997711298</v>
      </c>
      <c r="AC12">
        <v>16613.690694509602</v>
      </c>
      <c r="AD12">
        <v>17083.717085401098</v>
      </c>
      <c r="AE12">
        <v>17529.075394841198</v>
      </c>
      <c r="AF12">
        <v>17968.217177664399</v>
      </c>
      <c r="AG12">
        <v>18436.308011011999</v>
      </c>
      <c r="AH12">
        <v>18926.688028093999</v>
      </c>
      <c r="AI12">
        <v>19417.464731131298</v>
      </c>
      <c r="AJ12">
        <v>19972.8144835618</v>
      </c>
      <c r="AK12">
        <v>20543.634378935501</v>
      </c>
      <c r="AL12">
        <v>21133.194956019499</v>
      </c>
      <c r="AM12">
        <v>21743.8646370116</v>
      </c>
      <c r="AN12">
        <v>22372.4350337709</v>
      </c>
      <c r="AO12">
        <v>23015.883272176201</v>
      </c>
      <c r="AP12">
        <v>23685.677304865902</v>
      </c>
      <c r="AQ12">
        <v>24374.3177343797</v>
      </c>
      <c r="AR12">
        <v>25083.3135254894</v>
      </c>
      <c r="AS12">
        <v>25809.649498325802</v>
      </c>
      <c r="AT12">
        <v>26565.525742419799</v>
      </c>
      <c r="AU12">
        <v>27343.676464549299</v>
      </c>
      <c r="AV12">
        <v>28145.897388931498</v>
      </c>
      <c r="AW12">
        <v>28970.224086623301</v>
      </c>
      <c r="AX12">
        <v>29826.426818902299</v>
      </c>
    </row>
    <row r="13" spans="1:50" x14ac:dyDescent="0.25">
      <c r="A13" s="31"/>
      <c r="B13" s="8" t="s">
        <v>121</v>
      </c>
      <c r="C13" s="25" t="s">
        <v>144</v>
      </c>
      <c r="D13">
        <v>14588.351732425201</v>
      </c>
      <c r="E13">
        <v>15119.0238869898</v>
      </c>
      <c r="F13">
        <v>15344.915744161901</v>
      </c>
      <c r="G13">
        <v>15983.264385221501</v>
      </c>
      <c r="H13">
        <v>16301.288664277799</v>
      </c>
      <c r="I13">
        <v>15772.8406099602</v>
      </c>
      <c r="J13">
        <v>16234.241700519</v>
      </c>
      <c r="K13">
        <v>16522.807242641698</v>
      </c>
      <c r="L13">
        <v>16716.6891765746</v>
      </c>
      <c r="M13">
        <v>16911.0883982339</v>
      </c>
      <c r="N13">
        <v>17281.824338356801</v>
      </c>
      <c r="O13">
        <v>17695.965789157799</v>
      </c>
      <c r="P13">
        <v>18040.864778763698</v>
      </c>
      <c r="Q13">
        <v>18786.2881294525</v>
      </c>
      <c r="R13">
        <v>19467.161073550498</v>
      </c>
      <c r="S13">
        <v>20347.073573703499</v>
      </c>
      <c r="T13">
        <v>20953.956422928899</v>
      </c>
      <c r="U13">
        <v>21678.035987883501</v>
      </c>
      <c r="V13">
        <v>22367.955286598099</v>
      </c>
      <c r="W13">
        <v>23211.138729671398</v>
      </c>
      <c r="X13">
        <v>23986.273622221601</v>
      </c>
      <c r="Y13">
        <v>24694.151917587398</v>
      </c>
      <c r="Z13">
        <v>25348.432537211698</v>
      </c>
      <c r="AA13">
        <v>26064.880639723298</v>
      </c>
      <c r="AB13">
        <v>26824.2714942481</v>
      </c>
      <c r="AC13">
        <v>27614.382098599701</v>
      </c>
      <c r="AD13">
        <v>28442.6628701919</v>
      </c>
      <c r="AE13">
        <v>29254.240452083599</v>
      </c>
      <c r="AF13">
        <v>30113.901073724101</v>
      </c>
      <c r="AG13">
        <v>31016.293128765199</v>
      </c>
      <c r="AH13">
        <v>31962.765901601699</v>
      </c>
      <c r="AI13">
        <v>32973.910161845299</v>
      </c>
      <c r="AJ13">
        <v>34043.808220234198</v>
      </c>
      <c r="AK13">
        <v>35169.082072947604</v>
      </c>
      <c r="AL13">
        <v>36349.704758173903</v>
      </c>
      <c r="AM13">
        <v>37583.410324353099</v>
      </c>
      <c r="AN13">
        <v>38864.021892769299</v>
      </c>
      <c r="AO13">
        <v>40182.702337771101</v>
      </c>
      <c r="AP13">
        <v>41562.588078467998</v>
      </c>
      <c r="AQ13">
        <v>42981.666088996899</v>
      </c>
      <c r="AR13">
        <v>44445.954494874197</v>
      </c>
      <c r="AS13">
        <v>45946.4486505073</v>
      </c>
      <c r="AT13">
        <v>47496.023723224898</v>
      </c>
      <c r="AU13">
        <v>49089.057852627899</v>
      </c>
      <c r="AV13">
        <v>50733.475884813903</v>
      </c>
      <c r="AW13">
        <v>52430.075877610398</v>
      </c>
      <c r="AX13">
        <v>54203.877512275903</v>
      </c>
    </row>
    <row r="14" spans="1:50" x14ac:dyDescent="0.25">
      <c r="A14" s="31"/>
      <c r="B14" s="8" t="s">
        <v>106</v>
      </c>
      <c r="C14" s="25" t="s">
        <v>145</v>
      </c>
      <c r="D14">
        <v>334613.16054844699</v>
      </c>
      <c r="E14">
        <v>346785.19273624098</v>
      </c>
      <c r="F14">
        <v>355569.93800000002</v>
      </c>
      <c r="G14">
        <v>362474.15049999999</v>
      </c>
      <c r="H14">
        <v>375166.89110000001</v>
      </c>
      <c r="I14">
        <v>389779.75660000002</v>
      </c>
      <c r="J14">
        <v>402784.48389999999</v>
      </c>
      <c r="K14">
        <v>413040.95329999999</v>
      </c>
      <c r="L14">
        <v>424174.07860000001</v>
      </c>
      <c r="M14">
        <v>435846.93920000002</v>
      </c>
      <c r="N14">
        <v>448624.69179999997</v>
      </c>
      <c r="O14">
        <v>460339.77340000001</v>
      </c>
      <c r="P14">
        <v>470567.91450000001</v>
      </c>
      <c r="Q14">
        <v>482243.94400000002</v>
      </c>
      <c r="R14">
        <v>497227.38870000001</v>
      </c>
      <c r="S14">
        <v>511861.13459999999</v>
      </c>
      <c r="T14">
        <v>538863.15529999998</v>
      </c>
      <c r="U14">
        <v>556795.1973</v>
      </c>
      <c r="V14">
        <v>575163.65060000005</v>
      </c>
      <c r="W14">
        <v>596984.80830000003</v>
      </c>
      <c r="X14">
        <v>617015.78780000005</v>
      </c>
      <c r="Y14">
        <v>634827.69799999997</v>
      </c>
      <c r="Z14">
        <v>653737.57819999999</v>
      </c>
      <c r="AA14">
        <v>673445.00069999998</v>
      </c>
      <c r="AB14">
        <v>693811.22790000006</v>
      </c>
      <c r="AC14">
        <v>714508.93130000005</v>
      </c>
      <c r="AD14">
        <v>735794.42590000003</v>
      </c>
      <c r="AE14">
        <v>757932.65209999995</v>
      </c>
      <c r="AF14">
        <v>780689.8149</v>
      </c>
      <c r="AG14">
        <v>804428.23439999996</v>
      </c>
      <c r="AH14">
        <v>829568.36369999999</v>
      </c>
      <c r="AI14">
        <v>856185.29029999999</v>
      </c>
      <c r="AJ14">
        <v>884744.00710000005</v>
      </c>
      <c r="AK14">
        <v>915443.48389999999</v>
      </c>
      <c r="AL14">
        <v>947558.99109999998</v>
      </c>
      <c r="AM14">
        <v>981117.90049999999</v>
      </c>
      <c r="AN14">
        <v>1015976.042</v>
      </c>
      <c r="AO14">
        <v>1052363.726</v>
      </c>
      <c r="AP14">
        <v>1090311.442</v>
      </c>
      <c r="AQ14">
        <v>1129341.4069999999</v>
      </c>
      <c r="AR14">
        <v>1169398.2660000001</v>
      </c>
      <c r="AS14">
        <v>1210442.2279999999</v>
      </c>
      <c r="AT14">
        <v>1252620.95</v>
      </c>
      <c r="AU14">
        <v>1296081.0009999999</v>
      </c>
      <c r="AV14">
        <v>1340968.7009999999</v>
      </c>
      <c r="AW14">
        <v>1387225.777</v>
      </c>
      <c r="AX14">
        <v>1434916.156</v>
      </c>
    </row>
    <row r="15" spans="1:50" x14ac:dyDescent="0.25">
      <c r="A15" s="31"/>
      <c r="B15" s="8" t="s">
        <v>107</v>
      </c>
      <c r="C15" s="25" t="s">
        <v>146</v>
      </c>
      <c r="D15">
        <v>0</v>
      </c>
      <c r="E15">
        <v>0</v>
      </c>
      <c r="F15">
        <v>0</v>
      </c>
      <c r="G15">
        <v>981.71740569999997</v>
      </c>
      <c r="H15">
        <v>1275.764584</v>
      </c>
      <c r="I15">
        <v>1256.1846029999999</v>
      </c>
      <c r="J15">
        <v>962.83366820000003</v>
      </c>
      <c r="K15">
        <v>907.83579080000004</v>
      </c>
      <c r="L15">
        <v>730.04443790000005</v>
      </c>
      <c r="M15">
        <v>1046.0338630000001</v>
      </c>
      <c r="N15">
        <v>1478.055593</v>
      </c>
      <c r="O15">
        <v>2067.9391169999999</v>
      </c>
      <c r="P15">
        <v>1560.2962210000001</v>
      </c>
      <c r="Q15">
        <v>1611.524948</v>
      </c>
      <c r="R15">
        <v>1227.2902220000001</v>
      </c>
      <c r="S15">
        <v>1845.6156109999999</v>
      </c>
      <c r="T15">
        <v>1829.232982</v>
      </c>
      <c r="U15">
        <v>3502.7992079999999</v>
      </c>
      <c r="V15">
        <v>2632.516799</v>
      </c>
      <c r="W15">
        <v>2779.911599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 s="31"/>
      <c r="B16" s="8" t="s">
        <v>108</v>
      </c>
      <c r="C16" s="25" t="s">
        <v>147</v>
      </c>
      <c r="D16">
        <v>0</v>
      </c>
      <c r="E16">
        <v>0</v>
      </c>
      <c r="F16">
        <v>0</v>
      </c>
      <c r="G16">
        <v>0</v>
      </c>
      <c r="H16">
        <v>-146.1568862</v>
      </c>
      <c r="I16">
        <v>-138.40401420000001</v>
      </c>
      <c r="J16">
        <v>-122.1721342</v>
      </c>
      <c r="K16">
        <v>-60.537773860000001</v>
      </c>
      <c r="L16">
        <v>30.85194285</v>
      </c>
      <c r="M16">
        <v>248.6645532</v>
      </c>
      <c r="N16">
        <v>291.27212850000001</v>
      </c>
      <c r="O16">
        <v>-1159.066388</v>
      </c>
      <c r="P16">
        <v>-1100.111682</v>
      </c>
      <c r="Q16">
        <v>-1744.0667120000001</v>
      </c>
      <c r="R16">
        <v>-2367.1233390000002</v>
      </c>
      <c r="S16">
        <v>-1949.7674239999999</v>
      </c>
      <c r="T16">
        <v>-3557.2983020000001</v>
      </c>
      <c r="U16">
        <v>-1245.6667669999999</v>
      </c>
      <c r="V16">
        <v>-1567.860815</v>
      </c>
      <c r="W16">
        <v>-1318.5096900000001</v>
      </c>
      <c r="X16">
        <v>-1088.306024</v>
      </c>
      <c r="Y16">
        <v>-832.82381650000002</v>
      </c>
      <c r="Z16">
        <v>-651.75153120000004</v>
      </c>
      <c r="AA16">
        <v>-384.02915439999998</v>
      </c>
      <c r="AB16">
        <v>-86.374331130000002</v>
      </c>
      <c r="AC16">
        <v>220.77696610000001</v>
      </c>
      <c r="AD16">
        <v>523.75277349999999</v>
      </c>
      <c r="AE16">
        <v>816.18698389999997</v>
      </c>
      <c r="AF16">
        <v>1044.671006</v>
      </c>
      <c r="AG16">
        <v>1266.801242</v>
      </c>
      <c r="AH16">
        <v>1479.038894</v>
      </c>
      <c r="AI16">
        <v>1600.211579</v>
      </c>
      <c r="AJ16">
        <v>1826.669529</v>
      </c>
      <c r="AK16">
        <v>2022.7327399999999</v>
      </c>
      <c r="AL16">
        <v>2195.0391930000001</v>
      </c>
      <c r="AM16">
        <v>2351.0038030000001</v>
      </c>
      <c r="AN16">
        <v>2491.7308189999999</v>
      </c>
      <c r="AO16">
        <v>2609.1341259999999</v>
      </c>
      <c r="AP16">
        <v>2728.5225270000001</v>
      </c>
      <c r="AQ16">
        <v>2846.2286770000001</v>
      </c>
      <c r="AR16">
        <v>2959.138312</v>
      </c>
      <c r="AS16">
        <v>3066.5467490000001</v>
      </c>
      <c r="AT16">
        <v>3154.3593289999999</v>
      </c>
      <c r="AU16">
        <v>3244.5288</v>
      </c>
      <c r="AV16">
        <v>3332.8366609999998</v>
      </c>
      <c r="AW16">
        <v>3416.9084280000002</v>
      </c>
      <c r="AX16">
        <v>3500.0568560000002</v>
      </c>
    </row>
    <row r="17" spans="1:50" x14ac:dyDescent="0.25">
      <c r="B17" s="8" t="s">
        <v>223</v>
      </c>
      <c r="C17" t="s">
        <v>207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882.28485769999998</v>
      </c>
      <c r="O17">
        <v>1736.9372940000001</v>
      </c>
      <c r="P17">
        <v>2713.058395</v>
      </c>
      <c r="Q17">
        <v>3719.5187270000001</v>
      </c>
      <c r="R17">
        <v>5332.1552490000004</v>
      </c>
      <c r="S17">
        <v>5271.6671690000003</v>
      </c>
      <c r="T17">
        <v>5175.6218200000003</v>
      </c>
      <c r="U17">
        <v>5019.5414339999998</v>
      </c>
      <c r="V17">
        <v>4854.2733239999998</v>
      </c>
      <c r="W17">
        <v>4679.7853789999999</v>
      </c>
      <c r="X17">
        <v>4603.5512600000002</v>
      </c>
      <c r="Y17">
        <v>4523.5657229999997</v>
      </c>
      <c r="Z17">
        <v>4426.1807120000003</v>
      </c>
      <c r="AA17">
        <v>4336.4638080000004</v>
      </c>
      <c r="AB17">
        <v>4250.8515719999996</v>
      </c>
      <c r="AC17">
        <v>4167.1391240000003</v>
      </c>
      <c r="AD17">
        <v>4084.0851790000002</v>
      </c>
      <c r="AE17">
        <v>4002.8592189999999</v>
      </c>
      <c r="AF17">
        <v>3918.1667729999999</v>
      </c>
      <c r="AG17">
        <v>3832.3532810000002</v>
      </c>
      <c r="AH17">
        <v>3745.9570050000002</v>
      </c>
      <c r="AI17">
        <v>3657.2083680000001</v>
      </c>
      <c r="AJ17">
        <v>3575.9355679999999</v>
      </c>
      <c r="AK17">
        <v>3497.2599110000001</v>
      </c>
      <c r="AL17">
        <v>3420.5983510000001</v>
      </c>
      <c r="AM17">
        <v>3345.7049459999998</v>
      </c>
      <c r="AN17">
        <v>3272.7044000000001</v>
      </c>
      <c r="AO17">
        <v>3195.926845</v>
      </c>
      <c r="AP17">
        <v>3119.8798240000001</v>
      </c>
      <c r="AQ17">
        <v>3044.4721559999998</v>
      </c>
      <c r="AR17">
        <v>2969.7843469999998</v>
      </c>
      <c r="AS17">
        <v>2895.8530569999998</v>
      </c>
      <c r="AT17">
        <v>2821.7120540000001</v>
      </c>
      <c r="AU17">
        <v>2748.4371780000001</v>
      </c>
      <c r="AV17">
        <v>2675.332097</v>
      </c>
      <c r="AW17">
        <v>2603.4752779999999</v>
      </c>
      <c r="AX17">
        <v>2533.0898820000002</v>
      </c>
    </row>
    <row r="18" spans="1:50" x14ac:dyDescent="0.25">
      <c r="B18" s="8" t="s">
        <v>222</v>
      </c>
      <c r="C18" t="s">
        <v>208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804.87323330000004</v>
      </c>
      <c r="O18">
        <v>1636.4205260000001</v>
      </c>
      <c r="P18">
        <v>2517.5887990000001</v>
      </c>
      <c r="Q18">
        <v>3417.9981579999999</v>
      </c>
      <c r="R18">
        <v>4753.4040869999999</v>
      </c>
      <c r="S18">
        <v>4618.4269270000004</v>
      </c>
      <c r="T18">
        <v>4516.853255</v>
      </c>
      <c r="U18">
        <v>4481.9143260000001</v>
      </c>
      <c r="V18">
        <v>4453.2839620000004</v>
      </c>
      <c r="W18">
        <v>4449.0536009999996</v>
      </c>
      <c r="X18">
        <v>4524.5909499999998</v>
      </c>
      <c r="Y18">
        <v>4574.2869659999997</v>
      </c>
      <c r="Z18">
        <v>4565.374804</v>
      </c>
      <c r="AA18">
        <v>4566.5347220000003</v>
      </c>
      <c r="AB18">
        <v>4571.7816080000002</v>
      </c>
      <c r="AC18">
        <v>4578.5093470000002</v>
      </c>
      <c r="AD18">
        <v>4588.2623830000002</v>
      </c>
      <c r="AE18">
        <v>4579.8662210000002</v>
      </c>
      <c r="AF18">
        <v>4574.0830249999999</v>
      </c>
      <c r="AG18">
        <v>4570.3512940000001</v>
      </c>
      <c r="AH18">
        <v>4566.7283509999997</v>
      </c>
      <c r="AI18">
        <v>4566.4769619999997</v>
      </c>
      <c r="AJ18">
        <v>4582.2888640000001</v>
      </c>
      <c r="AK18">
        <v>4600.5013369999997</v>
      </c>
      <c r="AL18">
        <v>4620.2468980000003</v>
      </c>
      <c r="AM18">
        <v>4641.3396210000001</v>
      </c>
      <c r="AN18">
        <v>4663.012815</v>
      </c>
      <c r="AO18">
        <v>4695.203004</v>
      </c>
      <c r="AP18">
        <v>4730.5870089999999</v>
      </c>
      <c r="AQ18">
        <v>4765.6236600000002</v>
      </c>
      <c r="AR18">
        <v>4801.0399189999998</v>
      </c>
      <c r="AS18">
        <v>4835.9384810000001</v>
      </c>
      <c r="AT18">
        <v>4880.9186989999998</v>
      </c>
      <c r="AU18">
        <v>4926.079495</v>
      </c>
      <c r="AV18">
        <v>4971.107051</v>
      </c>
      <c r="AW18">
        <v>5017.2262879999998</v>
      </c>
      <c r="AX18">
        <v>5065.3507579999996</v>
      </c>
    </row>
    <row r="19" spans="1:50" x14ac:dyDescent="0.25">
      <c r="B19" s="8" t="s">
        <v>222</v>
      </c>
      <c r="C19" t="s">
        <v>209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696.51546740000003</v>
      </c>
      <c r="K19">
        <v>688.64066390000005</v>
      </c>
      <c r="L19">
        <v>651.64154199999996</v>
      </c>
      <c r="M19">
        <v>640.32182350000005</v>
      </c>
      <c r="N19">
        <v>640.94017859999997</v>
      </c>
      <c r="O19">
        <v>646.54145010000002</v>
      </c>
      <c r="P19">
        <v>725.4739558</v>
      </c>
      <c r="Q19">
        <v>825.77767640000002</v>
      </c>
      <c r="R19">
        <v>942.08790899999997</v>
      </c>
      <c r="S19">
        <v>1115.2353310000001</v>
      </c>
      <c r="T19">
        <v>1270.1603600000001</v>
      </c>
      <c r="U19">
        <v>1611.9911890000001</v>
      </c>
      <c r="V19">
        <v>2052.253577</v>
      </c>
      <c r="W19">
        <v>2625.8302159999998</v>
      </c>
      <c r="X19">
        <v>3320.5107600000001</v>
      </c>
      <c r="Y19">
        <v>4122.9857599999996</v>
      </c>
      <c r="Z19">
        <v>4218.2830190000004</v>
      </c>
      <c r="AA19">
        <v>4381.0472300000001</v>
      </c>
      <c r="AB19">
        <v>4573.2224079999996</v>
      </c>
      <c r="AC19">
        <v>4792.587125</v>
      </c>
      <c r="AD19">
        <v>5040.8345019999997</v>
      </c>
      <c r="AE19">
        <v>5193.6462380000003</v>
      </c>
      <c r="AF19">
        <v>5352.9101810000002</v>
      </c>
      <c r="AG19">
        <v>5518.053148</v>
      </c>
      <c r="AH19">
        <v>5693.7909509999999</v>
      </c>
      <c r="AI19">
        <v>5879.1492209999997</v>
      </c>
      <c r="AJ19">
        <v>6087.3201490000001</v>
      </c>
      <c r="AK19">
        <v>6304.0559640000001</v>
      </c>
      <c r="AL19">
        <v>6531.6807760000002</v>
      </c>
      <c r="AM19">
        <v>6771.9781400000002</v>
      </c>
      <c r="AN19">
        <v>7021.1339239999998</v>
      </c>
      <c r="AO19">
        <v>7773.5588589999998</v>
      </c>
      <c r="AP19">
        <v>8589.3525750000008</v>
      </c>
      <c r="AQ19">
        <v>9481.1199969999998</v>
      </c>
      <c r="AR19">
        <v>10461.88127</v>
      </c>
      <c r="AS19">
        <v>11535.064609999999</v>
      </c>
      <c r="AT19">
        <v>12429.099050000001</v>
      </c>
      <c r="AU19">
        <v>13427.671549999999</v>
      </c>
      <c r="AV19">
        <v>14504.83439</v>
      </c>
      <c r="AW19">
        <v>15659.500309999999</v>
      </c>
      <c r="AX19">
        <v>16909.441129999999</v>
      </c>
    </row>
    <row r="20" spans="1:50" x14ac:dyDescent="0.25">
      <c r="B20" s="8" t="s">
        <v>224</v>
      </c>
      <c r="C20" t="s">
        <v>210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B21" s="8" t="s">
        <v>222</v>
      </c>
      <c r="C21" t="s">
        <v>211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s="31"/>
      <c r="B22" s="12" t="s">
        <v>110</v>
      </c>
      <c r="C22" s="25" t="s">
        <v>148</v>
      </c>
      <c r="F22">
        <v>891378.22470000002</v>
      </c>
      <c r="G22">
        <v>920346.92119999998</v>
      </c>
      <c r="H22">
        <v>947065.38410000002</v>
      </c>
      <c r="I22">
        <v>938804.98770000006</v>
      </c>
      <c r="J22">
        <v>945413.98739999998</v>
      </c>
      <c r="K22">
        <v>970813.08840000001</v>
      </c>
      <c r="L22">
        <v>989493.32350000006</v>
      </c>
      <c r="M22">
        <v>1002969.071</v>
      </c>
      <c r="N22">
        <v>1020633.731</v>
      </c>
      <c r="O22">
        <v>1041343.7830000001</v>
      </c>
      <c r="P22">
        <v>1063812.371</v>
      </c>
      <c r="Q22">
        <v>1100481.8400000001</v>
      </c>
      <c r="R22">
        <v>1143716.6159999999</v>
      </c>
      <c r="S22">
        <v>1188074.2660000001</v>
      </c>
      <c r="T22">
        <v>1227100.7290000001</v>
      </c>
      <c r="U22">
        <v>1263833</v>
      </c>
      <c r="V22">
        <v>1303622.1640000001</v>
      </c>
      <c r="W22">
        <v>1349802.7919999999</v>
      </c>
      <c r="X22">
        <v>1394080.4580000001</v>
      </c>
      <c r="Y22">
        <v>1433977.3230000001</v>
      </c>
      <c r="Z22">
        <v>1471956.5390000001</v>
      </c>
      <c r="AA22">
        <v>1510114.395</v>
      </c>
      <c r="AB22">
        <v>1551534.1410000001</v>
      </c>
      <c r="AC22">
        <v>1594289.196</v>
      </c>
      <c r="AD22">
        <v>1640126.4069999999</v>
      </c>
      <c r="AE22">
        <v>1686970.3259999999</v>
      </c>
      <c r="AF22">
        <v>1735540.8119999999</v>
      </c>
      <c r="AG22">
        <v>1787227.807</v>
      </c>
      <c r="AH22">
        <v>1841774.959</v>
      </c>
      <c r="AI22">
        <v>1899204.8230000001</v>
      </c>
      <c r="AJ22">
        <v>1961193.5430000001</v>
      </c>
      <c r="AK22">
        <v>2026368.4979999999</v>
      </c>
      <c r="AL22">
        <v>2094359.273</v>
      </c>
      <c r="AM22">
        <v>2165726.8760000002</v>
      </c>
      <c r="AN22">
        <v>2239703.46</v>
      </c>
      <c r="AO22">
        <v>2316771.2740000002</v>
      </c>
      <c r="AP22">
        <v>2396385.9679999999</v>
      </c>
      <c r="AQ22">
        <v>2478610.926</v>
      </c>
      <c r="AR22">
        <v>2563488.4070000001</v>
      </c>
      <c r="AS22">
        <v>2650776.801</v>
      </c>
      <c r="AT22">
        <v>2740273.8909999998</v>
      </c>
      <c r="AU22">
        <v>2832828.4670000002</v>
      </c>
      <c r="AV22">
        <v>2928313.1260000002</v>
      </c>
      <c r="AW22">
        <v>3026689.452</v>
      </c>
      <c r="AX22">
        <v>3130204.4649999999</v>
      </c>
    </row>
    <row r="23" spans="1:50" x14ac:dyDescent="0.25">
      <c r="A23" s="31"/>
      <c r="B23" s="9" t="s">
        <v>111</v>
      </c>
      <c r="C23" s="25" t="s">
        <v>149</v>
      </c>
      <c r="D23">
        <v>6736.0217489371598</v>
      </c>
      <c r="E23">
        <v>6981.0541720832098</v>
      </c>
      <c r="F23">
        <v>7184.2108340000004</v>
      </c>
      <c r="G23">
        <v>6897.7147290000003</v>
      </c>
      <c r="H23">
        <v>6995.8401679999997</v>
      </c>
      <c r="I23">
        <v>6577.5379659999999</v>
      </c>
      <c r="J23">
        <v>6110.0179680000001</v>
      </c>
      <c r="K23">
        <v>6724.3592660000004</v>
      </c>
      <c r="L23">
        <v>7115.3041659999999</v>
      </c>
      <c r="M23">
        <v>7000.4379929999996</v>
      </c>
      <c r="N23">
        <v>6942.4201810000004</v>
      </c>
      <c r="O23">
        <v>7144.7234170000002</v>
      </c>
      <c r="P23">
        <v>7346.870645</v>
      </c>
      <c r="Q23">
        <v>7554.5855959999999</v>
      </c>
      <c r="R23">
        <v>7841.8697030000003</v>
      </c>
      <c r="S23">
        <v>8018.0041199999996</v>
      </c>
      <c r="T23">
        <v>8358.3007570000009</v>
      </c>
      <c r="U23">
        <v>8434.0763430000006</v>
      </c>
      <c r="V23">
        <v>8682.2554280000004</v>
      </c>
      <c r="W23">
        <v>8877.57131999999</v>
      </c>
      <c r="X23">
        <v>9099.1600330000001</v>
      </c>
      <c r="Y23">
        <v>9277.9529739999998</v>
      </c>
      <c r="Z23">
        <v>9377.2659739999999</v>
      </c>
      <c r="AA23">
        <v>9415.521976</v>
      </c>
      <c r="AB23">
        <v>9589.7260750000005</v>
      </c>
      <c r="AC23">
        <v>9837.5845310000004</v>
      </c>
      <c r="AD23">
        <v>10083.09684</v>
      </c>
      <c r="AE23">
        <v>10344.902319999999</v>
      </c>
      <c r="AF23">
        <v>10646.631649999999</v>
      </c>
      <c r="AG23">
        <v>10995.08851</v>
      </c>
      <c r="AH23">
        <v>11350.761549999999</v>
      </c>
      <c r="AI23">
        <v>11714.50764</v>
      </c>
      <c r="AJ23">
        <v>12117.54788</v>
      </c>
      <c r="AK23">
        <v>12529.160159999999</v>
      </c>
      <c r="AL23">
        <v>12936.479369999999</v>
      </c>
      <c r="AM23">
        <v>13376.174720000001</v>
      </c>
      <c r="AN23">
        <v>13834.349630000001</v>
      </c>
      <c r="AO23">
        <v>14306.499470000001</v>
      </c>
      <c r="AP23">
        <v>14760.815979999999</v>
      </c>
      <c r="AQ23">
        <v>15248.23358</v>
      </c>
      <c r="AR23">
        <v>15757.142330000001</v>
      </c>
      <c r="AS23">
        <v>16292.79466</v>
      </c>
      <c r="AT23">
        <v>16839.839039999999</v>
      </c>
      <c r="AU23">
        <v>17412.563050000001</v>
      </c>
      <c r="AV23">
        <v>17999.44615</v>
      </c>
      <c r="AW23">
        <v>18602.692080000001</v>
      </c>
      <c r="AX23">
        <v>19220.507559999998</v>
      </c>
    </row>
    <row r="24" spans="1:50" x14ac:dyDescent="0.25">
      <c r="A24" s="31"/>
      <c r="B24" s="9" t="s">
        <v>112</v>
      </c>
      <c r="C24" s="25" t="s">
        <v>150</v>
      </c>
      <c r="D24">
        <v>130354.82254187101</v>
      </c>
      <c r="E24">
        <v>135096.665609888</v>
      </c>
      <c r="F24">
        <v>138640.54829999999</v>
      </c>
      <c r="G24">
        <v>147517.5816</v>
      </c>
      <c r="H24">
        <v>157566.63159999999</v>
      </c>
      <c r="I24">
        <v>161161.36129999999</v>
      </c>
      <c r="J24">
        <v>165854.41940000001</v>
      </c>
      <c r="K24">
        <v>175705.72990000001</v>
      </c>
      <c r="L24">
        <v>185407.8983</v>
      </c>
      <c r="M24">
        <v>192921.198</v>
      </c>
      <c r="N24">
        <v>195697.58100000001</v>
      </c>
      <c r="O24">
        <v>199466.424</v>
      </c>
      <c r="P24">
        <v>203516.60279999999</v>
      </c>
      <c r="Q24">
        <v>209936.3591</v>
      </c>
      <c r="R24">
        <v>218159.57070000001</v>
      </c>
      <c r="S24">
        <v>226261.6495</v>
      </c>
      <c r="T24">
        <v>235671.71419999999</v>
      </c>
      <c r="U24">
        <v>242524.45920000001</v>
      </c>
      <c r="V24">
        <v>250415.5613</v>
      </c>
      <c r="W24">
        <v>259367.27249999999</v>
      </c>
      <c r="X24">
        <v>267742.39610000001</v>
      </c>
      <c r="Y24">
        <v>275093.44799999997</v>
      </c>
      <c r="Z24">
        <v>282301.99310000002</v>
      </c>
      <c r="AA24">
        <v>289415.27779999998</v>
      </c>
      <c r="AB24">
        <v>297377.85800000001</v>
      </c>
      <c r="AC24">
        <v>305840.3088</v>
      </c>
      <c r="AD24">
        <v>314549.9693</v>
      </c>
      <c r="AE24">
        <v>323724.82079999999</v>
      </c>
      <c r="AF24">
        <v>333418.17719999998</v>
      </c>
      <c r="AG24">
        <v>343829.32650000002</v>
      </c>
      <c r="AH24">
        <v>354819.97460000002</v>
      </c>
      <c r="AI24">
        <v>366425.27519999997</v>
      </c>
      <c r="AJ24">
        <v>378974.50199999998</v>
      </c>
      <c r="AK24">
        <v>392235.73489999998</v>
      </c>
      <c r="AL24">
        <v>405973.11339999997</v>
      </c>
      <c r="AM24">
        <v>420388.95980000001</v>
      </c>
      <c r="AN24">
        <v>435376.91680000001</v>
      </c>
      <c r="AO24">
        <v>450956.26569999999</v>
      </c>
      <c r="AP24">
        <v>466947.53350000002</v>
      </c>
      <c r="AQ24">
        <v>483452.09159999999</v>
      </c>
      <c r="AR24">
        <v>500424.43609999999</v>
      </c>
      <c r="AS24">
        <v>517887.79259999999</v>
      </c>
      <c r="AT24">
        <v>535838.68220000004</v>
      </c>
      <c r="AU24">
        <v>554394.29960000003</v>
      </c>
      <c r="AV24">
        <v>573555.55440000002</v>
      </c>
      <c r="AW24">
        <v>593313.15469999996</v>
      </c>
      <c r="AX24">
        <v>613882.41150000005</v>
      </c>
    </row>
    <row r="25" spans="1:50" x14ac:dyDescent="0.25">
      <c r="A25" s="31"/>
      <c r="B25" s="9" t="s">
        <v>118</v>
      </c>
      <c r="C25" s="25" t="s">
        <v>151</v>
      </c>
      <c r="D25">
        <v>16317.279498531099</v>
      </c>
      <c r="E25">
        <v>16910.843872830701</v>
      </c>
      <c r="F25">
        <v>17354.452509999999</v>
      </c>
      <c r="G25">
        <v>17686.605520000001</v>
      </c>
      <c r="H25">
        <v>18234.341960000002</v>
      </c>
      <c r="I25">
        <v>18023.438559999999</v>
      </c>
      <c r="J25">
        <v>17945.089189999999</v>
      </c>
      <c r="K25">
        <v>18412.20866</v>
      </c>
      <c r="L25">
        <v>18835.65034</v>
      </c>
      <c r="M25">
        <v>19018.219959999999</v>
      </c>
      <c r="N25">
        <v>19291.91649</v>
      </c>
      <c r="O25">
        <v>19663.449980000001</v>
      </c>
      <c r="P25">
        <v>20062.717619999999</v>
      </c>
      <c r="Q25">
        <v>20695.578799999999</v>
      </c>
      <c r="R25">
        <v>21506.225060000001</v>
      </c>
      <c r="S25">
        <v>22304.93001</v>
      </c>
      <c r="T25">
        <v>23232.576550000002</v>
      </c>
      <c r="U25">
        <v>23908.121859999999</v>
      </c>
      <c r="V25">
        <v>24686.028679999999</v>
      </c>
      <c r="W25">
        <v>25568.490610000001</v>
      </c>
      <c r="X25">
        <v>26394.112389999998</v>
      </c>
      <c r="Y25">
        <v>27118.780930000001</v>
      </c>
      <c r="Z25">
        <v>27829.401099999999</v>
      </c>
      <c r="AA25">
        <v>28530.63049</v>
      </c>
      <c r="AB25">
        <v>29315.583640000001</v>
      </c>
      <c r="AC25">
        <v>30149.814149999998</v>
      </c>
      <c r="AD25">
        <v>31008.414659999999</v>
      </c>
      <c r="AE25">
        <v>31912.873820000001</v>
      </c>
      <c r="AF25">
        <v>32868.447319999999</v>
      </c>
      <c r="AG25">
        <v>33894.781029999998</v>
      </c>
      <c r="AH25">
        <v>34978.241869999998</v>
      </c>
      <c r="AI25">
        <v>36122.295299999998</v>
      </c>
      <c r="AJ25">
        <v>37359.40122</v>
      </c>
      <c r="AK25">
        <v>38666.696880000003</v>
      </c>
      <c r="AL25">
        <v>40020.931089999998</v>
      </c>
      <c r="AM25">
        <v>41442.04883</v>
      </c>
      <c r="AN25">
        <v>42919.56538</v>
      </c>
      <c r="AO25">
        <v>44455.38149</v>
      </c>
      <c r="AP25">
        <v>46031.804669999998</v>
      </c>
      <c r="AQ25">
        <v>47658.828130000002</v>
      </c>
      <c r="AR25">
        <v>49331.966099999998</v>
      </c>
      <c r="AS25">
        <v>51053.508150000001</v>
      </c>
      <c r="AT25">
        <v>52823.111340000003</v>
      </c>
      <c r="AU25">
        <v>54652.328750000001</v>
      </c>
      <c r="AV25">
        <v>56541.250039999999</v>
      </c>
      <c r="AW25">
        <v>58488.959219999997</v>
      </c>
      <c r="AX25">
        <v>60516.681700000001</v>
      </c>
    </row>
    <row r="26" spans="1:50" x14ac:dyDescent="0.25">
      <c r="A26" s="31"/>
      <c r="B26" s="9" t="s">
        <v>113</v>
      </c>
      <c r="C26" s="25" t="s">
        <v>90</v>
      </c>
      <c r="D26">
        <v>13404.850866274901</v>
      </c>
      <c r="E26">
        <v>13892.4714845119</v>
      </c>
      <c r="F26">
        <v>14397.8299999998</v>
      </c>
      <c r="G26">
        <v>14944.7191138126</v>
      </c>
      <c r="H26">
        <v>15512.3813373792</v>
      </c>
      <c r="I26">
        <v>16101.605719298301</v>
      </c>
      <c r="J26">
        <v>16713.2112794965</v>
      </c>
      <c r="K26">
        <v>17348.048147664202</v>
      </c>
      <c r="L26">
        <v>18006.9987449318</v>
      </c>
      <c r="M26">
        <v>18690.9790104331</v>
      </c>
      <c r="N26">
        <v>19400.939674457499</v>
      </c>
      <c r="O26">
        <v>20137.867579961199</v>
      </c>
      <c r="P26">
        <v>20846.404641654499</v>
      </c>
      <c r="Q26">
        <v>21579.871093999402</v>
      </c>
      <c r="R26">
        <v>22339.144060511298</v>
      </c>
      <c r="S26">
        <v>23111.678079738602</v>
      </c>
      <c r="T26">
        <v>23907.252313284</v>
      </c>
      <c r="U26">
        <v>24697.604813131999</v>
      </c>
      <c r="V26">
        <v>25509.092885230199</v>
      </c>
      <c r="W26">
        <v>26478.8627920539</v>
      </c>
      <c r="X26">
        <v>27368.020184839399</v>
      </c>
      <c r="Y26">
        <v>28157.266442634202</v>
      </c>
      <c r="Z26">
        <v>28980.125849533601</v>
      </c>
      <c r="AA26">
        <v>29835.3011828526</v>
      </c>
      <c r="AB26">
        <v>30727.384629460401</v>
      </c>
      <c r="AC26">
        <v>31643.969524229102</v>
      </c>
      <c r="AD26">
        <v>32594.030215773801</v>
      </c>
      <c r="AE26">
        <v>33587.2709843013</v>
      </c>
      <c r="AF26">
        <v>34619.500101898397</v>
      </c>
      <c r="AG26">
        <v>35699.349616706801</v>
      </c>
      <c r="AH26">
        <v>36837.936140943602</v>
      </c>
      <c r="AI26">
        <v>38045.150805940801</v>
      </c>
      <c r="AJ26">
        <v>39329.3475031243</v>
      </c>
      <c r="AK26">
        <v>40701.057598267304</v>
      </c>
      <c r="AL26">
        <v>42133.609963209703</v>
      </c>
      <c r="AM26">
        <v>43631.042868040699</v>
      </c>
      <c r="AN26">
        <v>45187.199317947998</v>
      </c>
      <c r="AO26">
        <v>46813.039816214899</v>
      </c>
      <c r="AP26">
        <v>48507.035414893202</v>
      </c>
      <c r="AQ26">
        <v>50249.529412984397</v>
      </c>
      <c r="AR26">
        <v>52040.108643618398</v>
      </c>
      <c r="AS26">
        <v>53877.7771177428</v>
      </c>
      <c r="AT26">
        <v>55768.666304889703</v>
      </c>
      <c r="AU26">
        <v>57719.137714607903</v>
      </c>
      <c r="AV26">
        <v>59735.578317351203</v>
      </c>
      <c r="AW26">
        <v>61816.322530946403</v>
      </c>
      <c r="AX26">
        <v>63964.188897278698</v>
      </c>
    </row>
    <row r="27" spans="1:50" x14ac:dyDescent="0.25">
      <c r="A27" s="31"/>
      <c r="B27" s="9" t="s">
        <v>114</v>
      </c>
      <c r="C27" s="25" t="s">
        <v>152</v>
      </c>
      <c r="D27">
        <v>190620.570684056</v>
      </c>
      <c r="E27">
        <v>197554.66651644601</v>
      </c>
      <c r="F27">
        <v>201147.452085367</v>
      </c>
      <c r="G27">
        <v>206937.77960478899</v>
      </c>
      <c r="H27">
        <v>209327.17433109699</v>
      </c>
      <c r="I27">
        <v>205566.881905018</v>
      </c>
      <c r="J27">
        <v>210304.230833871</v>
      </c>
      <c r="K27">
        <v>214070.795620872</v>
      </c>
      <c r="L27">
        <v>214158.70690438701</v>
      </c>
      <c r="M27">
        <v>215210.807829058</v>
      </c>
      <c r="N27">
        <v>221745.640355376</v>
      </c>
      <c r="O27">
        <v>225341.82587469701</v>
      </c>
      <c r="P27">
        <v>228654.90066688199</v>
      </c>
      <c r="Q27">
        <v>236281.660246871</v>
      </c>
      <c r="R27">
        <v>243367.72957423201</v>
      </c>
      <c r="S27">
        <v>251221.57656675801</v>
      </c>
      <c r="T27">
        <v>256087.16417044101</v>
      </c>
      <c r="U27">
        <v>262341.10822563298</v>
      </c>
      <c r="V27">
        <v>269169.90962936397</v>
      </c>
      <c r="W27">
        <v>278849.90869602701</v>
      </c>
      <c r="X27">
        <v>286714.00603124301</v>
      </c>
      <c r="Y27">
        <v>293569.30495817802</v>
      </c>
      <c r="Z27">
        <v>300400.637592996</v>
      </c>
      <c r="AA27">
        <v>307295.61151265801</v>
      </c>
      <c r="AB27">
        <v>314686.82850762299</v>
      </c>
      <c r="AC27">
        <v>322299.67982702301</v>
      </c>
      <c r="AD27">
        <v>330207.74800772697</v>
      </c>
      <c r="AE27">
        <v>338463.04868380702</v>
      </c>
      <c r="AF27">
        <v>346663.58076354599</v>
      </c>
      <c r="AG27">
        <v>355563.59861354501</v>
      </c>
      <c r="AH27">
        <v>364970.75468110002</v>
      </c>
      <c r="AI27">
        <v>374655.36878309801</v>
      </c>
      <c r="AJ27">
        <v>385637.77641391201</v>
      </c>
      <c r="AK27">
        <v>396940.880337157</v>
      </c>
      <c r="AL27">
        <v>408791.54025359498</v>
      </c>
      <c r="AM27">
        <v>421112.691091582</v>
      </c>
      <c r="AN27">
        <v>433823.274403419</v>
      </c>
      <c r="AO27">
        <v>446797.09680873499</v>
      </c>
      <c r="AP27">
        <v>460299.79708494502</v>
      </c>
      <c r="AQ27">
        <v>474185.31614499999</v>
      </c>
      <c r="AR27">
        <v>488647.390009547</v>
      </c>
      <c r="AS27">
        <v>503408.90470890497</v>
      </c>
      <c r="AT27">
        <v>518614.92279658699</v>
      </c>
      <c r="AU27">
        <v>534392.16008223104</v>
      </c>
      <c r="AV27">
        <v>550649.67016428697</v>
      </c>
      <c r="AW27">
        <v>567404.95559628995</v>
      </c>
      <c r="AX27">
        <v>585574.01390652603</v>
      </c>
    </row>
    <row r="28" spans="1:50" x14ac:dyDescent="0.25">
      <c r="A28" s="31"/>
      <c r="B28" s="9" t="s">
        <v>105</v>
      </c>
      <c r="C28" s="25" t="s">
        <v>153</v>
      </c>
      <c r="D28">
        <v>70157.970821169307</v>
      </c>
      <c r="E28">
        <v>72710.067330660706</v>
      </c>
      <c r="F28">
        <v>73838.982818707402</v>
      </c>
      <c r="G28">
        <v>76385.247680832807</v>
      </c>
      <c r="H28">
        <v>77177.741538875096</v>
      </c>
      <c r="I28">
        <v>73793.167055162106</v>
      </c>
      <c r="J28">
        <v>76150.9930435032</v>
      </c>
      <c r="K28">
        <v>77725.6440167111</v>
      </c>
      <c r="L28">
        <v>78078.9597924353</v>
      </c>
      <c r="M28">
        <v>78660.372433953002</v>
      </c>
      <c r="N28">
        <v>80171.835314081298</v>
      </c>
      <c r="O28">
        <v>82000.074835426203</v>
      </c>
      <c r="P28">
        <v>83462.602927969405</v>
      </c>
      <c r="Q28">
        <v>87053.346183581205</v>
      </c>
      <c r="R28">
        <v>90348.383931747099</v>
      </c>
      <c r="S28">
        <v>94366.063135754201</v>
      </c>
      <c r="T28">
        <v>97076.557985281994</v>
      </c>
      <c r="U28">
        <v>100479.772168546</v>
      </c>
      <c r="V28">
        <v>103649.76207316401</v>
      </c>
      <c r="W28">
        <v>107579.430695662</v>
      </c>
      <c r="X28">
        <v>111271.614485353</v>
      </c>
      <c r="Y28">
        <v>114639.809662871</v>
      </c>
      <c r="Z28">
        <v>117668.46645695899</v>
      </c>
      <c r="AA28">
        <v>121062.996081089</v>
      </c>
      <c r="AB28">
        <v>124700.712019649</v>
      </c>
      <c r="AC28">
        <v>128510.981475572</v>
      </c>
      <c r="AD28">
        <v>132539.43257044599</v>
      </c>
      <c r="AE28">
        <v>136297.449077514</v>
      </c>
      <c r="AF28">
        <v>140310.17730599601</v>
      </c>
      <c r="AG28">
        <v>144509.55078072299</v>
      </c>
      <c r="AH28">
        <v>148910.785591152</v>
      </c>
      <c r="AI28">
        <v>153641.09952536999</v>
      </c>
      <c r="AJ28">
        <v>158606.566528811</v>
      </c>
      <c r="AK28">
        <v>163826.062216121</v>
      </c>
      <c r="AL28">
        <v>169305.97454215499</v>
      </c>
      <c r="AM28">
        <v>175029.79575560501</v>
      </c>
      <c r="AN28">
        <v>180966.34883394599</v>
      </c>
      <c r="AO28">
        <v>187059.959772289</v>
      </c>
      <c r="AP28">
        <v>193437.87389453</v>
      </c>
      <c r="AQ28">
        <v>199989.15793599299</v>
      </c>
      <c r="AR28">
        <v>206755.11330160999</v>
      </c>
      <c r="AS28">
        <v>213684.594551991</v>
      </c>
      <c r="AT28">
        <v>220861.79855428499</v>
      </c>
      <c r="AU28">
        <v>228239.84442075301</v>
      </c>
      <c r="AV28">
        <v>235855.634955602</v>
      </c>
      <c r="AW28">
        <v>243709.41138670701</v>
      </c>
      <c r="AX28">
        <v>251945.00096425001</v>
      </c>
    </row>
    <row r="29" spans="1:50" x14ac:dyDescent="0.25">
      <c r="A29" s="31"/>
      <c r="B29" s="9" t="s">
        <v>115</v>
      </c>
      <c r="C29" s="25" t="s">
        <v>154</v>
      </c>
      <c r="F29">
        <v>41720</v>
      </c>
      <c r="G29">
        <v>39457.604060770303</v>
      </c>
      <c r="H29">
        <v>40747.154222734804</v>
      </c>
      <c r="I29">
        <v>37985.351552319102</v>
      </c>
      <c r="J29">
        <v>35239.253081535498</v>
      </c>
      <c r="K29">
        <v>39462.880983829302</v>
      </c>
      <c r="L29">
        <v>41536.949125895197</v>
      </c>
      <c r="M29">
        <v>40347.045940018601</v>
      </c>
      <c r="N29">
        <v>40273.369014529497</v>
      </c>
      <c r="O29">
        <v>41738.572784920398</v>
      </c>
      <c r="P29">
        <v>42656.481889898401</v>
      </c>
      <c r="Q29">
        <v>43783.1532975347</v>
      </c>
      <c r="R29">
        <v>45752.2841877213</v>
      </c>
      <c r="S29">
        <v>46287.533683323403</v>
      </c>
      <c r="T29">
        <v>48729.5675364505</v>
      </c>
      <c r="U29">
        <v>49719.347587081997</v>
      </c>
      <c r="V29">
        <v>51548.731416038499</v>
      </c>
      <c r="W29">
        <v>51967.2468813862</v>
      </c>
      <c r="X29">
        <v>53691.618876131797</v>
      </c>
      <c r="Y29">
        <v>55095.2030023896</v>
      </c>
      <c r="Z29">
        <v>56197.890013641103</v>
      </c>
      <c r="AA29">
        <v>56866.112030549099</v>
      </c>
      <c r="AB29">
        <v>58321.593348494098</v>
      </c>
      <c r="AC29">
        <v>59445.2458294639</v>
      </c>
      <c r="AD29">
        <v>62057.102913314397</v>
      </c>
      <c r="AE29">
        <v>64165.634746895499</v>
      </c>
      <c r="AF29">
        <v>66016.768017934606</v>
      </c>
      <c r="AG29">
        <v>68051.159050478396</v>
      </c>
      <c r="AH29">
        <v>70321.818793267303</v>
      </c>
      <c r="AI29">
        <v>72540.278472170394</v>
      </c>
      <c r="AJ29">
        <v>75096.3439419926</v>
      </c>
      <c r="AK29">
        <v>77685.892540934699</v>
      </c>
      <c r="AL29">
        <v>80271.596695582994</v>
      </c>
      <c r="AM29">
        <v>83194.4139295286</v>
      </c>
      <c r="AN29">
        <v>86033.258090695905</v>
      </c>
      <c r="AO29">
        <v>89059.828731932706</v>
      </c>
      <c r="AP29">
        <v>91929.397296009294</v>
      </c>
      <c r="AQ29">
        <v>95062.383187501502</v>
      </c>
      <c r="AR29">
        <v>98299.989474267597</v>
      </c>
      <c r="AS29">
        <v>101731.56193172</v>
      </c>
      <c r="AT29">
        <v>105123.351460045</v>
      </c>
      <c r="AU29">
        <v>108721.561382404</v>
      </c>
      <c r="AV29">
        <v>112353.955280749</v>
      </c>
      <c r="AW29">
        <v>115945.191564179</v>
      </c>
      <c r="AX29">
        <v>119794.692783855</v>
      </c>
    </row>
    <row r="30" spans="1:50" x14ac:dyDescent="0.25">
      <c r="A30" s="31"/>
      <c r="B30" s="9" t="s">
        <v>98</v>
      </c>
      <c r="C30" s="25" t="s">
        <v>155</v>
      </c>
      <c r="D30">
        <v>344617.10715415998</v>
      </c>
      <c r="E30">
        <v>357153.04720466299</v>
      </c>
      <c r="F30">
        <v>369017.92207141902</v>
      </c>
      <c r="G30">
        <v>385094.53294084698</v>
      </c>
      <c r="H30">
        <v>396077.85966003902</v>
      </c>
      <c r="I30">
        <v>389117.46557031898</v>
      </c>
      <c r="J30">
        <v>385211.892849066</v>
      </c>
      <c r="K30">
        <v>387603.97799053101</v>
      </c>
      <c r="L30">
        <v>391386.69862610498</v>
      </c>
      <c r="M30">
        <v>396035.83676946501</v>
      </c>
      <c r="N30">
        <v>400161.66644987097</v>
      </c>
      <c r="O30">
        <v>405640.98921100202</v>
      </c>
      <c r="P30">
        <v>412494.55804605602</v>
      </c>
      <c r="Q30">
        <v>425797.96706420998</v>
      </c>
      <c r="R30">
        <v>443279.14580858703</v>
      </c>
      <c r="S30">
        <v>465026.74219887803</v>
      </c>
      <c r="T30">
        <v>480948.522375979</v>
      </c>
      <c r="U30">
        <v>496677.54875056999</v>
      </c>
      <c r="V30">
        <v>512965.64328996697</v>
      </c>
      <c r="W30">
        <v>532615.29647278797</v>
      </c>
      <c r="X30">
        <v>550542.50170375395</v>
      </c>
      <c r="Y30">
        <v>566378.02376938495</v>
      </c>
      <c r="Z30">
        <v>582572.16225068201</v>
      </c>
      <c r="AA30">
        <v>599024.01904883503</v>
      </c>
      <c r="AB30">
        <v>615963.00327085995</v>
      </c>
      <c r="AC30">
        <v>633332.61014258396</v>
      </c>
      <c r="AD30">
        <v>651363.39902883</v>
      </c>
      <c r="AE30">
        <v>670424.16890709801</v>
      </c>
      <c r="AF30">
        <v>690563.71963354503</v>
      </c>
      <c r="AG30">
        <v>711936.96377680905</v>
      </c>
      <c r="AH30">
        <v>734654.85895811603</v>
      </c>
      <c r="AI30">
        <v>758967.49499162706</v>
      </c>
      <c r="AJ30">
        <v>784857.35626518598</v>
      </c>
      <c r="AK30">
        <v>812449.13616510201</v>
      </c>
      <c r="AL30">
        <v>841162.16002769303</v>
      </c>
      <c r="AM30">
        <v>871132.98095739097</v>
      </c>
      <c r="AN30">
        <v>902254.23152570403</v>
      </c>
      <c r="AO30">
        <v>934450.46317829797</v>
      </c>
      <c r="AP30">
        <v>967725.19407291</v>
      </c>
      <c r="AQ30">
        <v>1001749.91420822</v>
      </c>
      <c r="AR30">
        <v>1036594.75899175</v>
      </c>
      <c r="AS30">
        <v>1072287.0974381999</v>
      </c>
      <c r="AT30">
        <v>1108962.77505767</v>
      </c>
      <c r="AU30">
        <v>1146769.9197969199</v>
      </c>
      <c r="AV30">
        <v>1185853.77024142</v>
      </c>
      <c r="AW30">
        <v>1226187.29204556</v>
      </c>
      <c r="AX30">
        <v>1268483.35017518</v>
      </c>
    </row>
    <row r="31" spans="1:50" x14ac:dyDescent="0.25">
      <c r="A31" s="29"/>
      <c r="B31" s="9" t="s">
        <v>116</v>
      </c>
      <c r="C31" s="25" t="s">
        <v>156</v>
      </c>
      <c r="D31">
        <v>258421.16665127699</v>
      </c>
      <c r="E31">
        <v>267821.60611196997</v>
      </c>
      <c r="F31">
        <v>270550.76439379802</v>
      </c>
      <c r="G31">
        <v>275827.22046887898</v>
      </c>
      <c r="H31">
        <v>282272.32107110001</v>
      </c>
      <c r="I31">
        <v>293044.75314648298</v>
      </c>
      <c r="J31">
        <v>294355.50684261002</v>
      </c>
      <c r="K31">
        <v>296746.95612764597</v>
      </c>
      <c r="L31">
        <v>300946.15437009902</v>
      </c>
      <c r="M31">
        <v>305663.349879399</v>
      </c>
      <c r="N31">
        <v>309150.80571890197</v>
      </c>
      <c r="O31">
        <v>313826.46444369998</v>
      </c>
      <c r="P31">
        <v>320131.72850427002</v>
      </c>
      <c r="Q31">
        <v>326466.65358639997</v>
      </c>
      <c r="R31">
        <v>334572.43206958601</v>
      </c>
      <c r="S31">
        <v>345274.99116000999</v>
      </c>
      <c r="T31">
        <v>357483.57779513602</v>
      </c>
      <c r="U31">
        <v>369738.33387649601</v>
      </c>
      <c r="V31">
        <v>382129.66498053999</v>
      </c>
      <c r="W31">
        <v>396042.740136092</v>
      </c>
      <c r="X31">
        <v>409865.87444934697</v>
      </c>
      <c r="Y31">
        <v>422919.85992343299</v>
      </c>
      <c r="Z31">
        <v>435764.43813872797</v>
      </c>
      <c r="AA31">
        <v>448892.40148146503</v>
      </c>
      <c r="AB31">
        <v>462431.43890087999</v>
      </c>
      <c r="AC31">
        <v>476341.273048401</v>
      </c>
      <c r="AD31">
        <v>490697.51017294498</v>
      </c>
      <c r="AE31">
        <v>505547.60589747498</v>
      </c>
      <c r="AF31">
        <v>521012.55189223</v>
      </c>
      <c r="AG31">
        <v>537133.39066567097</v>
      </c>
      <c r="AH31">
        <v>554017.44442775694</v>
      </c>
      <c r="AI31">
        <v>571882.968252394</v>
      </c>
      <c r="AJ31">
        <v>590771.676380652</v>
      </c>
      <c r="AK31">
        <v>610859.54477710405</v>
      </c>
      <c r="AL31">
        <v>632021.57536210003</v>
      </c>
      <c r="AM31">
        <v>654226.46484319097</v>
      </c>
      <c r="AN31">
        <v>677402.35756939498</v>
      </c>
      <c r="AO31">
        <v>701595.88505719497</v>
      </c>
      <c r="AP31">
        <v>726835.43124858604</v>
      </c>
      <c r="AQ31">
        <v>752937.56964094797</v>
      </c>
      <c r="AR31">
        <v>779844.85214450397</v>
      </c>
      <c r="AS31">
        <v>807499.42673784797</v>
      </c>
      <c r="AT31">
        <v>835943.25718927605</v>
      </c>
      <c r="AU31">
        <v>865218.47015901399</v>
      </c>
      <c r="AV31">
        <v>895406.85218727298</v>
      </c>
      <c r="AW31">
        <v>926543.16283698205</v>
      </c>
      <c r="AX31">
        <v>958675.95268834999</v>
      </c>
    </row>
    <row r="32" spans="1:50" x14ac:dyDescent="0.25">
      <c r="A32" s="29"/>
      <c r="B32" s="9" t="s">
        <v>117</v>
      </c>
      <c r="C32" s="25" t="s">
        <v>157</v>
      </c>
      <c r="D32">
        <v>-225891.81435188401</v>
      </c>
      <c r="E32">
        <v>-234108.95210804199</v>
      </c>
      <c r="F32">
        <v>-242473.938303237</v>
      </c>
      <c r="G32">
        <v>-250402.08440805299</v>
      </c>
      <c r="H32">
        <v>-256846.06168309599</v>
      </c>
      <c r="I32">
        <v>-262566.57510194997</v>
      </c>
      <c r="J32">
        <v>-263167.14271761</v>
      </c>
      <c r="K32">
        <v>-263676.15311143798</v>
      </c>
      <c r="L32">
        <v>-266631.638513499</v>
      </c>
      <c r="M32">
        <v>-271219.49805156898</v>
      </c>
      <c r="N32">
        <v>-274530.54164924502</v>
      </c>
      <c r="O32">
        <v>-277636.50783186499</v>
      </c>
      <c r="P32">
        <v>-281316.61818509299</v>
      </c>
      <c r="Q32">
        <v>-286630.629226544</v>
      </c>
      <c r="R32">
        <v>-294477.81583703199</v>
      </c>
      <c r="S32">
        <v>-304804.23231272702</v>
      </c>
      <c r="T32">
        <v>-315357.140039469</v>
      </c>
      <c r="U32">
        <v>-325800.820331353</v>
      </c>
      <c r="V32">
        <v>-336494.29697676701</v>
      </c>
      <c r="W32">
        <v>-349298.69764229399</v>
      </c>
      <c r="X32">
        <v>-361057.498878107</v>
      </c>
      <c r="Y32">
        <v>-371493.16578367498</v>
      </c>
      <c r="Z32">
        <v>-382345.67966991599</v>
      </c>
      <c r="AA32">
        <v>-393507.52250071598</v>
      </c>
      <c r="AB32">
        <v>-404975.84287306998</v>
      </c>
      <c r="AC32">
        <v>-416650.50689188298</v>
      </c>
      <c r="AD32">
        <v>-428687.47841030598</v>
      </c>
      <c r="AE32">
        <v>-441273.82075742399</v>
      </c>
      <c r="AF32">
        <v>-454423.90217164601</v>
      </c>
      <c r="AG32">
        <v>-468306.159257475</v>
      </c>
      <c r="AH32">
        <v>-483094.09412862902</v>
      </c>
      <c r="AI32">
        <v>-498892.45059892198</v>
      </c>
      <c r="AJ32">
        <v>-515802.519913166</v>
      </c>
      <c r="AK32">
        <v>-533927.484961665</v>
      </c>
      <c r="AL32">
        <v>-552830.23476399796</v>
      </c>
      <c r="AM32">
        <v>-572566.72016896901</v>
      </c>
      <c r="AN32">
        <v>-593050.89357127296</v>
      </c>
      <c r="AO32">
        <v>-614387.83388623397</v>
      </c>
      <c r="AP32">
        <v>-636528.73520771496</v>
      </c>
      <c r="AQ32">
        <v>-659213.31323629897</v>
      </c>
      <c r="AR32">
        <v>-682440.05491052102</v>
      </c>
      <c r="AS32">
        <v>-706213.51349456795</v>
      </c>
      <c r="AT32">
        <v>-730634.24225431099</v>
      </c>
      <c r="AU32">
        <v>-755794.00607456104</v>
      </c>
      <c r="AV32">
        <v>-781789.85860270006</v>
      </c>
      <c r="AW32">
        <v>-808601.89145412995</v>
      </c>
      <c r="AX32">
        <v>-836360.216769733</v>
      </c>
    </row>
    <row r="33" spans="1:51" x14ac:dyDescent="0.25">
      <c r="A33" s="29"/>
      <c r="B33" s="11" t="s">
        <v>227</v>
      </c>
      <c r="C33" t="s">
        <v>202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696.51546740000003</v>
      </c>
      <c r="K33">
        <v>688.64066390000005</v>
      </c>
      <c r="L33">
        <v>651.64154199999996</v>
      </c>
      <c r="M33">
        <v>640.32182350000005</v>
      </c>
      <c r="N33">
        <v>640.94017859999997</v>
      </c>
      <c r="O33">
        <v>646.54145010000002</v>
      </c>
      <c r="P33">
        <v>725.4739558</v>
      </c>
      <c r="Q33">
        <v>825.77767640000002</v>
      </c>
      <c r="R33">
        <v>942.08790899999997</v>
      </c>
      <c r="S33">
        <v>1115.2353310000001</v>
      </c>
      <c r="T33">
        <v>1270.1603600000001</v>
      </c>
      <c r="U33">
        <v>1611.9911890000001</v>
      </c>
      <c r="V33">
        <v>2052.253577</v>
      </c>
      <c r="W33">
        <v>2625.8302159999998</v>
      </c>
      <c r="X33">
        <v>3320.5107600000001</v>
      </c>
      <c r="Y33">
        <v>4122.9857599999996</v>
      </c>
      <c r="Z33">
        <v>4218.2830190000004</v>
      </c>
      <c r="AA33">
        <v>4381.0472300000001</v>
      </c>
      <c r="AB33">
        <v>4573.2224079999996</v>
      </c>
      <c r="AC33">
        <v>4792.587125</v>
      </c>
      <c r="AD33">
        <v>5040.8345019999997</v>
      </c>
      <c r="AE33">
        <v>5193.6462380000003</v>
      </c>
      <c r="AF33">
        <v>5352.9101810000002</v>
      </c>
      <c r="AG33">
        <v>5518.053148</v>
      </c>
      <c r="AH33">
        <v>5693.7909509999999</v>
      </c>
      <c r="AI33">
        <v>5879.1492209999997</v>
      </c>
      <c r="AJ33">
        <v>6087.3201490000001</v>
      </c>
      <c r="AK33">
        <v>6304.0559640000001</v>
      </c>
      <c r="AL33">
        <v>6531.6807760000002</v>
      </c>
      <c r="AM33">
        <v>6771.9781400000002</v>
      </c>
      <c r="AN33">
        <v>7021.1339239999998</v>
      </c>
      <c r="AO33">
        <v>7773.5588589999998</v>
      </c>
      <c r="AP33">
        <v>8589.3525750000008</v>
      </c>
      <c r="AQ33">
        <v>9481.1199969999998</v>
      </c>
      <c r="AR33">
        <v>10461.88127</v>
      </c>
      <c r="AS33">
        <v>11535.064609999999</v>
      </c>
      <c r="AT33">
        <v>12429.099050000001</v>
      </c>
      <c r="AU33">
        <v>13427.671549999999</v>
      </c>
      <c r="AV33">
        <v>14504.83439</v>
      </c>
      <c r="AW33">
        <v>15659.500309999999</v>
      </c>
      <c r="AX33">
        <v>16909.441129999999</v>
      </c>
    </row>
    <row r="34" spans="1:51" x14ac:dyDescent="0.25">
      <c r="A34" s="29"/>
      <c r="B34" s="11" t="s">
        <v>227</v>
      </c>
      <c r="C34" t="s">
        <v>203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1" x14ac:dyDescent="0.25">
      <c r="B35" s="11" t="s">
        <v>228</v>
      </c>
      <c r="C35" t="s">
        <v>204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1" x14ac:dyDescent="0.25">
      <c r="B36" s="11" t="s">
        <v>229</v>
      </c>
      <c r="C36" t="s">
        <v>205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882.28485769999998</v>
      </c>
      <c r="O36">
        <v>1736.9372940000001</v>
      </c>
      <c r="P36">
        <v>2713.058395</v>
      </c>
      <c r="Q36">
        <v>3719.5187270000001</v>
      </c>
      <c r="R36">
        <v>5332.1552490000004</v>
      </c>
      <c r="S36">
        <v>5271.6671690000003</v>
      </c>
      <c r="T36">
        <v>5175.6218200000003</v>
      </c>
      <c r="U36">
        <v>5019.5414339999998</v>
      </c>
      <c r="V36">
        <v>4854.2733239999998</v>
      </c>
      <c r="W36">
        <v>4679.7853789999999</v>
      </c>
      <c r="X36">
        <v>4603.5512600000002</v>
      </c>
      <c r="Y36">
        <v>4523.5657229999997</v>
      </c>
      <c r="Z36">
        <v>4426.1807120000003</v>
      </c>
      <c r="AA36">
        <v>4336.4638080000004</v>
      </c>
      <c r="AB36">
        <v>4250.8515719999996</v>
      </c>
      <c r="AC36">
        <v>4167.1391240000003</v>
      </c>
      <c r="AD36">
        <v>4084.0851790000002</v>
      </c>
      <c r="AE36">
        <v>4002.8592189999999</v>
      </c>
      <c r="AF36">
        <v>3918.1667729999999</v>
      </c>
      <c r="AG36">
        <v>3832.3532810000002</v>
      </c>
      <c r="AH36">
        <v>3745.9570050000002</v>
      </c>
      <c r="AI36">
        <v>3657.2083680000001</v>
      </c>
      <c r="AJ36">
        <v>3575.9355679999999</v>
      </c>
      <c r="AK36">
        <v>3497.2599110000001</v>
      </c>
      <c r="AL36">
        <v>3420.5983510000001</v>
      </c>
      <c r="AM36">
        <v>3345.7049459999998</v>
      </c>
      <c r="AN36">
        <v>3272.7044000000001</v>
      </c>
      <c r="AO36">
        <v>3195.926845</v>
      </c>
      <c r="AP36">
        <v>3119.8798240000001</v>
      </c>
      <c r="AQ36">
        <v>3044.4721559999998</v>
      </c>
      <c r="AR36">
        <v>2969.7843469999998</v>
      </c>
      <c r="AS36">
        <v>2895.8530569999998</v>
      </c>
      <c r="AT36">
        <v>2821.7120540000001</v>
      </c>
      <c r="AU36">
        <v>2748.4371780000001</v>
      </c>
      <c r="AV36">
        <v>2675.332097</v>
      </c>
      <c r="AW36">
        <v>2603.4752779999999</v>
      </c>
      <c r="AX36">
        <v>2533.0898820000002</v>
      </c>
    </row>
    <row r="37" spans="1:51" ht="15.75" thickBot="1" x14ac:dyDescent="0.3">
      <c r="B37" s="11" t="s">
        <v>230</v>
      </c>
      <c r="C37" t="s">
        <v>206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804.87323330000004</v>
      </c>
      <c r="O37">
        <v>1636.4205260000001</v>
      </c>
      <c r="P37">
        <v>2517.5887990000001</v>
      </c>
      <c r="Q37">
        <v>3417.9981579999999</v>
      </c>
      <c r="R37">
        <v>4753.4040869999999</v>
      </c>
      <c r="S37">
        <v>4618.4269270000004</v>
      </c>
      <c r="T37">
        <v>4516.853255</v>
      </c>
      <c r="U37">
        <v>4481.9143260000001</v>
      </c>
      <c r="V37">
        <v>4453.2839620000004</v>
      </c>
      <c r="W37">
        <v>4449.0536009999996</v>
      </c>
      <c r="X37">
        <v>4524.5909499999998</v>
      </c>
      <c r="Y37">
        <v>4574.2869659999997</v>
      </c>
      <c r="Z37">
        <v>4565.374804</v>
      </c>
      <c r="AA37">
        <v>4566.5347220000003</v>
      </c>
      <c r="AB37">
        <v>4571.7816080000002</v>
      </c>
      <c r="AC37">
        <v>4578.5093470000002</v>
      </c>
      <c r="AD37">
        <v>4588.2623830000002</v>
      </c>
      <c r="AE37">
        <v>4579.8662210000002</v>
      </c>
      <c r="AF37">
        <v>4574.0830249999999</v>
      </c>
      <c r="AG37">
        <v>4570.3512940000001</v>
      </c>
      <c r="AH37">
        <v>4566.7283509999997</v>
      </c>
      <c r="AI37">
        <v>4566.4769619999997</v>
      </c>
      <c r="AJ37">
        <v>4582.2888640000001</v>
      </c>
      <c r="AK37">
        <v>4600.5013369999997</v>
      </c>
      <c r="AL37">
        <v>4620.2468980000003</v>
      </c>
      <c r="AM37">
        <v>4641.3396210000001</v>
      </c>
      <c r="AN37">
        <v>4663.012815</v>
      </c>
      <c r="AO37">
        <v>4695.203004</v>
      </c>
      <c r="AP37">
        <v>4730.5870089999999</v>
      </c>
      <c r="AQ37">
        <v>4765.6236600000002</v>
      </c>
      <c r="AR37">
        <v>4801.0399189999998</v>
      </c>
      <c r="AS37">
        <v>4835.9384810000001</v>
      </c>
      <c r="AT37">
        <v>4880.9186989999998</v>
      </c>
      <c r="AU37">
        <v>4926.079495</v>
      </c>
      <c r="AV37">
        <v>4971.107051</v>
      </c>
      <c r="AW37">
        <v>5017.2262879999998</v>
      </c>
      <c r="AX37">
        <v>5065.3507579999996</v>
      </c>
    </row>
    <row r="38" spans="1:51" x14ac:dyDescent="0.25">
      <c r="A38" s="6"/>
      <c r="B38" s="14" t="s">
        <v>120</v>
      </c>
      <c r="C38" s="25" t="s">
        <v>62</v>
      </c>
      <c r="F38">
        <v>46046.847899999899</v>
      </c>
      <c r="G38">
        <v>41515.083299999998</v>
      </c>
      <c r="H38">
        <v>39594.513199999899</v>
      </c>
      <c r="I38">
        <v>69718.510299999907</v>
      </c>
      <c r="J38">
        <v>87488.348599999998</v>
      </c>
      <c r="K38">
        <v>77038.754599999898</v>
      </c>
      <c r="L38">
        <v>81118.732499999998</v>
      </c>
      <c r="M38">
        <v>92939.120999999999</v>
      </c>
      <c r="N38">
        <v>101137.91099999999</v>
      </c>
      <c r="O38">
        <v>107539.250999999</v>
      </c>
      <c r="P38">
        <v>112002.027</v>
      </c>
      <c r="Q38">
        <v>106420.947999999</v>
      </c>
      <c r="R38">
        <v>102279.61599999999</v>
      </c>
      <c r="S38">
        <v>108345.105</v>
      </c>
      <c r="T38">
        <v>123607.720999999</v>
      </c>
      <c r="U38">
        <v>139142.73199999999</v>
      </c>
      <c r="V38">
        <v>148016.42099999901</v>
      </c>
      <c r="W38">
        <v>160126.872</v>
      </c>
      <c r="X38">
        <v>169040.22</v>
      </c>
      <c r="Y38">
        <v>180349.641</v>
      </c>
      <c r="Z38">
        <v>194109.44499999899</v>
      </c>
      <c r="AA38">
        <v>209638.351</v>
      </c>
      <c r="AB38">
        <v>224034.74299999999</v>
      </c>
      <c r="AC38">
        <v>238668.318</v>
      </c>
      <c r="AD38">
        <v>252209.16999999899</v>
      </c>
      <c r="AE38">
        <v>266381.90899999999</v>
      </c>
      <c r="AF38">
        <v>282234.75699999998</v>
      </c>
      <c r="AG38">
        <v>298025.00099999999</v>
      </c>
      <c r="AH38">
        <v>314918.26400000002</v>
      </c>
      <c r="AI38">
        <v>333068.071</v>
      </c>
      <c r="AJ38">
        <v>351738.04099999898</v>
      </c>
      <c r="AK38">
        <v>372926.83500000002</v>
      </c>
      <c r="AL38">
        <v>395367.136</v>
      </c>
      <c r="AM38">
        <v>418698.03499999898</v>
      </c>
      <c r="AN38">
        <v>443370.67799999902</v>
      </c>
      <c r="AO38">
        <v>469817.95099999901</v>
      </c>
      <c r="AP38">
        <v>498305.43099999998</v>
      </c>
      <c r="AQ38">
        <v>527843.59100000001</v>
      </c>
      <c r="AR38">
        <v>558361.52899999998</v>
      </c>
      <c r="AS38">
        <v>590045.17700000003</v>
      </c>
      <c r="AT38">
        <v>623173.86599999899</v>
      </c>
      <c r="AU38">
        <v>657605.478</v>
      </c>
      <c r="AV38">
        <v>693820.201</v>
      </c>
      <c r="AW38">
        <v>731741.25799999898</v>
      </c>
      <c r="AX38">
        <v>769923.52</v>
      </c>
    </row>
    <row r="39" spans="1:51" x14ac:dyDescent="0.25">
      <c r="A39" s="7"/>
      <c r="B39" s="15" t="s">
        <v>96</v>
      </c>
      <c r="C39" s="25" t="s">
        <v>63</v>
      </c>
      <c r="F39">
        <v>2.61247156255364E-2</v>
      </c>
      <c r="G39">
        <v>2.27444199723629E-2</v>
      </c>
      <c r="H39">
        <v>2.1522202252119298E-2</v>
      </c>
      <c r="I39">
        <v>3.8636076230315203E-2</v>
      </c>
      <c r="J39">
        <v>4.7502792740004601E-2</v>
      </c>
      <c r="K39">
        <v>4.1135130891583403E-2</v>
      </c>
      <c r="L39">
        <v>4.3197439475360498E-2</v>
      </c>
      <c r="M39">
        <v>4.9103404884988502E-2</v>
      </c>
      <c r="N39">
        <v>5.2446889523165202E-2</v>
      </c>
      <c r="O39">
        <v>5.4724876284302199E-2</v>
      </c>
      <c r="P39">
        <v>5.5834332859289001E-2</v>
      </c>
      <c r="Q39">
        <v>5.1298635188608298E-2</v>
      </c>
      <c r="R39">
        <v>4.76202381268769E-2</v>
      </c>
      <c r="S39">
        <v>4.8286177065300397E-2</v>
      </c>
      <c r="T39">
        <v>5.3494859461421101E-2</v>
      </c>
      <c r="U39">
        <v>5.8288537296657401E-2</v>
      </c>
      <c r="V39">
        <v>6.0211742749687602E-2</v>
      </c>
      <c r="W39">
        <v>6.2828808180089402E-2</v>
      </c>
      <c r="X39">
        <v>6.4302090647118795E-2</v>
      </c>
      <c r="Y39">
        <v>6.6781025666347402E-2</v>
      </c>
      <c r="Z39">
        <v>7.0064053691594505E-2</v>
      </c>
      <c r="AA39">
        <v>7.3621487575413397E-2</v>
      </c>
      <c r="AB39">
        <v>7.6485172456453504E-2</v>
      </c>
      <c r="AC39">
        <v>7.92071432887725E-2</v>
      </c>
      <c r="AD39">
        <v>8.1346987065981799E-2</v>
      </c>
      <c r="AE39">
        <v>8.3453501404376698E-2</v>
      </c>
      <c r="AF39">
        <v>8.58257942552378E-2</v>
      </c>
      <c r="AG39">
        <v>8.79238636006867E-2</v>
      </c>
      <c r="AH39">
        <v>9.0093613674313497E-2</v>
      </c>
      <c r="AI39">
        <v>9.2296793382980302E-2</v>
      </c>
      <c r="AJ39">
        <v>9.4347298860333495E-2</v>
      </c>
      <c r="AK39">
        <v>9.6778738439399103E-2</v>
      </c>
      <c r="AL39">
        <v>9.9214241708546896E-2</v>
      </c>
      <c r="AM39">
        <v>0.101567819063275</v>
      </c>
      <c r="AN39">
        <v>0.10396142034790599</v>
      </c>
      <c r="AO39">
        <v>0.10652452833640701</v>
      </c>
      <c r="AP39">
        <v>0.10921030334130701</v>
      </c>
      <c r="AQ39">
        <v>0.111843048329253</v>
      </c>
      <c r="AR39">
        <v>0.11438128051435199</v>
      </c>
      <c r="AS39">
        <v>0.11689909417111501</v>
      </c>
      <c r="AT39">
        <v>0.119405680173229</v>
      </c>
      <c r="AU39">
        <v>0.12187955082519</v>
      </c>
      <c r="AV39">
        <v>0.124390908340796</v>
      </c>
      <c r="AW39">
        <v>0.126913869041308</v>
      </c>
      <c r="AX39">
        <v>0.129093717548146</v>
      </c>
      <c r="AY39">
        <f>AX39-AX3</f>
        <v>-6.5593352631199142E-4</v>
      </c>
    </row>
    <row r="40" spans="1:51" x14ac:dyDescent="0.25">
      <c r="A40" s="7"/>
      <c r="B40" s="16" t="s">
        <v>97</v>
      </c>
      <c r="C40" s="25" t="s">
        <v>36</v>
      </c>
      <c r="E40">
        <v>912128.34170305706</v>
      </c>
      <c r="F40">
        <v>937425.07259999996</v>
      </c>
      <c r="G40">
        <v>961862.00450000004</v>
      </c>
      <c r="H40">
        <v>986659.89729999995</v>
      </c>
      <c r="I40">
        <v>1008523.498</v>
      </c>
      <c r="J40">
        <v>1032902.336</v>
      </c>
      <c r="K40">
        <v>1047851.843</v>
      </c>
      <c r="L40">
        <v>1070612.0560000001</v>
      </c>
      <c r="M40">
        <v>1095908.192</v>
      </c>
      <c r="N40">
        <v>1121771.642</v>
      </c>
      <c r="O40">
        <v>1148883.034</v>
      </c>
      <c r="P40">
        <v>1175814.398</v>
      </c>
      <c r="Q40">
        <v>1206902.7879999999</v>
      </c>
      <c r="R40">
        <v>1245996.2320000001</v>
      </c>
      <c r="S40">
        <v>1296419.371</v>
      </c>
      <c r="T40">
        <v>1350708.45</v>
      </c>
      <c r="U40">
        <v>1402975.7320000001</v>
      </c>
      <c r="V40">
        <v>1451638.585</v>
      </c>
      <c r="W40">
        <v>1509929.6640000001</v>
      </c>
      <c r="X40" s="27">
        <v>1562504.7169999999</v>
      </c>
      <c r="Y40">
        <v>1613383.176</v>
      </c>
      <c r="Z40">
        <v>1665297.15</v>
      </c>
      <c r="AA40">
        <v>1719346.4350000001</v>
      </c>
      <c r="AB40">
        <v>1775567.466</v>
      </c>
      <c r="AC40">
        <v>1833395.2439999999</v>
      </c>
      <c r="AD40">
        <v>1893323.4509999999</v>
      </c>
      <c r="AE40">
        <v>1955899.78</v>
      </c>
      <c r="AF40">
        <v>2021046.4480000001</v>
      </c>
      <c r="AG40">
        <v>2089099.3859999999</v>
      </c>
      <c r="AH40">
        <v>2161002.7620000001</v>
      </c>
      <c r="AI40">
        <v>2237105.5180000002</v>
      </c>
      <c r="AJ40">
        <v>2318176.4929999998</v>
      </c>
      <c r="AK40">
        <v>2404908.96</v>
      </c>
      <c r="AL40">
        <v>2495727.6710000001</v>
      </c>
      <c r="AM40">
        <v>2590785.1519999998</v>
      </c>
      <c r="AN40">
        <v>2689784.253</v>
      </c>
      <c r="AO40">
        <v>2793482.5329999998</v>
      </c>
      <c r="AP40">
        <v>2901786.6090000002</v>
      </c>
      <c r="AQ40">
        <v>3013748.41</v>
      </c>
      <c r="AR40">
        <v>3129322.3459999999</v>
      </c>
      <c r="AS40">
        <v>3248464.4539999999</v>
      </c>
      <c r="AT40">
        <v>3371392.0389999999</v>
      </c>
      <c r="AU40">
        <v>3498694.602</v>
      </c>
      <c r="AV40">
        <v>3630730.4670000002</v>
      </c>
      <c r="AW40">
        <v>3767498.9040000001</v>
      </c>
      <c r="AX40">
        <v>3909429.0589999999</v>
      </c>
    </row>
    <row r="41" spans="1:51" x14ac:dyDescent="0.25">
      <c r="A41" s="7"/>
      <c r="B41" s="10" t="s">
        <v>98</v>
      </c>
      <c r="C41" s="25" t="s">
        <v>27</v>
      </c>
      <c r="D41">
        <v>225891.81435188401</v>
      </c>
      <c r="E41">
        <v>234108.95210804199</v>
      </c>
      <c r="F41">
        <v>242473.938303237</v>
      </c>
      <c r="G41">
        <v>250402.08440805299</v>
      </c>
      <c r="H41">
        <v>256846.06168309599</v>
      </c>
      <c r="I41">
        <v>262566.57510194997</v>
      </c>
      <c r="J41">
        <v>263167.14271761</v>
      </c>
      <c r="K41">
        <v>263676.15311143798</v>
      </c>
      <c r="L41">
        <v>266631.638513499</v>
      </c>
      <c r="M41">
        <v>271219.49805156898</v>
      </c>
      <c r="N41">
        <v>274530.54164924502</v>
      </c>
      <c r="O41">
        <v>277636.50783186499</v>
      </c>
      <c r="P41">
        <v>281316.61818509299</v>
      </c>
      <c r="Q41">
        <v>286630.629226544</v>
      </c>
      <c r="R41">
        <v>294477.81583703199</v>
      </c>
      <c r="S41">
        <v>304804.23231272702</v>
      </c>
      <c r="T41">
        <v>315357.140039469</v>
      </c>
      <c r="U41">
        <v>325800.820331353</v>
      </c>
      <c r="V41">
        <v>336494.29697676701</v>
      </c>
      <c r="W41">
        <v>349298.69764229399</v>
      </c>
      <c r="X41">
        <v>361045.37501781801</v>
      </c>
      <c r="Y41">
        <v>371489.96702563699</v>
      </c>
      <c r="Z41">
        <v>382419.34193301998</v>
      </c>
      <c r="AA41">
        <v>393734.585238998</v>
      </c>
      <c r="AB41">
        <v>405428.37664076302</v>
      </c>
      <c r="AC41">
        <v>417383.43361572298</v>
      </c>
      <c r="AD41">
        <v>429740.74403045297</v>
      </c>
      <c r="AE41">
        <v>442689.57535553601</v>
      </c>
      <c r="AF41">
        <v>456216.823836172</v>
      </c>
      <c r="AG41">
        <v>470447.91963798099</v>
      </c>
      <c r="AH41">
        <v>485554.74143010098</v>
      </c>
      <c r="AI41">
        <v>501638.97664464201</v>
      </c>
      <c r="AJ41">
        <v>518806.15465585899</v>
      </c>
      <c r="AK41">
        <v>537162.07191798405</v>
      </c>
      <c r="AL41">
        <v>556274.11796896497</v>
      </c>
      <c r="AM41">
        <v>576201.72503964603</v>
      </c>
      <c r="AN41">
        <v>596859.65374071605</v>
      </c>
      <c r="AO41">
        <v>618353.07261513604</v>
      </c>
      <c r="AP41">
        <v>640638.92732058</v>
      </c>
      <c r="AQ41">
        <v>663460.04362139397</v>
      </c>
      <c r="AR41">
        <v>686817.267746864</v>
      </c>
      <c r="AS41">
        <v>710717.434969289</v>
      </c>
      <c r="AT41">
        <v>735266.53838741803</v>
      </c>
      <c r="AU41">
        <v>760558.02236784401</v>
      </c>
      <c r="AV41">
        <v>786689.63353029301</v>
      </c>
      <c r="AW41">
        <v>813644.51415080903</v>
      </c>
      <c r="AX41">
        <v>841552.8177752</v>
      </c>
    </row>
    <row r="42" spans="1:51" x14ac:dyDescent="0.25">
      <c r="A42" s="7" t="s">
        <v>109</v>
      </c>
      <c r="B42" s="10" t="s">
        <v>99</v>
      </c>
      <c r="C42" s="25" t="s">
        <v>57</v>
      </c>
      <c r="E42">
        <v>41668.560924012403</v>
      </c>
      <c r="F42">
        <v>43184.314410679799</v>
      </c>
      <c r="G42">
        <v>43187.914989198202</v>
      </c>
      <c r="H42">
        <v>42585.465449021503</v>
      </c>
      <c r="I42">
        <v>43691.244831975499</v>
      </c>
      <c r="J42">
        <v>43903.568627556102</v>
      </c>
      <c r="K42">
        <v>45997.250153845998</v>
      </c>
      <c r="L42">
        <v>47736.632181454297</v>
      </c>
      <c r="M42">
        <v>49746.374043136602</v>
      </c>
      <c r="N42">
        <v>51750.620383076603</v>
      </c>
      <c r="O42">
        <v>54600.3663971469</v>
      </c>
      <c r="P42">
        <v>57036.086188063899</v>
      </c>
      <c r="Q42">
        <v>59608.469608676802</v>
      </c>
      <c r="R42">
        <v>63917.695767837897</v>
      </c>
      <c r="S42">
        <v>69712.845432001006</v>
      </c>
      <c r="T42">
        <v>75012.737015893596</v>
      </c>
      <c r="U42">
        <v>81112.826552230807</v>
      </c>
      <c r="V42">
        <v>87706.557915988902</v>
      </c>
      <c r="W42">
        <v>94734.859813178598</v>
      </c>
      <c r="X42">
        <v>102253.859173937</v>
      </c>
      <c r="Y42">
        <v>109977.52669341701</v>
      </c>
      <c r="Z42">
        <v>118027.458385099</v>
      </c>
      <c r="AA42">
        <v>126421.96063325999</v>
      </c>
      <c r="AB42">
        <v>135296.84420025401</v>
      </c>
      <c r="AC42">
        <v>144651.93749622101</v>
      </c>
      <c r="AD42">
        <v>154507.21214488399</v>
      </c>
      <c r="AE42">
        <v>164837.067954973</v>
      </c>
      <c r="AF42">
        <v>175802.144631159</v>
      </c>
      <c r="AG42">
        <v>187201.92728183701</v>
      </c>
      <c r="AH42">
        <v>199276.27632945601</v>
      </c>
      <c r="AI42">
        <v>212064.44652325401</v>
      </c>
      <c r="AJ42">
        <v>225445.005214326</v>
      </c>
      <c r="AK42">
        <v>239844.98967506</v>
      </c>
      <c r="AL42">
        <v>255027.825832562</v>
      </c>
      <c r="AM42">
        <v>271071.26421097398</v>
      </c>
      <c r="AN42">
        <v>287995.50189686997</v>
      </c>
      <c r="AO42">
        <v>305858.13668381702</v>
      </c>
      <c r="AP42">
        <v>324801.80638810201</v>
      </c>
      <c r="AQ42">
        <v>344825.450489724</v>
      </c>
      <c r="AR42">
        <v>365979.91815551999</v>
      </c>
      <c r="AS42">
        <v>388302.85321740701</v>
      </c>
      <c r="AT42">
        <v>411828.12701961998</v>
      </c>
      <c r="AU42">
        <v>436674.64710725402</v>
      </c>
      <c r="AV42">
        <v>462881.70466414897</v>
      </c>
      <c r="AW42">
        <v>490504.236667416</v>
      </c>
      <c r="AX42">
        <v>519590.95479655499</v>
      </c>
    </row>
    <row r="43" spans="1:51" x14ac:dyDescent="0.25">
      <c r="A43" s="7"/>
      <c r="B43" s="10" t="s">
        <v>119</v>
      </c>
      <c r="C43" s="25" t="s">
        <v>33</v>
      </c>
      <c r="D43">
        <v>5997.7127998138503</v>
      </c>
      <c r="E43">
        <v>6215.8881792066404</v>
      </c>
      <c r="F43">
        <v>6313.0449157393796</v>
      </c>
      <c r="G43">
        <v>6408.2141414600701</v>
      </c>
      <c r="H43">
        <v>6729.4513456302902</v>
      </c>
      <c r="I43">
        <v>6554.4747929438499</v>
      </c>
      <c r="J43">
        <v>6722.3093920418196</v>
      </c>
      <c r="K43">
        <v>7044.4624935135098</v>
      </c>
      <c r="L43">
        <v>7352.3920376775204</v>
      </c>
      <c r="M43">
        <v>7418.0232756836103</v>
      </c>
      <c r="N43">
        <v>7378.7941526424402</v>
      </c>
      <c r="O43">
        <v>7231.5170872066801</v>
      </c>
      <c r="P43">
        <v>6831.6070579829102</v>
      </c>
      <c r="Q43">
        <v>6866.0635570142404</v>
      </c>
      <c r="R43">
        <v>7125.6746788884202</v>
      </c>
      <c r="S43">
        <v>7046.9340329443603</v>
      </c>
      <c r="T43">
        <v>6890.9903251292299</v>
      </c>
      <c r="U43">
        <v>7036.17683299485</v>
      </c>
      <c r="V43">
        <v>7189.86055187492</v>
      </c>
      <c r="W43">
        <v>7336.3779039851497</v>
      </c>
      <c r="X43">
        <v>7448.1304054883803</v>
      </c>
      <c r="Y43">
        <v>7526.3312624611599</v>
      </c>
      <c r="Z43">
        <v>7587.57252306384</v>
      </c>
      <c r="AA43">
        <v>7656.62565182854</v>
      </c>
      <c r="AB43">
        <v>7726.9633946819404</v>
      </c>
      <c r="AC43">
        <v>7799.3385336391702</v>
      </c>
      <c r="AD43">
        <v>7871.6266029419303</v>
      </c>
      <c r="AE43">
        <v>7942.2858753717501</v>
      </c>
      <c r="AF43">
        <v>8014.16729643897</v>
      </c>
      <c r="AG43">
        <v>8082.0013136809903</v>
      </c>
      <c r="AH43">
        <v>8150.12906408864</v>
      </c>
      <c r="AI43">
        <v>8218.1523672697094</v>
      </c>
      <c r="AJ43">
        <v>8286.3014747963298</v>
      </c>
      <c r="AK43">
        <v>8353.6826396775195</v>
      </c>
      <c r="AL43">
        <v>8424.3078300748002</v>
      </c>
      <c r="AM43">
        <v>8495.5241154451705</v>
      </c>
      <c r="AN43">
        <v>8568.0832561126008</v>
      </c>
      <c r="AO43">
        <v>8642.9975009561804</v>
      </c>
      <c r="AP43">
        <v>8718.3684854845706</v>
      </c>
      <c r="AQ43">
        <v>8795.6426318517006</v>
      </c>
      <c r="AR43">
        <v>8873.7413281865793</v>
      </c>
      <c r="AS43">
        <v>8952.60386192841</v>
      </c>
      <c r="AT43">
        <v>9034.6113965318</v>
      </c>
      <c r="AU43">
        <v>9117.7577681212206</v>
      </c>
      <c r="AV43">
        <v>9204.8883002945695</v>
      </c>
      <c r="AW43">
        <v>9287.5806697927601</v>
      </c>
      <c r="AX43">
        <v>9370.0127850486406</v>
      </c>
    </row>
    <row r="44" spans="1:51" x14ac:dyDescent="0.25">
      <c r="A44" s="7"/>
      <c r="B44" s="10" t="s">
        <v>100</v>
      </c>
      <c r="C44" s="25" t="s">
        <v>34</v>
      </c>
      <c r="D44">
        <v>79234.608835044695</v>
      </c>
      <c r="E44">
        <v>82116.881031232799</v>
      </c>
      <c r="F44">
        <v>84010.915066809597</v>
      </c>
      <c r="G44">
        <v>86823.458780301196</v>
      </c>
      <c r="H44">
        <v>87308.062903111306</v>
      </c>
      <c r="I44">
        <v>81976.690337117398</v>
      </c>
      <c r="J44">
        <v>85097.049815444698</v>
      </c>
      <c r="K44">
        <v>86655.462742402902</v>
      </c>
      <c r="L44">
        <v>86623.654967245398</v>
      </c>
      <c r="M44">
        <v>87570.649626351296</v>
      </c>
      <c r="N44">
        <v>89540.405566316796</v>
      </c>
      <c r="O44">
        <v>92873.071492594696</v>
      </c>
      <c r="P44">
        <v>94878.687355119197</v>
      </c>
      <c r="Q44">
        <v>99511.806249249203</v>
      </c>
      <c r="R44">
        <v>103270.418622572</v>
      </c>
      <c r="S44">
        <v>108144.715426971</v>
      </c>
      <c r="T44">
        <v>111864.50092066301</v>
      </c>
      <c r="U44">
        <v>115659.21819073999</v>
      </c>
      <c r="V44">
        <v>119505.10706126899</v>
      </c>
      <c r="W44">
        <v>123828.109196208</v>
      </c>
      <c r="X44">
        <v>128108.560620501</v>
      </c>
      <c r="Y44">
        <v>132135.527131418</v>
      </c>
      <c r="Z44">
        <v>136104.155888712</v>
      </c>
      <c r="AA44">
        <v>140166.338340255</v>
      </c>
      <c r="AB44">
        <v>144366.93503512099</v>
      </c>
      <c r="AC44">
        <v>148694.88332711899</v>
      </c>
      <c r="AD44">
        <v>153177.28290835701</v>
      </c>
      <c r="AE44">
        <v>157778.94632746201</v>
      </c>
      <c r="AF44">
        <v>162579.72913827599</v>
      </c>
      <c r="AG44">
        <v>167590.31409322601</v>
      </c>
      <c r="AH44">
        <v>172849.21654990199</v>
      </c>
      <c r="AI44">
        <v>178423.06807110301</v>
      </c>
      <c r="AJ44">
        <v>184315.28709848601</v>
      </c>
      <c r="AK44">
        <v>190578.77438031201</v>
      </c>
      <c r="AL44">
        <v>197169.97357860999</v>
      </c>
      <c r="AM44">
        <v>204078.34536449501</v>
      </c>
      <c r="AN44">
        <v>211281.677042703</v>
      </c>
      <c r="AO44">
        <v>218780.94727996801</v>
      </c>
      <c r="AP44">
        <v>226591.11710605401</v>
      </c>
      <c r="AQ44">
        <v>234658.82111510501</v>
      </c>
      <c r="AR44">
        <v>242968.13825879199</v>
      </c>
      <c r="AS44">
        <v>251503.733840976</v>
      </c>
      <c r="AT44">
        <v>260282.97835735799</v>
      </c>
      <c r="AU44">
        <v>269319.95030976098</v>
      </c>
      <c r="AV44">
        <v>278643.19014186098</v>
      </c>
      <c r="AW44">
        <v>288259.83350806299</v>
      </c>
      <c r="AX44">
        <v>298209.73609430302</v>
      </c>
    </row>
    <row r="45" spans="1:51" x14ac:dyDescent="0.25">
      <c r="A45" s="7"/>
      <c r="B45" s="10" t="s">
        <v>101</v>
      </c>
      <c r="C45" s="25" t="s">
        <v>35</v>
      </c>
      <c r="D45">
        <v>7105.6417398601798</v>
      </c>
      <c r="E45">
        <v>7364.1196187061596</v>
      </c>
      <c r="F45">
        <v>7461.7211582853897</v>
      </c>
      <c r="G45">
        <v>7630.9432812661898</v>
      </c>
      <c r="H45">
        <v>7780.8692882559899</v>
      </c>
      <c r="I45">
        <v>7889.7548368841499</v>
      </c>
      <c r="J45">
        <v>7984.8461921271401</v>
      </c>
      <c r="K45">
        <v>8073.1776391085996</v>
      </c>
      <c r="L45">
        <v>8165.7127711457697</v>
      </c>
      <c r="M45">
        <v>8284.1869296038094</v>
      </c>
      <c r="N45">
        <v>8396.21327444694</v>
      </c>
      <c r="O45">
        <v>8558.75429263769</v>
      </c>
      <c r="P45">
        <v>8722.3275412884905</v>
      </c>
      <c r="Q45">
        <v>8949.8236367764603</v>
      </c>
      <c r="R45">
        <v>9200.50875333982</v>
      </c>
      <c r="S45">
        <v>9520.9596082356602</v>
      </c>
      <c r="T45">
        <v>9847.0823749253905</v>
      </c>
      <c r="U45">
        <v>10181.9355172347</v>
      </c>
      <c r="V45">
        <v>10520.846349019899</v>
      </c>
      <c r="W45">
        <v>10900.938901580301</v>
      </c>
      <c r="X45">
        <v>11277.8006376217</v>
      </c>
      <c r="Y45">
        <v>11633.1416246915</v>
      </c>
      <c r="Z45">
        <v>11982.9975033754</v>
      </c>
      <c r="AA45">
        <v>12340.914103884699</v>
      </c>
      <c r="AB45">
        <v>12710.4900397532</v>
      </c>
      <c r="AC45">
        <v>13090.7759651694</v>
      </c>
      <c r="AD45">
        <v>13483.858563648701</v>
      </c>
      <c r="AE45">
        <v>13889.4579124579</v>
      </c>
      <c r="AF45">
        <v>14312.526550113</v>
      </c>
      <c r="AG45">
        <v>14753.848718551801</v>
      </c>
      <c r="AH45">
        <v>15216.604403388201</v>
      </c>
      <c r="AI45">
        <v>15706.3333576556</v>
      </c>
      <c r="AJ45">
        <v>16224.115205235599</v>
      </c>
      <c r="AK45">
        <v>16774.621604148098</v>
      </c>
      <c r="AL45">
        <v>17354.277617154501</v>
      </c>
      <c r="AM45">
        <v>17962.174121883199</v>
      </c>
      <c r="AN45">
        <v>18596.3612983118</v>
      </c>
      <c r="AO45">
        <v>19257.8640579079</v>
      </c>
      <c r="AP45">
        <v>19947.497281971999</v>
      </c>
      <c r="AQ45">
        <v>20660.353197899902</v>
      </c>
      <c r="AR45">
        <v>21394.876474158798</v>
      </c>
      <c r="AS45">
        <v>22149.5442794509</v>
      </c>
      <c r="AT45">
        <v>22925.600571747698</v>
      </c>
      <c r="AU45">
        <v>23724.217607697701</v>
      </c>
      <c r="AV45">
        <v>24547.7539026013</v>
      </c>
      <c r="AW45">
        <v>25396.822698192998</v>
      </c>
      <c r="AX45">
        <v>26273.509269234499</v>
      </c>
    </row>
    <row r="46" spans="1:51" x14ac:dyDescent="0.25">
      <c r="A46" s="7"/>
      <c r="B46" s="10" t="s">
        <v>102</v>
      </c>
      <c r="C46" s="25" t="s">
        <v>58</v>
      </c>
      <c r="D46">
        <v>56421.514030040198</v>
      </c>
      <c r="E46">
        <v>58473.927281605298</v>
      </c>
      <c r="F46">
        <v>60071.543667840997</v>
      </c>
      <c r="G46">
        <v>61013.010642954097</v>
      </c>
      <c r="H46">
        <v>60073.363367417798</v>
      </c>
      <c r="I46">
        <v>62700.447610286101</v>
      </c>
      <c r="J46">
        <v>63450.0053093346</v>
      </c>
      <c r="K46">
        <v>60935.4308334792</v>
      </c>
      <c r="L46">
        <v>63272.9855354061</v>
      </c>
      <c r="M46">
        <v>62819.217830514601</v>
      </c>
      <c r="N46">
        <v>61054.071712312201</v>
      </c>
      <c r="O46">
        <v>60796.704578978897</v>
      </c>
      <c r="P46">
        <v>62812.1712086302</v>
      </c>
      <c r="Q46">
        <v>62624.631519135401</v>
      </c>
      <c r="R46">
        <v>65020.912329070401</v>
      </c>
      <c r="S46">
        <v>71426.598661522206</v>
      </c>
      <c r="T46">
        <v>73890.333267714203</v>
      </c>
      <c r="U46">
        <v>76328.740899533397</v>
      </c>
      <c r="V46">
        <v>78845.265862886794</v>
      </c>
      <c r="W46">
        <v>81858.996921518905</v>
      </c>
      <c r="X46">
        <v>84615.757014948904</v>
      </c>
      <c r="Y46">
        <v>87076.979045478205</v>
      </c>
      <c r="Z46">
        <v>89619.649363634293</v>
      </c>
      <c r="AA46">
        <v>92261.629808623606</v>
      </c>
      <c r="AB46">
        <v>95019.3023937049</v>
      </c>
      <c r="AC46">
        <v>97852.041361625903</v>
      </c>
      <c r="AD46">
        <v>100789.359535614</v>
      </c>
      <c r="AE46">
        <v>103875.222877318</v>
      </c>
      <c r="AF46">
        <v>107102.60119431</v>
      </c>
      <c r="AG46">
        <v>110477.90322334701</v>
      </c>
      <c r="AH46">
        <v>114036.195447031</v>
      </c>
      <c r="AI46">
        <v>117830.334365088</v>
      </c>
      <c r="AJ46">
        <v>121846.01966579699</v>
      </c>
      <c r="AK46">
        <v>126133.111084381</v>
      </c>
      <c r="AL46">
        <v>130607.921814327</v>
      </c>
      <c r="AM46">
        <v>135281.80140861199</v>
      </c>
      <c r="AN46">
        <v>140136.690200357</v>
      </c>
      <c r="AO46">
        <v>145188.40893331199</v>
      </c>
      <c r="AP46">
        <v>150442.651264885</v>
      </c>
      <c r="AQ46">
        <v>155839.81973575501</v>
      </c>
      <c r="AR46">
        <v>161377.53488096001</v>
      </c>
      <c r="AS46">
        <v>167052.72209794199</v>
      </c>
      <c r="AT46">
        <v>172887.66632916499</v>
      </c>
      <c r="AU46">
        <v>178902.56352419799</v>
      </c>
      <c r="AV46">
        <v>185117.05698057599</v>
      </c>
      <c r="AW46">
        <v>191526.09013508199</v>
      </c>
      <c r="AX46">
        <v>198185.197608052</v>
      </c>
    </row>
    <row r="47" spans="1:51" x14ac:dyDescent="0.25">
      <c r="A47" s="7"/>
      <c r="B47" s="10" t="s">
        <v>103</v>
      </c>
      <c r="C47" s="25" t="s">
        <v>59</v>
      </c>
      <c r="D47">
        <v>107619.00345285299</v>
      </c>
      <c r="E47">
        <v>111533.798590915</v>
      </c>
      <c r="F47">
        <v>113942.673673624</v>
      </c>
      <c r="G47">
        <v>117442.672102032</v>
      </c>
      <c r="H47">
        <v>123159.05107199</v>
      </c>
      <c r="I47">
        <v>127288.16481709199</v>
      </c>
      <c r="J47">
        <v>132353.00432104801</v>
      </c>
      <c r="K47">
        <v>134411.74194275</v>
      </c>
      <c r="L47">
        <v>138386.77009091401</v>
      </c>
      <c r="M47">
        <v>143777.01769120299</v>
      </c>
      <c r="N47">
        <v>148459.893473623</v>
      </c>
      <c r="O47">
        <v>153311.54170001499</v>
      </c>
      <c r="P47">
        <v>158002.30168116401</v>
      </c>
      <c r="Q47">
        <v>162015.26339459801</v>
      </c>
      <c r="R47">
        <v>164253.738119852</v>
      </c>
      <c r="S47">
        <v>169990.653634174</v>
      </c>
      <c r="T47">
        <v>175872.75181603199</v>
      </c>
      <c r="U47">
        <v>181812.25955899601</v>
      </c>
      <c r="V47">
        <v>187877.36272803499</v>
      </c>
      <c r="W47">
        <v>194596.60749128499</v>
      </c>
      <c r="X47">
        <v>201329.86280277299</v>
      </c>
      <c r="Y47">
        <v>207695.44559353101</v>
      </c>
      <c r="Z47">
        <v>214003.31140457201</v>
      </c>
      <c r="AA47">
        <v>220401.91258253201</v>
      </c>
      <c r="AB47">
        <v>226974.47304270501</v>
      </c>
      <c r="AC47">
        <v>233718.561839495</v>
      </c>
      <c r="AD47">
        <v>240671.69328800499</v>
      </c>
      <c r="AE47">
        <v>247927.59733854001</v>
      </c>
      <c r="AF47">
        <v>255469.01740462001</v>
      </c>
      <c r="AG47">
        <v>263335.82958332001</v>
      </c>
      <c r="AH47">
        <v>271596.41942492098</v>
      </c>
      <c r="AI47">
        <v>280326.92262770102</v>
      </c>
      <c r="AJ47">
        <v>289578.82479785598</v>
      </c>
      <c r="AK47">
        <v>299426.10876720998</v>
      </c>
      <c r="AL47">
        <v>309797.31488230999</v>
      </c>
      <c r="AM47">
        <v>320671.01590109599</v>
      </c>
      <c r="AN47">
        <v>332015.30094212299</v>
      </c>
      <c r="AO47">
        <v>343837.32565198198</v>
      </c>
      <c r="AP47">
        <v>356142.114167728</v>
      </c>
      <c r="AQ47">
        <v>368862.87059063202</v>
      </c>
      <c r="AR47">
        <v>381964.266354085</v>
      </c>
      <c r="AS47">
        <v>395425.690443384</v>
      </c>
      <c r="AT47">
        <v>409261.19763281097</v>
      </c>
      <c r="AU47">
        <v>423501.208670697</v>
      </c>
      <c r="AV47">
        <v>438186.524029052</v>
      </c>
      <c r="AW47">
        <v>453330.43854949198</v>
      </c>
      <c r="AX47">
        <v>468978.61542268901</v>
      </c>
    </row>
    <row r="48" spans="1:51" x14ac:dyDescent="0.25">
      <c r="A48" s="7"/>
      <c r="B48" s="10" t="s">
        <v>122</v>
      </c>
      <c r="C48" s="25" t="s">
        <v>88</v>
      </c>
      <c r="D48">
        <v>8435.1564679157891</v>
      </c>
      <c r="E48">
        <v>8741.9973461055797</v>
      </c>
      <c r="F48">
        <v>9052.0675969999902</v>
      </c>
      <c r="G48">
        <v>9514.5739117800003</v>
      </c>
      <c r="H48">
        <v>9579.7847732219998</v>
      </c>
      <c r="I48">
        <v>9185.7674509654298</v>
      </c>
      <c r="J48">
        <v>9668.5068490490594</v>
      </c>
      <c r="K48">
        <v>9958.4653767711497</v>
      </c>
      <c r="L48">
        <v>10138.964105716699</v>
      </c>
      <c r="M48">
        <v>10380.176319512901</v>
      </c>
      <c r="N48">
        <v>10657.1592650766</v>
      </c>
      <c r="O48">
        <v>10910.0596640576</v>
      </c>
      <c r="P48">
        <v>11189.513861900399</v>
      </c>
      <c r="Q48">
        <v>11835.115698851199</v>
      </c>
      <c r="R48">
        <v>12147.1045862106</v>
      </c>
      <c r="S48">
        <v>12663.0461021705</v>
      </c>
      <c r="T48">
        <v>12921.231799204799</v>
      </c>
      <c r="U48">
        <v>13199.941720925901</v>
      </c>
      <c r="V48">
        <v>13543.214676526301</v>
      </c>
      <c r="W48">
        <v>13963.0580917201</v>
      </c>
      <c r="X48">
        <v>14460.8099127444</v>
      </c>
      <c r="Y48">
        <v>14942.922388498901</v>
      </c>
      <c r="Z48">
        <v>15402.337174274</v>
      </c>
      <c r="AA48">
        <v>15857.563340049701</v>
      </c>
      <c r="AB48">
        <v>16326.7565467229</v>
      </c>
      <c r="AC48">
        <v>16801.698027814</v>
      </c>
      <c r="AD48">
        <v>17290.195879286199</v>
      </c>
      <c r="AE48">
        <v>17741.197948783902</v>
      </c>
      <c r="AF48">
        <v>18183.931924217301</v>
      </c>
      <c r="AG48">
        <v>18655.284321819599</v>
      </c>
      <c r="AH48">
        <v>19148.3551255405</v>
      </c>
      <c r="AI48">
        <v>19641.270567846401</v>
      </c>
      <c r="AJ48">
        <v>20199.121478708199</v>
      </c>
      <c r="AK48">
        <v>20773.190466177999</v>
      </c>
      <c r="AL48">
        <v>21365.6705416558</v>
      </c>
      <c r="AM48">
        <v>21979.2157531511</v>
      </c>
      <c r="AN48">
        <v>22610.677788167399</v>
      </c>
      <c r="AO48">
        <v>23255.133755197399</v>
      </c>
      <c r="AP48">
        <v>23925.690976051901</v>
      </c>
      <c r="AQ48">
        <v>24614.7693562555</v>
      </c>
      <c r="AR48">
        <v>25323.915761449301</v>
      </c>
      <c r="AS48">
        <v>26050.124838068801</v>
      </c>
      <c r="AT48">
        <v>26807.467040679101</v>
      </c>
      <c r="AU48">
        <v>27587.478630202</v>
      </c>
      <c r="AV48">
        <v>28391.460272500401</v>
      </c>
      <c r="AW48">
        <v>29217.115636583301</v>
      </c>
      <c r="AX48">
        <v>30075.307390525199</v>
      </c>
    </row>
    <row r="49" spans="1:50" x14ac:dyDescent="0.25">
      <c r="A49" s="7"/>
      <c r="B49" s="10" t="s">
        <v>121</v>
      </c>
      <c r="C49" s="25" t="s">
        <v>89</v>
      </c>
      <c r="D49">
        <v>14588.351732425201</v>
      </c>
      <c r="E49">
        <v>15119.0238869898</v>
      </c>
      <c r="F49">
        <v>15344.915744161901</v>
      </c>
      <c r="G49">
        <v>15983.264385221501</v>
      </c>
      <c r="H49">
        <v>16301.288664277799</v>
      </c>
      <c r="I49">
        <v>15772.8406099602</v>
      </c>
      <c r="J49">
        <v>16234.241700519</v>
      </c>
      <c r="K49">
        <v>16522.807242641698</v>
      </c>
      <c r="L49">
        <v>16716.6891765746</v>
      </c>
      <c r="M49">
        <v>16911.0883982339</v>
      </c>
      <c r="N49">
        <v>17281.824338356801</v>
      </c>
      <c r="O49">
        <v>17695.965789157799</v>
      </c>
      <c r="P49">
        <v>18040.864778763698</v>
      </c>
      <c r="Q49">
        <v>18786.2881294525</v>
      </c>
      <c r="R49">
        <v>19467.161073550498</v>
      </c>
      <c r="S49">
        <v>20347.073573703499</v>
      </c>
      <c r="T49">
        <v>20953.956422928899</v>
      </c>
      <c r="U49">
        <v>21678.035987883501</v>
      </c>
      <c r="V49">
        <v>22367.955286598099</v>
      </c>
      <c r="W49">
        <v>23211.138729671398</v>
      </c>
      <c r="X49">
        <v>23986.600541050801</v>
      </c>
      <c r="Y49">
        <v>24700.1973736076</v>
      </c>
      <c r="Z49">
        <v>25363.868288173599</v>
      </c>
      <c r="AA49">
        <v>26090.909168765102</v>
      </c>
      <c r="AB49">
        <v>26862.051879923802</v>
      </c>
      <c r="AC49">
        <v>27665.075066030498</v>
      </c>
      <c r="AD49">
        <v>28507.0871129191</v>
      </c>
      <c r="AE49">
        <v>29331.805298110401</v>
      </c>
      <c r="AF49">
        <v>30203.1193053647</v>
      </c>
      <c r="AG49">
        <v>31116.714250514498</v>
      </c>
      <c r="AH49">
        <v>32073.707734237101</v>
      </c>
      <c r="AI49">
        <v>33094.242752874103</v>
      </c>
      <c r="AJ49">
        <v>34172.950620709002</v>
      </c>
      <c r="AK49">
        <v>35306.860044169902</v>
      </c>
      <c r="AL49">
        <v>36495.481097776101</v>
      </c>
      <c r="AM49">
        <v>37736.771649244998</v>
      </c>
      <c r="AN49">
        <v>39024.758870997699</v>
      </c>
      <c r="AO49">
        <v>40350.293433658902</v>
      </c>
      <c r="AP49">
        <v>41737.102805766597</v>
      </c>
      <c r="AQ49">
        <v>43163.025472036999</v>
      </c>
      <c r="AR49">
        <v>44634.003173937803</v>
      </c>
      <c r="AS49">
        <v>46141.256307241099</v>
      </c>
      <c r="AT49">
        <v>47697.834957379302</v>
      </c>
      <c r="AU49">
        <v>49298.295926644598</v>
      </c>
      <c r="AV49">
        <v>50950.513870694303</v>
      </c>
      <c r="AW49">
        <v>52654.900671151197</v>
      </c>
      <c r="AX49">
        <v>54437.530643243103</v>
      </c>
    </row>
    <row r="50" spans="1:50" x14ac:dyDescent="0.25">
      <c r="A50" s="7"/>
      <c r="B50" s="10" t="s">
        <v>106</v>
      </c>
      <c r="C50" s="25" t="s">
        <v>39</v>
      </c>
      <c r="D50">
        <v>334613.16054844699</v>
      </c>
      <c r="E50">
        <v>346785.19273624098</v>
      </c>
      <c r="F50">
        <v>355569.93800000002</v>
      </c>
      <c r="G50">
        <v>362474.15049999999</v>
      </c>
      <c r="H50">
        <v>375166.89110000001</v>
      </c>
      <c r="I50">
        <v>389779.75660000002</v>
      </c>
      <c r="J50">
        <v>402784.48389999999</v>
      </c>
      <c r="K50">
        <v>413040.95329999999</v>
      </c>
      <c r="L50">
        <v>424174.07860000001</v>
      </c>
      <c r="M50">
        <v>435846.93920000002</v>
      </c>
      <c r="N50">
        <v>448624.69179999997</v>
      </c>
      <c r="O50">
        <v>460339.77340000001</v>
      </c>
      <c r="P50">
        <v>470567.91450000001</v>
      </c>
      <c r="Q50">
        <v>482243.94400000002</v>
      </c>
      <c r="R50">
        <v>497227.38870000001</v>
      </c>
      <c r="S50">
        <v>511861.13459999999</v>
      </c>
      <c r="T50">
        <v>538863.15529999998</v>
      </c>
      <c r="U50">
        <v>556795.1973</v>
      </c>
      <c r="V50">
        <v>575163.65060000005</v>
      </c>
      <c r="W50">
        <v>596984.80830000003</v>
      </c>
      <c r="X50">
        <v>616974.23380000005</v>
      </c>
      <c r="Y50">
        <v>634679.92779999995</v>
      </c>
      <c r="Z50">
        <v>653454.95449999999</v>
      </c>
      <c r="AA50">
        <v>673062.18149999995</v>
      </c>
      <c r="AB50">
        <v>693389.22710000002</v>
      </c>
      <c r="AC50">
        <v>714103.46499999997</v>
      </c>
      <c r="AD50">
        <v>735453.21470000001</v>
      </c>
      <c r="AE50">
        <v>757778.37509999995</v>
      </c>
      <c r="AF50">
        <v>780812.15009999997</v>
      </c>
      <c r="AG50">
        <v>804843.18429999996</v>
      </c>
      <c r="AH50">
        <v>830262.72230000002</v>
      </c>
      <c r="AI50">
        <v>857164.69220000005</v>
      </c>
      <c r="AJ50">
        <v>886008.83929999999</v>
      </c>
      <c r="AK50">
        <v>916985.61609999998</v>
      </c>
      <c r="AL50">
        <v>949377.62329999998</v>
      </c>
      <c r="AM50">
        <v>983215.05</v>
      </c>
      <c r="AN50">
        <v>1018350.6139999999</v>
      </c>
      <c r="AO50">
        <v>1055003.878</v>
      </c>
      <c r="AP50">
        <v>1093209.6029999999</v>
      </c>
      <c r="AQ50">
        <v>1132492.2960000001</v>
      </c>
      <c r="AR50">
        <v>1172796.622</v>
      </c>
      <c r="AS50">
        <v>1214082.8910000001</v>
      </c>
      <c r="AT50">
        <v>1256510.675</v>
      </c>
      <c r="AU50">
        <v>1300223.3700000001</v>
      </c>
      <c r="AV50">
        <v>1345362.882</v>
      </c>
      <c r="AW50">
        <v>1391885.459</v>
      </c>
      <c r="AX50">
        <v>1439837.9609999999</v>
      </c>
    </row>
    <row r="51" spans="1:50" x14ac:dyDescent="0.25">
      <c r="A51" s="7"/>
      <c r="B51" s="10" t="s">
        <v>107</v>
      </c>
      <c r="C51" s="25" t="s">
        <v>130</v>
      </c>
      <c r="D51">
        <v>0</v>
      </c>
      <c r="E51">
        <v>0</v>
      </c>
      <c r="F51">
        <v>0</v>
      </c>
      <c r="G51">
        <v>981.71740569999997</v>
      </c>
      <c r="H51">
        <v>1275.764584</v>
      </c>
      <c r="I51">
        <v>1256.1846029999999</v>
      </c>
      <c r="J51">
        <v>962.83366820000003</v>
      </c>
      <c r="K51">
        <v>907.83579080000004</v>
      </c>
      <c r="L51">
        <v>730.04443790000005</v>
      </c>
      <c r="M51">
        <v>1046.0338630000001</v>
      </c>
      <c r="N51">
        <v>1478.055593</v>
      </c>
      <c r="O51">
        <v>2067.9391169999999</v>
      </c>
      <c r="P51">
        <v>1560.2962210000001</v>
      </c>
      <c r="Q51">
        <v>1611.524948</v>
      </c>
      <c r="R51">
        <v>1227.2902220000001</v>
      </c>
      <c r="S51">
        <v>1845.6156109999999</v>
      </c>
      <c r="T51">
        <v>1829.232982</v>
      </c>
      <c r="U51">
        <v>3502.7992079999999</v>
      </c>
      <c r="V51">
        <v>2632.516799</v>
      </c>
      <c r="W51">
        <v>2779.911599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 s="7"/>
      <c r="B52" s="10" t="s">
        <v>108</v>
      </c>
      <c r="C52" s="25" t="s">
        <v>40</v>
      </c>
      <c r="D52">
        <v>0</v>
      </c>
      <c r="E52">
        <v>0</v>
      </c>
      <c r="F52">
        <v>0</v>
      </c>
      <c r="G52">
        <v>0</v>
      </c>
      <c r="H52">
        <v>-146.1568862</v>
      </c>
      <c r="I52">
        <v>-138.40401420000001</v>
      </c>
      <c r="J52">
        <v>-122.1721342</v>
      </c>
      <c r="K52">
        <v>-60.537773860000001</v>
      </c>
      <c r="L52">
        <v>30.85194285</v>
      </c>
      <c r="M52">
        <v>248.6645532</v>
      </c>
      <c r="N52">
        <v>291.27212850000001</v>
      </c>
      <c r="O52">
        <v>-1159.066388</v>
      </c>
      <c r="P52">
        <v>-1100.111682</v>
      </c>
      <c r="Q52">
        <v>-1744.0667120000001</v>
      </c>
      <c r="R52">
        <v>-2367.1233390000002</v>
      </c>
      <c r="S52">
        <v>-1949.7674239999999</v>
      </c>
      <c r="T52">
        <v>-3557.2983020000001</v>
      </c>
      <c r="U52">
        <v>-1245.6667669999999</v>
      </c>
      <c r="V52">
        <v>-1567.860815</v>
      </c>
      <c r="W52">
        <v>-1318.5096900000001</v>
      </c>
      <c r="X52">
        <v>-1089.096569</v>
      </c>
      <c r="Y52">
        <v>-834.97631230000002</v>
      </c>
      <c r="Z52">
        <v>-654.10895619999997</v>
      </c>
      <c r="AA52">
        <v>-385.80999250000002</v>
      </c>
      <c r="AB52">
        <v>-87.32238203</v>
      </c>
      <c r="AC52">
        <v>220.50949660000001</v>
      </c>
      <c r="AD52">
        <v>523.98179540000001</v>
      </c>
      <c r="AE52">
        <v>816.38039040000001</v>
      </c>
      <c r="AF52">
        <v>1045.0485229999999</v>
      </c>
      <c r="AG52">
        <v>1266.758088</v>
      </c>
      <c r="AH52">
        <v>1478.854904</v>
      </c>
      <c r="AI52">
        <v>1599.7516350000001</v>
      </c>
      <c r="AJ52">
        <v>1825.8886729999999</v>
      </c>
      <c r="AK52">
        <v>2021.743737</v>
      </c>
      <c r="AL52">
        <v>2193.8385119999998</v>
      </c>
      <c r="AM52">
        <v>2349.5787909999999</v>
      </c>
      <c r="AN52">
        <v>2490.13177</v>
      </c>
      <c r="AO52">
        <v>2607.5032820000001</v>
      </c>
      <c r="AP52">
        <v>2726.8899099999999</v>
      </c>
      <c r="AQ52">
        <v>2844.577777</v>
      </c>
      <c r="AR52">
        <v>2957.4706160000001</v>
      </c>
      <c r="AS52">
        <v>3064.872167</v>
      </c>
      <c r="AT52">
        <v>3152.5613060000001</v>
      </c>
      <c r="AU52">
        <v>3242.7209619999999</v>
      </c>
      <c r="AV52">
        <v>3331.0838290000002</v>
      </c>
      <c r="AW52">
        <v>3414.7951560000001</v>
      </c>
      <c r="AX52">
        <v>3498.0361670000002</v>
      </c>
    </row>
    <row r="53" spans="1:50" x14ac:dyDescent="0.25">
      <c r="B53" s="10" t="s">
        <v>223</v>
      </c>
      <c r="C53" t="s">
        <v>217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882.28485769999998</v>
      </c>
      <c r="O53">
        <v>1736.9372940000001</v>
      </c>
      <c r="P53">
        <v>2713.058395</v>
      </c>
      <c r="Q53">
        <v>3719.5187270000001</v>
      </c>
      <c r="R53">
        <v>5332.1552490000004</v>
      </c>
      <c r="S53">
        <v>5271.6671690000003</v>
      </c>
      <c r="T53">
        <v>5175.6218200000003</v>
      </c>
      <c r="U53">
        <v>5019.5414339999998</v>
      </c>
      <c r="V53">
        <v>4854.2733239999998</v>
      </c>
      <c r="W53">
        <v>4679.7853789999999</v>
      </c>
      <c r="X53">
        <v>4603.360729</v>
      </c>
      <c r="Y53">
        <v>4525.4827089999999</v>
      </c>
      <c r="Z53">
        <v>4429.6079579999996</v>
      </c>
      <c r="AA53">
        <v>4341.1959889999998</v>
      </c>
      <c r="AB53">
        <v>4256.9396790000001</v>
      </c>
      <c r="AC53">
        <v>4174.6277520000003</v>
      </c>
      <c r="AD53">
        <v>4092.968343</v>
      </c>
      <c r="AE53">
        <v>4012.704201</v>
      </c>
      <c r="AF53">
        <v>3928.7011819999998</v>
      </c>
      <c r="AG53">
        <v>3843.1537090000002</v>
      </c>
      <c r="AH53">
        <v>3757.5010149999998</v>
      </c>
      <c r="AI53">
        <v>3669.4228360000002</v>
      </c>
      <c r="AJ53">
        <v>3588.358526</v>
      </c>
      <c r="AK53">
        <v>3509.573171</v>
      </c>
      <c r="AL53">
        <v>3433.0006920000001</v>
      </c>
      <c r="AM53">
        <v>3358.1491070000002</v>
      </c>
      <c r="AN53">
        <v>3285.1668100000002</v>
      </c>
      <c r="AO53">
        <v>3208.6386649999999</v>
      </c>
      <c r="AP53">
        <v>3132.8811380000002</v>
      </c>
      <c r="AQ53">
        <v>3057.8115290000001</v>
      </c>
      <c r="AR53">
        <v>2983.5163120000002</v>
      </c>
      <c r="AS53">
        <v>2910.0351089999999</v>
      </c>
      <c r="AT53">
        <v>2835.9773260000002</v>
      </c>
      <c r="AU53">
        <v>2762.7544870000002</v>
      </c>
      <c r="AV53">
        <v>2689.652043</v>
      </c>
      <c r="AW53">
        <v>2617.749409</v>
      </c>
      <c r="AX53">
        <v>2547.2809050000001</v>
      </c>
    </row>
    <row r="54" spans="1:50" x14ac:dyDescent="0.25">
      <c r="B54" s="10" t="s">
        <v>222</v>
      </c>
      <c r="C54" t="s">
        <v>218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804.87323330000004</v>
      </c>
      <c r="O54">
        <v>1636.4205260000001</v>
      </c>
      <c r="P54">
        <v>2517.5887990000001</v>
      </c>
      <c r="Q54">
        <v>3417.9981579999999</v>
      </c>
      <c r="R54">
        <v>4753.4040869999999</v>
      </c>
      <c r="S54">
        <v>4618.4269270000004</v>
      </c>
      <c r="T54">
        <v>4516.853255</v>
      </c>
      <c r="U54">
        <v>4481.9143260000001</v>
      </c>
      <c r="V54">
        <v>4453.2839620000004</v>
      </c>
      <c r="W54">
        <v>4449.0536009999996</v>
      </c>
      <c r="X54">
        <v>4386.6832700000004</v>
      </c>
      <c r="Y54">
        <v>4306.4510979999995</v>
      </c>
      <c r="Z54">
        <v>4203.6018789999998</v>
      </c>
      <c r="AA54">
        <v>4130.5998289999998</v>
      </c>
      <c r="AB54">
        <v>4075.8063739999998</v>
      </c>
      <c r="AC54">
        <v>4032.7039300000001</v>
      </c>
      <c r="AD54">
        <v>3999.5539549999999</v>
      </c>
      <c r="AE54">
        <v>3981.6347430000001</v>
      </c>
      <c r="AF54">
        <v>3971.16923</v>
      </c>
      <c r="AG54">
        <v>3963.1551629999999</v>
      </c>
      <c r="AH54">
        <v>3956.12156</v>
      </c>
      <c r="AI54">
        <v>3951.3816569999999</v>
      </c>
      <c r="AJ54">
        <v>3960.1532160000002</v>
      </c>
      <c r="AK54">
        <v>3970.574713</v>
      </c>
      <c r="AL54">
        <v>3982.303054</v>
      </c>
      <c r="AM54">
        <v>3995.0796380000002</v>
      </c>
      <c r="AN54">
        <v>4008.2906349999998</v>
      </c>
      <c r="AO54">
        <v>4032.8874089999999</v>
      </c>
      <c r="AP54">
        <v>4060.1497760000002</v>
      </c>
      <c r="AQ54">
        <v>4087.260683</v>
      </c>
      <c r="AR54">
        <v>4114.7767629999998</v>
      </c>
      <c r="AS54">
        <v>4141.9416350000001</v>
      </c>
      <c r="AT54">
        <v>4179.0797839999996</v>
      </c>
      <c r="AU54">
        <v>4216.5172300000004</v>
      </c>
      <c r="AV54">
        <v>4254.1054130000002</v>
      </c>
      <c r="AW54">
        <v>4292.5363340000004</v>
      </c>
      <c r="AX54">
        <v>4332.8467529999998</v>
      </c>
    </row>
    <row r="55" spans="1:50" x14ac:dyDescent="0.25">
      <c r="B55" s="10" t="s">
        <v>222</v>
      </c>
      <c r="C55" t="s">
        <v>219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696.51546740000003</v>
      </c>
      <c r="K55">
        <v>688.64066390000005</v>
      </c>
      <c r="L55">
        <v>651.64154199999996</v>
      </c>
      <c r="M55">
        <v>640.32182350000005</v>
      </c>
      <c r="N55">
        <v>640.94017859999997</v>
      </c>
      <c r="O55">
        <v>646.54145010000002</v>
      </c>
      <c r="P55">
        <v>725.4739558</v>
      </c>
      <c r="Q55">
        <v>825.77767640000002</v>
      </c>
      <c r="R55">
        <v>942.08790899999997</v>
      </c>
      <c r="S55">
        <v>1115.2353310000001</v>
      </c>
      <c r="T55">
        <v>1270.1603600000001</v>
      </c>
      <c r="U55">
        <v>1611.9911890000001</v>
      </c>
      <c r="V55">
        <v>2052.253577</v>
      </c>
      <c r="W55">
        <v>2625.8302159999998</v>
      </c>
      <c r="X55">
        <v>3102.7793879999999</v>
      </c>
      <c r="Y55">
        <v>3528.2521059999999</v>
      </c>
      <c r="Z55">
        <v>3352.4025769999998</v>
      </c>
      <c r="AA55">
        <v>3265.8285420000002</v>
      </c>
      <c r="AB55">
        <v>3220.622472</v>
      </c>
      <c r="AC55">
        <v>3206.1930499999999</v>
      </c>
      <c r="AD55">
        <v>3214.6726159999998</v>
      </c>
      <c r="AE55">
        <v>3297.528699</v>
      </c>
      <c r="AF55">
        <v>3405.3179409999998</v>
      </c>
      <c r="AG55">
        <v>3521.3923559999998</v>
      </c>
      <c r="AH55">
        <v>3645.9165600000001</v>
      </c>
      <c r="AI55">
        <v>3776.522622</v>
      </c>
      <c r="AJ55">
        <v>3919.4730070000001</v>
      </c>
      <c r="AK55">
        <v>4068.041741</v>
      </c>
      <c r="AL55">
        <v>4224.0147489999999</v>
      </c>
      <c r="AM55">
        <v>4389.4571139999998</v>
      </c>
      <c r="AN55">
        <v>4561.3454019999999</v>
      </c>
      <c r="AO55">
        <v>5105.4455029999999</v>
      </c>
      <c r="AP55">
        <v>5711.809131</v>
      </c>
      <c r="AQ55">
        <v>6385.6679759999997</v>
      </c>
      <c r="AR55">
        <v>7136.2977140000003</v>
      </c>
      <c r="AS55">
        <v>7968.7506819999999</v>
      </c>
      <c r="AT55">
        <v>8721.7232189999995</v>
      </c>
      <c r="AU55">
        <v>9565.0967720000008</v>
      </c>
      <c r="AV55">
        <v>10480.017620000001</v>
      </c>
      <c r="AW55">
        <v>11466.832050000001</v>
      </c>
      <c r="AX55">
        <v>12539.253290000001</v>
      </c>
    </row>
    <row r="56" spans="1:50" x14ac:dyDescent="0.25">
      <c r="B56" s="10" t="s">
        <v>224</v>
      </c>
      <c r="C56" t="s">
        <v>220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B57" s="10" t="s">
        <v>222</v>
      </c>
      <c r="C57" t="s">
        <v>221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 s="7"/>
      <c r="B58" s="11" t="s">
        <v>110</v>
      </c>
      <c r="C58" s="25" t="s">
        <v>2</v>
      </c>
      <c r="F58">
        <v>891378.22470000002</v>
      </c>
      <c r="G58">
        <v>920346.92119999998</v>
      </c>
      <c r="H58">
        <v>947065.38410000002</v>
      </c>
      <c r="I58">
        <v>938804.98770000006</v>
      </c>
      <c r="J58">
        <v>945413.98739999998</v>
      </c>
      <c r="K58">
        <v>970813.08840000001</v>
      </c>
      <c r="L58">
        <v>989493.32350000006</v>
      </c>
      <c r="M58">
        <v>1002969.071</v>
      </c>
      <c r="N58">
        <v>1020633.731</v>
      </c>
      <c r="O58">
        <v>1041343.7830000001</v>
      </c>
      <c r="P58">
        <v>1063812.371</v>
      </c>
      <c r="Q58">
        <v>1100481.8400000001</v>
      </c>
      <c r="R58">
        <v>1143716.6159999999</v>
      </c>
      <c r="S58">
        <v>1188074.2660000001</v>
      </c>
      <c r="T58">
        <v>1227100.7290000001</v>
      </c>
      <c r="U58">
        <v>1263833</v>
      </c>
      <c r="V58">
        <v>1303622.1640000001</v>
      </c>
      <c r="W58">
        <v>1349802.7919999999</v>
      </c>
      <c r="X58">
        <v>1393464.497</v>
      </c>
      <c r="Y58">
        <v>1433033.5349999999</v>
      </c>
      <c r="Z58">
        <v>1471187.7050000001</v>
      </c>
      <c r="AA58">
        <v>1509708.084</v>
      </c>
      <c r="AB58">
        <v>1551532.723</v>
      </c>
      <c r="AC58">
        <v>1594726.926</v>
      </c>
      <c r="AD58">
        <v>1641114.281</v>
      </c>
      <c r="AE58">
        <v>1689517.871</v>
      </c>
      <c r="AF58">
        <v>1738811.6910000001</v>
      </c>
      <c r="AG58">
        <v>1791074.385</v>
      </c>
      <c r="AH58">
        <v>1846084.4979999999</v>
      </c>
      <c r="AI58">
        <v>1904037.4469999999</v>
      </c>
      <c r="AJ58">
        <v>1966438.452</v>
      </c>
      <c r="AK58">
        <v>2031982.125</v>
      </c>
      <c r="AL58">
        <v>2100360.5350000001</v>
      </c>
      <c r="AM58">
        <v>2172087.1170000001</v>
      </c>
      <c r="AN58">
        <v>2246413.5750000002</v>
      </c>
      <c r="AO58">
        <v>2323664.5819999999</v>
      </c>
      <c r="AP58">
        <v>2403481.1779999998</v>
      </c>
      <c r="AQ58">
        <v>2485904.8190000001</v>
      </c>
      <c r="AR58">
        <v>2570960.8169999998</v>
      </c>
      <c r="AS58">
        <v>2658419.2769999998</v>
      </c>
      <c r="AT58">
        <v>2748218.173</v>
      </c>
      <c r="AU58">
        <v>2841089.1239999998</v>
      </c>
      <c r="AV58">
        <v>2936910.2659999998</v>
      </c>
      <c r="AW58">
        <v>3035757.6460000002</v>
      </c>
      <c r="AX58">
        <v>3139505.5389999999</v>
      </c>
    </row>
    <row r="59" spans="1:50" x14ac:dyDescent="0.25">
      <c r="A59" s="7"/>
      <c r="B59" s="11" t="s">
        <v>111</v>
      </c>
      <c r="C59" s="25" t="s">
        <v>3</v>
      </c>
      <c r="D59">
        <v>6736.0217489371598</v>
      </c>
      <c r="E59">
        <v>6981.0541720832098</v>
      </c>
      <c r="F59">
        <v>7184.2108340000004</v>
      </c>
      <c r="G59">
        <v>6897.7147290000003</v>
      </c>
      <c r="H59">
        <v>6995.8401679999997</v>
      </c>
      <c r="I59">
        <v>6577.5379659999999</v>
      </c>
      <c r="J59">
        <v>6110.0179680000001</v>
      </c>
      <c r="K59">
        <v>6724.3592660000004</v>
      </c>
      <c r="L59">
        <v>7115.3041659999999</v>
      </c>
      <c r="M59">
        <v>7000.4379929999996</v>
      </c>
      <c r="N59">
        <v>6942.4201810000004</v>
      </c>
      <c r="O59">
        <v>7144.7234170000002</v>
      </c>
      <c r="P59">
        <v>7346.870645</v>
      </c>
      <c r="Q59">
        <v>7554.5855959999999</v>
      </c>
      <c r="R59">
        <v>7841.8697030000003</v>
      </c>
      <c r="S59">
        <v>8018.0041199999996</v>
      </c>
      <c r="T59">
        <v>8358.3007570000009</v>
      </c>
      <c r="U59">
        <v>8434.0763430000006</v>
      </c>
      <c r="V59">
        <v>8682.2554280000004</v>
      </c>
      <c r="W59">
        <v>8877.57131999999</v>
      </c>
      <c r="X59">
        <v>9104.1914199999901</v>
      </c>
      <c r="Y59">
        <v>9294.3853689999996</v>
      </c>
      <c r="Z59">
        <v>9409.6639099999902</v>
      </c>
      <c r="AA59">
        <v>9458.2844339999901</v>
      </c>
      <c r="AB59">
        <v>9637.3750380000001</v>
      </c>
      <c r="AC59">
        <v>9886.5267469999999</v>
      </c>
      <c r="AD59">
        <v>10129.204669999999</v>
      </c>
      <c r="AE59">
        <v>10367.77815</v>
      </c>
      <c r="AF59">
        <v>10654.851930000001</v>
      </c>
      <c r="AG59">
        <v>10987.0512</v>
      </c>
      <c r="AH59">
        <v>11330.67468</v>
      </c>
      <c r="AI59">
        <v>11681.29429</v>
      </c>
      <c r="AJ59">
        <v>12072.77917</v>
      </c>
      <c r="AK59">
        <v>12474.411400000001</v>
      </c>
      <c r="AL59">
        <v>12872.35662</v>
      </c>
      <c r="AM59">
        <v>13303.5573</v>
      </c>
      <c r="AN59">
        <v>13754.13416</v>
      </c>
      <c r="AO59">
        <v>14219.81833</v>
      </c>
      <c r="AP59">
        <v>14668.80033</v>
      </c>
      <c r="AQ59">
        <v>15152.101570000001</v>
      </c>
      <c r="AR59">
        <v>15657.39292</v>
      </c>
      <c r="AS59">
        <v>16189.60469</v>
      </c>
      <c r="AT59">
        <v>16733.492880000002</v>
      </c>
      <c r="AU59">
        <v>17304.451649999999</v>
      </c>
      <c r="AV59">
        <v>17890.046009999998</v>
      </c>
      <c r="AW59">
        <v>18489.01871</v>
      </c>
      <c r="AX59">
        <v>19107.941470000002</v>
      </c>
    </row>
    <row r="60" spans="1:50" x14ac:dyDescent="0.25">
      <c r="A60" s="7"/>
      <c r="B60" s="11" t="s">
        <v>112</v>
      </c>
      <c r="C60" s="25" t="s">
        <v>4</v>
      </c>
      <c r="D60">
        <v>130354.82254187101</v>
      </c>
      <c r="E60">
        <v>135096.665609888</v>
      </c>
      <c r="F60">
        <v>138640.54829999999</v>
      </c>
      <c r="G60">
        <v>147517.5816</v>
      </c>
      <c r="H60">
        <v>157566.63159999999</v>
      </c>
      <c r="I60">
        <v>161161.36129999999</v>
      </c>
      <c r="J60">
        <v>165854.41940000001</v>
      </c>
      <c r="K60">
        <v>175705.72990000001</v>
      </c>
      <c r="L60">
        <v>185407.8983</v>
      </c>
      <c r="M60">
        <v>192921.198</v>
      </c>
      <c r="N60">
        <v>195697.58100000001</v>
      </c>
      <c r="O60">
        <v>199466.424</v>
      </c>
      <c r="P60">
        <v>203516.60279999999</v>
      </c>
      <c r="Q60">
        <v>209936.3591</v>
      </c>
      <c r="R60">
        <v>218159.57070000001</v>
      </c>
      <c r="S60">
        <v>226261.6495</v>
      </c>
      <c r="T60">
        <v>235671.71419999999</v>
      </c>
      <c r="U60">
        <v>242524.45920000001</v>
      </c>
      <c r="V60">
        <v>250415.5613</v>
      </c>
      <c r="W60">
        <v>259367.27249999999</v>
      </c>
      <c r="X60">
        <v>267747.26059999998</v>
      </c>
      <c r="Y60">
        <v>275174.5649</v>
      </c>
      <c r="Z60">
        <v>282533.52169999998</v>
      </c>
      <c r="AA60">
        <v>289814.55920000002</v>
      </c>
      <c r="AB60">
        <v>297948.54470000003</v>
      </c>
      <c r="AC60">
        <v>306587.28610000003</v>
      </c>
      <c r="AD60">
        <v>315472.28659999999</v>
      </c>
      <c r="AE60">
        <v>324771.91409999999</v>
      </c>
      <c r="AF60">
        <v>334598.65600000002</v>
      </c>
      <c r="AG60">
        <v>345117.48</v>
      </c>
      <c r="AH60">
        <v>356215.99459999998</v>
      </c>
      <c r="AI60">
        <v>367916.05160000001</v>
      </c>
      <c r="AJ60">
        <v>380549.57319999998</v>
      </c>
      <c r="AK60">
        <v>393891.0012</v>
      </c>
      <c r="AL60">
        <v>407703.86290000001</v>
      </c>
      <c r="AM60">
        <v>422190.31</v>
      </c>
      <c r="AN60">
        <v>437245.56599999999</v>
      </c>
      <c r="AO60">
        <v>452884.47730000003</v>
      </c>
      <c r="AP60">
        <v>468938.35580000002</v>
      </c>
      <c r="AQ60">
        <v>485508.09980000003</v>
      </c>
      <c r="AR60">
        <v>502544.84850000002</v>
      </c>
      <c r="AS60">
        <v>520072.14020000002</v>
      </c>
      <c r="AT60">
        <v>538095.04819999996</v>
      </c>
      <c r="AU60">
        <v>556729.95019999996</v>
      </c>
      <c r="AV60">
        <v>575975.87749999994</v>
      </c>
      <c r="AW60">
        <v>595813.71719999996</v>
      </c>
      <c r="AX60">
        <v>616484.22450000001</v>
      </c>
    </row>
    <row r="61" spans="1:50" x14ac:dyDescent="0.25">
      <c r="A61" s="7"/>
      <c r="B61" s="11"/>
      <c r="C61" s="25" t="s">
        <v>5</v>
      </c>
      <c r="D61">
        <v>16317.279498531099</v>
      </c>
      <c r="E61">
        <v>16910.843872830701</v>
      </c>
      <c r="F61">
        <v>17354.452509999999</v>
      </c>
      <c r="G61">
        <v>17686.605520000001</v>
      </c>
      <c r="H61">
        <v>18234.341960000002</v>
      </c>
      <c r="I61">
        <v>18023.438559999999</v>
      </c>
      <c r="J61">
        <v>17945.089189999999</v>
      </c>
      <c r="K61">
        <v>18412.20866</v>
      </c>
      <c r="L61">
        <v>18835.65034</v>
      </c>
      <c r="M61">
        <v>19018.219959999999</v>
      </c>
      <c r="N61">
        <v>19291.91649</v>
      </c>
      <c r="O61">
        <v>19663.449980000001</v>
      </c>
      <c r="P61">
        <v>20062.717619999999</v>
      </c>
      <c r="Q61">
        <v>20695.578799999999</v>
      </c>
      <c r="R61">
        <v>21506.225060000001</v>
      </c>
      <c r="S61">
        <v>22304.93001</v>
      </c>
      <c r="T61">
        <v>23232.576550000002</v>
      </c>
      <c r="U61">
        <v>23908.121859999999</v>
      </c>
      <c r="V61">
        <v>24686.028679999999</v>
      </c>
      <c r="W61">
        <v>25568.490610000001</v>
      </c>
      <c r="X61">
        <v>26394.591929999999</v>
      </c>
      <c r="Y61">
        <v>27126.777440000002</v>
      </c>
      <c r="Z61">
        <v>27852.225259999999</v>
      </c>
      <c r="AA61">
        <v>28569.991750000001</v>
      </c>
      <c r="AB61">
        <v>29371.842079999999</v>
      </c>
      <c r="AC61">
        <v>30223.451359999999</v>
      </c>
      <c r="AD61">
        <v>31099.336940000001</v>
      </c>
      <c r="AE61">
        <v>32016.096539999999</v>
      </c>
      <c r="AF61">
        <v>32984.819219999998</v>
      </c>
      <c r="AG61">
        <v>34021.767520000001</v>
      </c>
      <c r="AH61">
        <v>35115.861870000001</v>
      </c>
      <c r="AI61">
        <v>36269.256410000002</v>
      </c>
      <c r="AJ61">
        <v>37514.672129999999</v>
      </c>
      <c r="AK61">
        <v>38829.873440000003</v>
      </c>
      <c r="AL61">
        <v>40191.548799999997</v>
      </c>
      <c r="AM61">
        <v>41619.626380000002</v>
      </c>
      <c r="AN61">
        <v>43103.777289999998</v>
      </c>
      <c r="AO61">
        <v>44645.465069999998</v>
      </c>
      <c r="AP61">
        <v>46228.060429999998</v>
      </c>
      <c r="AQ61">
        <v>47861.509940000004</v>
      </c>
      <c r="AR61">
        <v>49540.996890000002</v>
      </c>
      <c r="AS61">
        <v>51268.841690000001</v>
      </c>
      <c r="AT61">
        <v>53045.544470000001</v>
      </c>
      <c r="AU61">
        <v>54882.577770000004</v>
      </c>
      <c r="AV61">
        <v>56779.846100000002</v>
      </c>
      <c r="AW61">
        <v>58735.46529</v>
      </c>
      <c r="AX61">
        <v>60773.16908</v>
      </c>
    </row>
    <row r="62" spans="1:50" x14ac:dyDescent="0.25">
      <c r="A62" s="7"/>
      <c r="B62" s="11" t="s">
        <v>113</v>
      </c>
      <c r="C62" s="25" t="s">
        <v>90</v>
      </c>
      <c r="D62">
        <v>13404.850866274901</v>
      </c>
      <c r="E62">
        <v>13892.4714845119</v>
      </c>
      <c r="F62">
        <v>14397.8299999998</v>
      </c>
      <c r="G62">
        <v>14944.7191138126</v>
      </c>
      <c r="H62">
        <v>15512.3813373792</v>
      </c>
      <c r="I62">
        <v>16101.605719298301</v>
      </c>
      <c r="J62">
        <v>16713.2112794965</v>
      </c>
      <c r="K62">
        <v>17348.048147664202</v>
      </c>
      <c r="L62">
        <v>18006.9987449318</v>
      </c>
      <c r="M62">
        <v>18690.9790104331</v>
      </c>
      <c r="N62">
        <v>19400.939674457499</v>
      </c>
      <c r="O62">
        <v>20137.867579961199</v>
      </c>
      <c r="P62">
        <v>20846.404641654499</v>
      </c>
      <c r="Q62">
        <v>21579.871093999402</v>
      </c>
      <c r="R62">
        <v>22339.144060511298</v>
      </c>
      <c r="S62">
        <v>23111.678079738602</v>
      </c>
      <c r="T62">
        <v>23907.252313284</v>
      </c>
      <c r="U62">
        <v>24697.604813131999</v>
      </c>
      <c r="V62">
        <v>25509.092885230199</v>
      </c>
      <c r="W62">
        <v>26478.8627920539</v>
      </c>
      <c r="X62">
        <v>27368.020184839399</v>
      </c>
      <c r="Y62">
        <v>28157.266442634202</v>
      </c>
      <c r="Z62">
        <v>28980.125849533601</v>
      </c>
      <c r="AA62">
        <v>29835.3011828526</v>
      </c>
      <c r="AB62">
        <v>30727.384629460401</v>
      </c>
      <c r="AC62">
        <v>31643.969524229102</v>
      </c>
      <c r="AD62">
        <v>32594.030215773801</v>
      </c>
      <c r="AE62">
        <v>33587.2709843013</v>
      </c>
      <c r="AF62">
        <v>34619.500101898397</v>
      </c>
      <c r="AG62">
        <v>35699.349616706801</v>
      </c>
      <c r="AH62">
        <v>36837.936140943602</v>
      </c>
      <c r="AI62">
        <v>38045.150805940801</v>
      </c>
      <c r="AJ62">
        <v>39329.3475031243</v>
      </c>
      <c r="AK62">
        <v>40701.057598267304</v>
      </c>
      <c r="AL62">
        <v>42133.609963209703</v>
      </c>
      <c r="AM62">
        <v>43631.042868040699</v>
      </c>
      <c r="AN62">
        <v>45187.199317947998</v>
      </c>
      <c r="AO62">
        <v>46813.039816214899</v>
      </c>
      <c r="AP62">
        <v>48507.035414893202</v>
      </c>
      <c r="AQ62">
        <v>50249.529412984397</v>
      </c>
      <c r="AR62">
        <v>52040.108643618398</v>
      </c>
      <c r="AS62">
        <v>53877.7771177428</v>
      </c>
      <c r="AT62">
        <v>55768.666304889703</v>
      </c>
      <c r="AU62">
        <v>57719.137714607903</v>
      </c>
      <c r="AV62">
        <v>59735.578317351203</v>
      </c>
      <c r="AW62">
        <v>61816.322530946403</v>
      </c>
      <c r="AX62">
        <v>63964.188897278698</v>
      </c>
    </row>
    <row r="63" spans="1:50" x14ac:dyDescent="0.25">
      <c r="A63" s="7"/>
      <c r="B63" s="11" t="s">
        <v>114</v>
      </c>
      <c r="C63" s="25" t="s">
        <v>28</v>
      </c>
      <c r="D63">
        <v>190620.570684056</v>
      </c>
      <c r="E63">
        <v>197554.66651644601</v>
      </c>
      <c r="F63">
        <v>201147.452085367</v>
      </c>
      <c r="G63">
        <v>206937.77960478899</v>
      </c>
      <c r="H63">
        <v>209327.17433109699</v>
      </c>
      <c r="I63">
        <v>205566.881905018</v>
      </c>
      <c r="J63">
        <v>210304.230833871</v>
      </c>
      <c r="K63">
        <v>214070.795620872</v>
      </c>
      <c r="L63">
        <v>214158.70690438701</v>
      </c>
      <c r="M63">
        <v>215210.807829058</v>
      </c>
      <c r="N63">
        <v>221745.640355376</v>
      </c>
      <c r="O63">
        <v>225341.82587469701</v>
      </c>
      <c r="P63">
        <v>228654.90066688199</v>
      </c>
      <c r="Q63">
        <v>236281.660246871</v>
      </c>
      <c r="R63">
        <v>243367.72957423201</v>
      </c>
      <c r="S63">
        <v>251221.57656675801</v>
      </c>
      <c r="T63">
        <v>256087.16417044101</v>
      </c>
      <c r="U63">
        <v>262341.10822563298</v>
      </c>
      <c r="V63">
        <v>269169.90962936397</v>
      </c>
      <c r="W63">
        <v>278849.90869602701</v>
      </c>
      <c r="X63">
        <v>286630.84503142099</v>
      </c>
      <c r="Y63">
        <v>293443.17603186</v>
      </c>
      <c r="Z63">
        <v>300284.68649767002</v>
      </c>
      <c r="AA63">
        <v>307207.89711147902</v>
      </c>
      <c r="AB63">
        <v>314641.416415666</v>
      </c>
      <c r="AC63">
        <v>322314.563230798</v>
      </c>
      <c r="AD63">
        <v>330294.55226616398</v>
      </c>
      <c r="AE63">
        <v>338669.35349695798</v>
      </c>
      <c r="AF63">
        <v>346968.44656485901</v>
      </c>
      <c r="AG63">
        <v>355974.57996773202</v>
      </c>
      <c r="AH63">
        <v>365483.01693744201</v>
      </c>
      <c r="AI63">
        <v>375258.149732797</v>
      </c>
      <c r="AJ63">
        <v>386314.224892036</v>
      </c>
      <c r="AK63">
        <v>397684.19116739399</v>
      </c>
      <c r="AL63">
        <v>409593.39430184697</v>
      </c>
      <c r="AM63">
        <v>421965.17047148099</v>
      </c>
      <c r="AN63">
        <v>434723.21834040299</v>
      </c>
      <c r="AO63">
        <v>447732.93510417303</v>
      </c>
      <c r="AP63">
        <v>461272.38497121102</v>
      </c>
      <c r="AQ63">
        <v>475192.19809592701</v>
      </c>
      <c r="AR63">
        <v>489682.33918484597</v>
      </c>
      <c r="AS63">
        <v>504472.80045771901</v>
      </c>
      <c r="AT63">
        <v>519716.83530814003</v>
      </c>
      <c r="AU63">
        <v>535539.98571911198</v>
      </c>
      <c r="AV63">
        <v>551849.22869239305</v>
      </c>
      <c r="AW63">
        <v>568650.34300810494</v>
      </c>
      <c r="AX63">
        <v>586886.22174146504</v>
      </c>
    </row>
    <row r="64" spans="1:50" x14ac:dyDescent="0.25">
      <c r="A64" s="7"/>
      <c r="B64" s="11" t="s">
        <v>105</v>
      </c>
      <c r="C64" s="25" t="s">
        <v>29</v>
      </c>
      <c r="D64">
        <v>70157.970821169307</v>
      </c>
      <c r="E64">
        <v>72710.067330660706</v>
      </c>
      <c r="F64">
        <v>73838.982818707402</v>
      </c>
      <c r="G64">
        <v>76385.247680832807</v>
      </c>
      <c r="H64">
        <v>77177.741538875096</v>
      </c>
      <c r="I64">
        <v>73793.167055162106</v>
      </c>
      <c r="J64">
        <v>76150.9930435032</v>
      </c>
      <c r="K64">
        <v>77725.6440167111</v>
      </c>
      <c r="L64">
        <v>78078.9597924353</v>
      </c>
      <c r="M64">
        <v>78660.372433953002</v>
      </c>
      <c r="N64">
        <v>80171.835314081298</v>
      </c>
      <c r="O64">
        <v>82000.074835426203</v>
      </c>
      <c r="P64">
        <v>83462.602927969405</v>
      </c>
      <c r="Q64">
        <v>87053.346183581205</v>
      </c>
      <c r="R64">
        <v>90348.383931747099</v>
      </c>
      <c r="S64">
        <v>94366.063135754201</v>
      </c>
      <c r="T64">
        <v>97076.557985281994</v>
      </c>
      <c r="U64">
        <v>100479.772168546</v>
      </c>
      <c r="V64">
        <v>103649.76207316401</v>
      </c>
      <c r="W64">
        <v>107579.430695662</v>
      </c>
      <c r="X64">
        <v>111302.562927362</v>
      </c>
      <c r="Y64">
        <v>114726.41636129</v>
      </c>
      <c r="Z64">
        <v>117820.200500194</v>
      </c>
      <c r="AA64">
        <v>121281.554247911</v>
      </c>
      <c r="AB64">
        <v>124988.249540868</v>
      </c>
      <c r="AC64">
        <v>128870.617385658</v>
      </c>
      <c r="AD64">
        <v>132974.497373038</v>
      </c>
      <c r="AE64">
        <v>136801.70095706699</v>
      </c>
      <c r="AF64">
        <v>140871.765156571</v>
      </c>
      <c r="AG64">
        <v>145125.69513225899</v>
      </c>
      <c r="AH64">
        <v>149576.06767838399</v>
      </c>
      <c r="AI64">
        <v>154351.768582185</v>
      </c>
      <c r="AJ64">
        <v>159357.17785019401</v>
      </c>
      <c r="AK64">
        <v>164614.37521174</v>
      </c>
      <c r="AL64">
        <v>170129.92849837901</v>
      </c>
      <c r="AM64">
        <v>175887.10045207801</v>
      </c>
      <c r="AN64">
        <v>181855.83354370901</v>
      </c>
      <c r="AO64">
        <v>187975.69595314399</v>
      </c>
      <c r="AP64">
        <v>194379.74195411199</v>
      </c>
      <c r="AQ64">
        <v>200956.30141941001</v>
      </c>
      <c r="AR64">
        <v>207746.06159084101</v>
      </c>
      <c r="AS64">
        <v>214699.435009857</v>
      </c>
      <c r="AT64">
        <v>221904.178968986</v>
      </c>
      <c r="AU64">
        <v>229312.05156947899</v>
      </c>
      <c r="AV64">
        <v>236958.92965382</v>
      </c>
      <c r="AW64">
        <v>244843.26868409701</v>
      </c>
      <c r="AX64">
        <v>253114.85992556199</v>
      </c>
    </row>
    <row r="65" spans="1:50" x14ac:dyDescent="0.25">
      <c r="A65" s="7"/>
      <c r="B65" s="11" t="s">
        <v>115</v>
      </c>
      <c r="C65" s="25" t="s">
        <v>30</v>
      </c>
      <c r="F65">
        <v>41720</v>
      </c>
      <c r="G65">
        <v>39457.604060770303</v>
      </c>
      <c r="H65">
        <v>40747.154222734804</v>
      </c>
      <c r="I65">
        <v>37985.351552319102</v>
      </c>
      <c r="J65">
        <v>35239.253081535498</v>
      </c>
      <c r="K65">
        <v>39462.880983829302</v>
      </c>
      <c r="L65">
        <v>41536.949125895197</v>
      </c>
      <c r="M65">
        <v>40347.045940018601</v>
      </c>
      <c r="N65">
        <v>40273.369014529497</v>
      </c>
      <c r="O65">
        <v>41738.572784920398</v>
      </c>
      <c r="P65">
        <v>42656.481889898401</v>
      </c>
      <c r="Q65">
        <v>43783.1532975347</v>
      </c>
      <c r="R65">
        <v>45752.2841877213</v>
      </c>
      <c r="S65">
        <v>46287.533683323403</v>
      </c>
      <c r="T65">
        <v>48729.5675364505</v>
      </c>
      <c r="U65">
        <v>49719.347587081997</v>
      </c>
      <c r="V65">
        <v>51548.731416038499</v>
      </c>
      <c r="W65">
        <v>51967.2468813862</v>
      </c>
      <c r="X65">
        <v>53446.766165892499</v>
      </c>
      <c r="Y65">
        <v>54726.116810216197</v>
      </c>
      <c r="Z65">
        <v>55753.302622801501</v>
      </c>
      <c r="AA65">
        <v>56399.604601986197</v>
      </c>
      <c r="AB65">
        <v>57811.635685105401</v>
      </c>
      <c r="AC65">
        <v>58869.730460314597</v>
      </c>
      <c r="AD65">
        <v>61492.031114016303</v>
      </c>
      <c r="AE65">
        <v>64472.5507221269</v>
      </c>
      <c r="AF65">
        <v>66398.800737348094</v>
      </c>
      <c r="AG65">
        <v>68426.982450744094</v>
      </c>
      <c r="AH65">
        <v>70587.855014078203</v>
      </c>
      <c r="AI65">
        <v>72807.797596338802</v>
      </c>
      <c r="AJ65">
        <v>75306.908454410295</v>
      </c>
      <c r="AK65">
        <v>77816.611298642907</v>
      </c>
      <c r="AL65">
        <v>80375.084141122104</v>
      </c>
      <c r="AM65">
        <v>83270.2704995401</v>
      </c>
      <c r="AN65">
        <v>86089.487135365707</v>
      </c>
      <c r="AO65">
        <v>89095.440940475295</v>
      </c>
      <c r="AP65">
        <v>91962.033542251098</v>
      </c>
      <c r="AQ65">
        <v>95098.361239356396</v>
      </c>
      <c r="AR65">
        <v>98342.427964742907</v>
      </c>
      <c r="AS65">
        <v>101781.878616569</v>
      </c>
      <c r="AT65">
        <v>105187.640571474</v>
      </c>
      <c r="AU65">
        <v>108797.763089138</v>
      </c>
      <c r="AV65">
        <v>112443.335393095</v>
      </c>
      <c r="AW65">
        <v>116200.28678074099</v>
      </c>
      <c r="AX65">
        <v>119911.226029543</v>
      </c>
    </row>
    <row r="66" spans="1:50" x14ac:dyDescent="0.25">
      <c r="A66" s="7"/>
      <c r="B66" s="11" t="s">
        <v>98</v>
      </c>
      <c r="C66" s="25" t="s">
        <v>91</v>
      </c>
      <c r="D66">
        <v>344617.10715415998</v>
      </c>
      <c r="E66">
        <v>357153.04720466299</v>
      </c>
      <c r="F66">
        <v>369017.92207141902</v>
      </c>
      <c r="G66">
        <v>385094.53294084698</v>
      </c>
      <c r="H66">
        <v>396077.85966003902</v>
      </c>
      <c r="I66">
        <v>389117.46557031898</v>
      </c>
      <c r="J66">
        <v>385211.892849066</v>
      </c>
      <c r="K66">
        <v>387603.97799053101</v>
      </c>
      <c r="L66">
        <v>391386.69862610498</v>
      </c>
      <c r="M66">
        <v>396035.83676946501</v>
      </c>
      <c r="N66">
        <v>400161.66644987097</v>
      </c>
      <c r="O66">
        <v>405640.98921100202</v>
      </c>
      <c r="P66">
        <v>412494.55804605602</v>
      </c>
      <c r="Q66">
        <v>425797.96706420998</v>
      </c>
      <c r="R66">
        <v>443279.14580858703</v>
      </c>
      <c r="S66">
        <v>465026.74219887803</v>
      </c>
      <c r="T66">
        <v>480948.522375979</v>
      </c>
      <c r="U66">
        <v>496677.54875056999</v>
      </c>
      <c r="V66">
        <v>512965.64328996697</v>
      </c>
      <c r="W66">
        <v>532615.29647278797</v>
      </c>
      <c r="X66">
        <v>550545.93261673697</v>
      </c>
      <c r="Y66">
        <v>566557.37953319703</v>
      </c>
      <c r="Z66">
        <v>583140.10085931898</v>
      </c>
      <c r="AA66">
        <v>600111.39202853502</v>
      </c>
      <c r="AB66">
        <v>617651.78286689997</v>
      </c>
      <c r="AC66">
        <v>635679.566107183</v>
      </c>
      <c r="AD66">
        <v>654414.61651729303</v>
      </c>
      <c r="AE66">
        <v>674207.77020652196</v>
      </c>
      <c r="AF66">
        <v>695016.94061455899</v>
      </c>
      <c r="AG66">
        <v>716966.699307965</v>
      </c>
      <c r="AH66">
        <v>740203.85445960704</v>
      </c>
      <c r="AI66">
        <v>764978.07213449199</v>
      </c>
      <c r="AJ66">
        <v>791279.02450057003</v>
      </c>
      <c r="AK66">
        <v>819238.04078770196</v>
      </c>
      <c r="AL66">
        <v>848276.75286230701</v>
      </c>
      <c r="AM66">
        <v>878539.88527329999</v>
      </c>
      <c r="AN66">
        <v>909924.41560410196</v>
      </c>
      <c r="AO66">
        <v>942350.63251566095</v>
      </c>
      <c r="AP66">
        <v>975838.16032372799</v>
      </c>
      <c r="AQ66">
        <v>1010064.12004046</v>
      </c>
      <c r="AR66">
        <v>1045100.74140413</v>
      </c>
      <c r="AS66">
        <v>1080981.03237643</v>
      </c>
      <c r="AT66">
        <v>1117852.52807655</v>
      </c>
      <c r="AU66">
        <v>1155869.0904383401</v>
      </c>
      <c r="AV66">
        <v>1195176.81151724</v>
      </c>
      <c r="AW66">
        <v>1235745.57155836</v>
      </c>
      <c r="AX66">
        <v>1278298.8261573</v>
      </c>
    </row>
    <row r="67" spans="1:50" x14ac:dyDescent="0.25">
      <c r="A67" s="7"/>
      <c r="B67" s="11" t="s">
        <v>116</v>
      </c>
      <c r="C67" s="25" t="s">
        <v>92</v>
      </c>
      <c r="D67">
        <v>258421.16665127699</v>
      </c>
      <c r="E67">
        <v>267821.60611196997</v>
      </c>
      <c r="F67">
        <v>270550.76439379802</v>
      </c>
      <c r="G67">
        <v>275827.22046887898</v>
      </c>
      <c r="H67">
        <v>282272.32107110001</v>
      </c>
      <c r="I67">
        <v>293044.75314648298</v>
      </c>
      <c r="J67">
        <v>294355.50684261002</v>
      </c>
      <c r="K67">
        <v>296746.95612764597</v>
      </c>
      <c r="L67">
        <v>300946.15437009902</v>
      </c>
      <c r="M67">
        <v>305663.349879399</v>
      </c>
      <c r="N67">
        <v>309150.80571890197</v>
      </c>
      <c r="O67">
        <v>313826.46444369998</v>
      </c>
      <c r="P67">
        <v>320131.72850427002</v>
      </c>
      <c r="Q67">
        <v>326466.65358639997</v>
      </c>
      <c r="R67">
        <v>334572.43206958601</v>
      </c>
      <c r="S67">
        <v>345274.99116000999</v>
      </c>
      <c r="T67">
        <v>357483.57779513602</v>
      </c>
      <c r="U67">
        <v>369738.33387649601</v>
      </c>
      <c r="V67">
        <v>382129.66498053999</v>
      </c>
      <c r="W67">
        <v>396042.740136092</v>
      </c>
      <c r="X67">
        <v>409876.87723574502</v>
      </c>
      <c r="Y67">
        <v>422957.23300680198</v>
      </c>
      <c r="Z67">
        <v>435847.60699487699</v>
      </c>
      <c r="AA67">
        <v>449026.46009122202</v>
      </c>
      <c r="AB67">
        <v>462629.499926024</v>
      </c>
      <c r="AC67">
        <v>476621.12373059598</v>
      </c>
      <c r="AD67">
        <v>491077.27390690899</v>
      </c>
      <c r="AE67">
        <v>506021.14345015702</v>
      </c>
      <c r="AF67">
        <v>521609.54596517398</v>
      </c>
      <c r="AG67">
        <v>537874.99855241703</v>
      </c>
      <c r="AH67">
        <v>554928.43870464002</v>
      </c>
      <c r="AI67">
        <v>572971.55582443799</v>
      </c>
      <c r="AJ67">
        <v>592052.91431261203</v>
      </c>
      <c r="AK67">
        <v>612346.44530007604</v>
      </c>
      <c r="AL67">
        <v>633718.796203095</v>
      </c>
      <c r="AM67">
        <v>656139.192507106</v>
      </c>
      <c r="AN67">
        <v>679534.79425224802</v>
      </c>
      <c r="AO67">
        <v>703953.17849432095</v>
      </c>
      <c r="AP67">
        <v>729420.69259152305</v>
      </c>
      <c r="AQ67">
        <v>755751.90035852697</v>
      </c>
      <c r="AR67">
        <v>782888.57807303802</v>
      </c>
      <c r="AS67">
        <v>810772.47366078105</v>
      </c>
      <c r="AT67">
        <v>839443.99681280297</v>
      </c>
      <c r="AU67">
        <v>868947.76947240299</v>
      </c>
      <c r="AV67">
        <v>899366.47109426197</v>
      </c>
      <c r="AW67">
        <v>930731.04820084805</v>
      </c>
      <c r="AX67">
        <v>963098.31812998897</v>
      </c>
    </row>
    <row r="68" spans="1:50" x14ac:dyDescent="0.25">
      <c r="A68" s="7"/>
      <c r="B68" s="11" t="s">
        <v>117</v>
      </c>
      <c r="C68" s="25" t="s">
        <v>93</v>
      </c>
      <c r="D68">
        <v>-225891.81435188401</v>
      </c>
      <c r="E68">
        <v>-234108.95210804199</v>
      </c>
      <c r="F68">
        <v>-242473.938303237</v>
      </c>
      <c r="G68">
        <v>-250402.08440805299</v>
      </c>
      <c r="H68">
        <v>-256846.06168309599</v>
      </c>
      <c r="I68">
        <v>-262566.57510194997</v>
      </c>
      <c r="J68">
        <v>-263167.14271761</v>
      </c>
      <c r="K68">
        <v>-263676.15311143798</v>
      </c>
      <c r="L68">
        <v>-266631.638513499</v>
      </c>
      <c r="M68">
        <v>-271219.49805156898</v>
      </c>
      <c r="N68">
        <v>-274530.54164924502</v>
      </c>
      <c r="O68">
        <v>-277636.50783186499</v>
      </c>
      <c r="P68">
        <v>-281316.61818509299</v>
      </c>
      <c r="Q68">
        <v>-286630.629226544</v>
      </c>
      <c r="R68">
        <v>-294477.81583703199</v>
      </c>
      <c r="S68">
        <v>-304804.23231272702</v>
      </c>
      <c r="T68">
        <v>-315357.140039469</v>
      </c>
      <c r="U68">
        <v>-325800.820331353</v>
      </c>
      <c r="V68">
        <v>-336494.29697676701</v>
      </c>
      <c r="W68">
        <v>-349298.69764229399</v>
      </c>
      <c r="X68">
        <v>-361045.37501781801</v>
      </c>
      <c r="Y68">
        <v>-371489.96702563699</v>
      </c>
      <c r="Z68">
        <v>-382419.34193301998</v>
      </c>
      <c r="AA68">
        <v>-393734.585238998</v>
      </c>
      <c r="AB68">
        <v>-405428.37664076302</v>
      </c>
      <c r="AC68">
        <v>-417383.43361572298</v>
      </c>
      <c r="AD68">
        <v>-429740.74403045297</v>
      </c>
      <c r="AE68">
        <v>-442689.57535553601</v>
      </c>
      <c r="AF68">
        <v>-456216.823836172</v>
      </c>
      <c r="AG68">
        <v>-470447.91963798099</v>
      </c>
      <c r="AH68">
        <v>-485554.74143010098</v>
      </c>
      <c r="AI68">
        <v>-501638.97664464201</v>
      </c>
      <c r="AJ68">
        <v>-518806.15465585899</v>
      </c>
      <c r="AK68">
        <v>-537162.07191798405</v>
      </c>
      <c r="AL68">
        <v>-556274.11796896497</v>
      </c>
      <c r="AM68">
        <v>-576201.72503964603</v>
      </c>
      <c r="AN68">
        <v>-596859.65374071605</v>
      </c>
      <c r="AO68">
        <v>-618353.07261513604</v>
      </c>
      <c r="AP68">
        <v>-640638.92732058</v>
      </c>
      <c r="AQ68">
        <v>-663460.04362139397</v>
      </c>
      <c r="AR68">
        <v>-686817.267746864</v>
      </c>
      <c r="AS68">
        <v>-710717.434969289</v>
      </c>
      <c r="AT68">
        <v>-735266.53838741803</v>
      </c>
      <c r="AU68">
        <v>-760558.02236784401</v>
      </c>
      <c r="AV68">
        <v>-786689.63353029301</v>
      </c>
      <c r="AW68">
        <v>-813644.51415080903</v>
      </c>
      <c r="AX68">
        <v>-841552.8177752</v>
      </c>
    </row>
    <row r="69" spans="1:50" x14ac:dyDescent="0.25">
      <c r="A69" s="29"/>
      <c r="B69" s="11" t="s">
        <v>227</v>
      </c>
      <c r="C69" t="s">
        <v>212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696.51546740000003</v>
      </c>
      <c r="K69">
        <v>688.64066390000005</v>
      </c>
      <c r="L69">
        <v>651.64154199999996</v>
      </c>
      <c r="M69">
        <v>640.32182350000005</v>
      </c>
      <c r="N69">
        <v>640.94017859999997</v>
      </c>
      <c r="O69">
        <v>646.54145010000002</v>
      </c>
      <c r="P69">
        <v>725.4739558</v>
      </c>
      <c r="Q69">
        <v>825.77767640000002</v>
      </c>
      <c r="R69">
        <v>942.08790899999997</v>
      </c>
      <c r="S69">
        <v>1115.2353310000001</v>
      </c>
      <c r="T69">
        <v>1270.1603600000001</v>
      </c>
      <c r="U69">
        <v>1611.9911890000001</v>
      </c>
      <c r="V69">
        <v>2052.253577</v>
      </c>
      <c r="W69">
        <v>2625.8302159999998</v>
      </c>
      <c r="X69">
        <v>3102.7793879999999</v>
      </c>
      <c r="Y69">
        <v>3528.2521059999999</v>
      </c>
      <c r="Z69">
        <v>3352.4025769999998</v>
      </c>
      <c r="AA69">
        <v>3265.8285420000002</v>
      </c>
      <c r="AB69">
        <v>3220.622472</v>
      </c>
      <c r="AC69">
        <v>3206.1930499999999</v>
      </c>
      <c r="AD69">
        <v>3214.6726159999998</v>
      </c>
      <c r="AE69">
        <v>3297.528699</v>
      </c>
      <c r="AF69">
        <v>3405.3179409999998</v>
      </c>
      <c r="AG69">
        <v>3521.3923559999998</v>
      </c>
      <c r="AH69">
        <v>3645.9165600000001</v>
      </c>
      <c r="AI69">
        <v>3776.522622</v>
      </c>
      <c r="AJ69">
        <v>3919.4730070000001</v>
      </c>
      <c r="AK69">
        <v>4068.041741</v>
      </c>
      <c r="AL69">
        <v>4224.0147489999999</v>
      </c>
      <c r="AM69">
        <v>4389.4571139999998</v>
      </c>
      <c r="AN69">
        <v>4561.3454019999999</v>
      </c>
      <c r="AO69">
        <v>5105.4455029999999</v>
      </c>
      <c r="AP69">
        <v>5711.809131</v>
      </c>
      <c r="AQ69">
        <v>6385.6679759999997</v>
      </c>
      <c r="AR69">
        <v>7136.2977140000003</v>
      </c>
      <c r="AS69">
        <v>7968.7506819999999</v>
      </c>
      <c r="AT69">
        <v>8721.7232189999995</v>
      </c>
      <c r="AU69">
        <v>9565.0967720000008</v>
      </c>
      <c r="AV69">
        <v>10480.017620000001</v>
      </c>
      <c r="AW69">
        <v>11466.832050000001</v>
      </c>
      <c r="AX69">
        <v>12539.253290000001</v>
      </c>
    </row>
    <row r="70" spans="1:50" x14ac:dyDescent="0.25">
      <c r="B70" s="11" t="s">
        <v>227</v>
      </c>
      <c r="C70" t="s">
        <v>213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B71" s="11" t="s">
        <v>228</v>
      </c>
      <c r="C71" t="s">
        <v>214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B72" s="11" t="s">
        <v>229</v>
      </c>
      <c r="C72" t="s">
        <v>215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882.28485769999998</v>
      </c>
      <c r="O72">
        <v>1736.9372940000001</v>
      </c>
      <c r="P72">
        <v>2713.058395</v>
      </c>
      <c r="Q72">
        <v>3719.5187270000001</v>
      </c>
      <c r="R72">
        <v>5332.1552490000004</v>
      </c>
      <c r="S72">
        <v>5271.6671690000003</v>
      </c>
      <c r="T72">
        <v>5175.6218200000003</v>
      </c>
      <c r="U72">
        <v>5019.5414339999998</v>
      </c>
      <c r="V72">
        <v>4854.2733239999998</v>
      </c>
      <c r="W72">
        <v>4679.7853789999999</v>
      </c>
      <c r="X72">
        <v>4603.360729</v>
      </c>
      <c r="Y72">
        <v>4525.4827089999999</v>
      </c>
      <c r="Z72">
        <v>4429.6079579999996</v>
      </c>
      <c r="AA72">
        <v>4341.1959889999998</v>
      </c>
      <c r="AB72">
        <v>4256.9396790000001</v>
      </c>
      <c r="AC72">
        <v>4174.6277520000003</v>
      </c>
      <c r="AD72">
        <v>4092.968343</v>
      </c>
      <c r="AE72">
        <v>4012.704201</v>
      </c>
      <c r="AF72">
        <v>3928.7011819999998</v>
      </c>
      <c r="AG72">
        <v>3843.1537090000002</v>
      </c>
      <c r="AH72">
        <v>3757.5010149999998</v>
      </c>
      <c r="AI72">
        <v>3669.4228360000002</v>
      </c>
      <c r="AJ72">
        <v>3588.358526</v>
      </c>
      <c r="AK72">
        <v>3509.573171</v>
      </c>
      <c r="AL72">
        <v>3433.0006920000001</v>
      </c>
      <c r="AM72">
        <v>3358.1491070000002</v>
      </c>
      <c r="AN72">
        <v>3285.1668100000002</v>
      </c>
      <c r="AO72">
        <v>3208.6386649999999</v>
      </c>
      <c r="AP72">
        <v>3132.8811380000002</v>
      </c>
      <c r="AQ72">
        <v>3057.8115290000001</v>
      </c>
      <c r="AR72">
        <v>2983.5163120000002</v>
      </c>
      <c r="AS72">
        <v>2910.0351089999999</v>
      </c>
      <c r="AT72">
        <v>2835.9773260000002</v>
      </c>
      <c r="AU72">
        <v>2762.7544870000002</v>
      </c>
      <c r="AV72">
        <v>2689.652043</v>
      </c>
      <c r="AW72">
        <v>2617.749409</v>
      </c>
      <c r="AX72">
        <v>2547.2809050000001</v>
      </c>
    </row>
    <row r="73" spans="1:50" x14ac:dyDescent="0.25">
      <c r="B73" s="11" t="s">
        <v>230</v>
      </c>
      <c r="C73" t="s">
        <v>216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804.87323330000004</v>
      </c>
      <c r="O73">
        <v>1636.4205260000001</v>
      </c>
      <c r="P73">
        <v>2517.5887990000001</v>
      </c>
      <c r="Q73">
        <v>3417.9981579999999</v>
      </c>
      <c r="R73">
        <v>4753.4040869999999</v>
      </c>
      <c r="S73">
        <v>4618.4269270000004</v>
      </c>
      <c r="T73">
        <v>4516.853255</v>
      </c>
      <c r="U73">
        <v>4481.9143260000001</v>
      </c>
      <c r="V73">
        <v>4453.2839620000004</v>
      </c>
      <c r="W73">
        <v>4449.0536009999996</v>
      </c>
      <c r="X73">
        <v>4386.6832700000004</v>
      </c>
      <c r="Y73">
        <v>4306.4510979999995</v>
      </c>
      <c r="Z73">
        <v>4203.6018789999998</v>
      </c>
      <c r="AA73">
        <v>4130.5998289999998</v>
      </c>
      <c r="AB73">
        <v>4075.8063739999998</v>
      </c>
      <c r="AC73">
        <v>4032.7039300000001</v>
      </c>
      <c r="AD73">
        <v>3999.5539549999999</v>
      </c>
      <c r="AE73">
        <v>3981.6347430000001</v>
      </c>
      <c r="AF73">
        <v>3971.16923</v>
      </c>
      <c r="AG73">
        <v>3963.1551629999999</v>
      </c>
      <c r="AH73">
        <v>3956.12156</v>
      </c>
      <c r="AI73">
        <v>3951.3816569999999</v>
      </c>
      <c r="AJ73">
        <v>3960.1532160000002</v>
      </c>
      <c r="AK73">
        <v>3970.574713</v>
      </c>
      <c r="AL73">
        <v>3982.303054</v>
      </c>
      <c r="AM73">
        <v>3995.0796380000002</v>
      </c>
      <c r="AN73">
        <v>4008.2906349999998</v>
      </c>
      <c r="AO73">
        <v>4032.8874089999999</v>
      </c>
      <c r="AP73">
        <v>4060.1497760000002</v>
      </c>
      <c r="AQ73">
        <v>4087.260683</v>
      </c>
      <c r="AR73">
        <v>4114.7767629999998</v>
      </c>
      <c r="AS73">
        <v>4141.9416350000001</v>
      </c>
      <c r="AT73">
        <v>4179.0797839999996</v>
      </c>
      <c r="AU73">
        <v>4216.5172300000004</v>
      </c>
      <c r="AV73">
        <v>4254.1054130000002</v>
      </c>
      <c r="AW73">
        <v>4292.5363340000004</v>
      </c>
      <c r="AX73">
        <v>4332.8467529999998</v>
      </c>
    </row>
    <row r="74" spans="1:50" x14ac:dyDescent="0.25">
      <c r="B74" s="2"/>
      <c r="C74" s="25" t="s">
        <v>135</v>
      </c>
      <c r="E74">
        <v>912128.34170305706</v>
      </c>
      <c r="F74">
        <v>937425.07259999996</v>
      </c>
      <c r="G74">
        <v>961862.00450000004</v>
      </c>
      <c r="H74">
        <v>986659.89729999995</v>
      </c>
      <c r="I74">
        <v>1008523.498</v>
      </c>
      <c r="J74">
        <v>1032902.336</v>
      </c>
      <c r="K74">
        <v>1047851.843</v>
      </c>
      <c r="L74">
        <v>1070612.0560000001</v>
      </c>
      <c r="M74">
        <v>1095908.192</v>
      </c>
      <c r="N74">
        <v>1121771.642</v>
      </c>
      <c r="O74">
        <v>1148883.034</v>
      </c>
      <c r="P74">
        <v>1175814.398</v>
      </c>
      <c r="Q74">
        <v>1206902.7879999999</v>
      </c>
      <c r="R74">
        <v>1245996.2320000001</v>
      </c>
      <c r="S74">
        <v>1296419.371</v>
      </c>
      <c r="T74">
        <v>1350708.45</v>
      </c>
      <c r="U74">
        <v>1402975.7320000001</v>
      </c>
      <c r="V74">
        <v>1451638.585</v>
      </c>
      <c r="W74">
        <v>1509929.6640000001</v>
      </c>
      <c r="X74">
        <v>1562894.733</v>
      </c>
      <c r="Y74">
        <v>1614378.0090000001</v>
      </c>
      <c r="Z74">
        <v>1666703.577</v>
      </c>
      <c r="AA74">
        <v>1720982.7069999999</v>
      </c>
      <c r="AB74">
        <v>1777230.7520000001</v>
      </c>
      <c r="AC74">
        <v>1834921.3629999999</v>
      </c>
      <c r="AD74">
        <v>1894585.2590000001</v>
      </c>
      <c r="AE74">
        <v>1956461.9680000001</v>
      </c>
      <c r="AF74">
        <v>2020712.2560000001</v>
      </c>
      <c r="AG74">
        <v>2087899.888</v>
      </c>
      <c r="AH74">
        <v>2158999.0660000001</v>
      </c>
      <c r="AI74">
        <v>2234346.8709999998</v>
      </c>
      <c r="AJ74">
        <v>2314702.1009999998</v>
      </c>
      <c r="AK74">
        <v>2400777.2969999998</v>
      </c>
      <c r="AL74">
        <v>2490977.0699999998</v>
      </c>
      <c r="AM74">
        <v>2585434.4249999998</v>
      </c>
      <c r="AN74">
        <v>2683857.5649999999</v>
      </c>
      <c r="AO74">
        <v>2787150.898</v>
      </c>
      <c r="AP74">
        <v>2895092.8390000002</v>
      </c>
      <c r="AQ74">
        <v>3006720.9559999998</v>
      </c>
      <c r="AR74">
        <v>3121990.2450000001</v>
      </c>
      <c r="AS74">
        <v>3240852.909</v>
      </c>
      <c r="AT74">
        <v>3363392.2710000002</v>
      </c>
      <c r="AU74">
        <v>3490292.9610000001</v>
      </c>
      <c r="AV74">
        <v>3621928.0440000002</v>
      </c>
      <c r="AW74">
        <v>3758278.3689999999</v>
      </c>
      <c r="AX74">
        <v>3899770.5359999998</v>
      </c>
    </row>
    <row r="75" spans="1:50" x14ac:dyDescent="0.25">
      <c r="B75" s="2"/>
      <c r="C75" s="25" t="s">
        <v>158</v>
      </c>
      <c r="D75">
        <v>39.375694686332501</v>
      </c>
      <c r="E75">
        <v>40.163208580059099</v>
      </c>
      <c r="F75">
        <v>40.965571269999998</v>
      </c>
      <c r="G75">
        <v>41.668771829999997</v>
      </c>
      <c r="H75">
        <v>42.35136644</v>
      </c>
      <c r="I75">
        <v>42.869101749999999</v>
      </c>
      <c r="J75">
        <v>42.448831800000001</v>
      </c>
      <c r="K75">
        <v>41.869215029999999</v>
      </c>
      <c r="L75">
        <v>41.560260290000002</v>
      </c>
      <c r="M75">
        <v>41.492423899999999</v>
      </c>
      <c r="N75">
        <v>41.418084700000001</v>
      </c>
      <c r="O75">
        <v>41.395520490000003</v>
      </c>
      <c r="P75">
        <v>41.42978403</v>
      </c>
      <c r="Q75">
        <v>41.566799189999998</v>
      </c>
      <c r="R75">
        <v>42.090111530000001</v>
      </c>
      <c r="S75">
        <v>43.023861310000001</v>
      </c>
      <c r="T75">
        <v>43.891009769999997</v>
      </c>
      <c r="U75">
        <v>44.769848519999996</v>
      </c>
      <c r="V75">
        <v>45.663181270000003</v>
      </c>
      <c r="W75">
        <v>46.581190370000002</v>
      </c>
      <c r="X75">
        <v>47.518728979999999</v>
      </c>
      <c r="Y75">
        <v>48.46680739</v>
      </c>
      <c r="Z75">
        <v>49.435265459999997</v>
      </c>
      <c r="AA75">
        <v>50.406457869999997</v>
      </c>
      <c r="AB75">
        <v>51.36336876</v>
      </c>
      <c r="AC75">
        <v>52.328471540000002</v>
      </c>
      <c r="AD75">
        <v>53.311581179999997</v>
      </c>
      <c r="AE75">
        <v>54.318672759999998</v>
      </c>
      <c r="AF75">
        <v>55.353832709999999</v>
      </c>
      <c r="AG75">
        <v>56.426115510000002</v>
      </c>
      <c r="AH75">
        <v>57.542233979999999</v>
      </c>
      <c r="AI75">
        <v>58.688798900000002</v>
      </c>
      <c r="AJ75">
        <v>59.870694129999997</v>
      </c>
      <c r="AK75">
        <v>61.085950680000003</v>
      </c>
      <c r="AL75">
        <v>62.314690839999997</v>
      </c>
      <c r="AM75">
        <v>63.563251970000003</v>
      </c>
      <c r="AN75">
        <v>64.835652890000006</v>
      </c>
      <c r="AO75">
        <v>66.124674130000002</v>
      </c>
      <c r="AP75">
        <v>67.427120020000004</v>
      </c>
      <c r="AQ75">
        <v>68.746892380000006</v>
      </c>
      <c r="AR75">
        <v>70.086280090000002</v>
      </c>
      <c r="AS75">
        <v>71.447887929999894</v>
      </c>
      <c r="AT75">
        <v>72.834136229999999</v>
      </c>
      <c r="AU75">
        <v>74.245493640000007</v>
      </c>
      <c r="AV75">
        <v>75.684431450000005</v>
      </c>
      <c r="AW75">
        <v>77.151175519999995</v>
      </c>
      <c r="AX75">
        <v>78.660523530000006</v>
      </c>
    </row>
    <row r="76" spans="1:50" x14ac:dyDescent="0.25">
      <c r="B76" s="2"/>
      <c r="C76" s="25" t="s">
        <v>159</v>
      </c>
      <c r="D76">
        <v>5875.3438678479197</v>
      </c>
      <c r="E76">
        <v>5898.8877609486599</v>
      </c>
      <c r="F76">
        <v>5918.9688020000003</v>
      </c>
      <c r="G76">
        <v>5938.0893379999998</v>
      </c>
      <c r="H76">
        <v>5921.6735070000004</v>
      </c>
      <c r="I76">
        <v>5909.5378430000001</v>
      </c>
      <c r="J76">
        <v>5910.7674390000002</v>
      </c>
      <c r="K76">
        <v>5932.9880370000001</v>
      </c>
      <c r="L76">
        <v>5972.4200870000004</v>
      </c>
      <c r="M76">
        <v>6012.9627609999998</v>
      </c>
      <c r="N76">
        <v>6024.9931130000004</v>
      </c>
      <c r="O76">
        <v>6024.1893380000001</v>
      </c>
      <c r="P76">
        <v>6026.6725239999996</v>
      </c>
      <c r="Q76">
        <v>6047.7019030000001</v>
      </c>
      <c r="R76">
        <v>6063.2623039999999</v>
      </c>
      <c r="S76">
        <v>6066.8735820000002</v>
      </c>
      <c r="T76">
        <v>6079.9487829999998</v>
      </c>
      <c r="U76">
        <v>6090.9946470000004</v>
      </c>
      <c r="V76">
        <v>6100.7335430000003</v>
      </c>
      <c r="W76">
        <v>6113.4238139999998</v>
      </c>
      <c r="X76">
        <v>6127.0749290000003</v>
      </c>
      <c r="Y76">
        <v>6140.6731200000004</v>
      </c>
      <c r="Z76">
        <v>6152.9189319999996</v>
      </c>
      <c r="AA76">
        <v>6164.5540330000003</v>
      </c>
      <c r="AB76">
        <v>6177.1064200000001</v>
      </c>
      <c r="AC76">
        <v>6188.6466149999997</v>
      </c>
      <c r="AD76">
        <v>6198.5979369999995</v>
      </c>
      <c r="AE76">
        <v>6207.6869710000001</v>
      </c>
      <c r="AF76">
        <v>6216.2184520000001</v>
      </c>
      <c r="AG76">
        <v>6223.8599649999996</v>
      </c>
      <c r="AH76">
        <v>6230.2553939999998</v>
      </c>
      <c r="AI76">
        <v>6237.0773349999999</v>
      </c>
      <c r="AJ76">
        <v>6243.0474370000002</v>
      </c>
      <c r="AK76">
        <v>6247.6850930000001</v>
      </c>
      <c r="AL76">
        <v>6252.5660369999996</v>
      </c>
      <c r="AM76">
        <v>6257.0208560000001</v>
      </c>
      <c r="AN76">
        <v>6260.4684269999998</v>
      </c>
      <c r="AO76">
        <v>6263.6275489999998</v>
      </c>
      <c r="AP76">
        <v>6266.2167939999999</v>
      </c>
      <c r="AQ76">
        <v>6267.9314619999996</v>
      </c>
      <c r="AR76">
        <v>6269.2332340000003</v>
      </c>
      <c r="AS76">
        <v>6269.7754180000002</v>
      </c>
      <c r="AT76">
        <v>6269.6905580000002</v>
      </c>
      <c r="AU76">
        <v>6269.3469510000004</v>
      </c>
      <c r="AV76">
        <v>6268.5243250000003</v>
      </c>
      <c r="AW76">
        <v>6267.2739369999999</v>
      </c>
      <c r="AX76">
        <v>6265.1661389999999</v>
      </c>
    </row>
    <row r="77" spans="1:50" x14ac:dyDescent="0.25">
      <c r="B77" s="2"/>
      <c r="C77" s="25" t="s">
        <v>160</v>
      </c>
      <c r="D77">
        <v>0.97642519020762697</v>
      </c>
      <c r="E77">
        <v>0.98814229249011798</v>
      </c>
      <c r="F77">
        <v>1</v>
      </c>
      <c r="G77">
        <v>1.012</v>
      </c>
      <c r="H77">
        <v>1.0241439999999999</v>
      </c>
      <c r="I77">
        <v>1.036433728</v>
      </c>
      <c r="J77">
        <v>1.0488709329999999</v>
      </c>
      <c r="K77">
        <v>1.0614573839999999</v>
      </c>
      <c r="L77">
        <v>1.0741948729999999</v>
      </c>
      <c r="M77">
        <v>1.087085211</v>
      </c>
      <c r="N77">
        <v>1.1001302340000001</v>
      </c>
      <c r="O77">
        <v>1.113331796</v>
      </c>
      <c r="P77">
        <v>1.1266917780000001</v>
      </c>
      <c r="Q77">
        <v>1.1402120790000001</v>
      </c>
      <c r="R77">
        <v>1.1538946240000001</v>
      </c>
      <c r="S77">
        <v>1.16774136</v>
      </c>
      <c r="T77">
        <v>1.1817542560000001</v>
      </c>
      <c r="U77">
        <v>1.194753553</v>
      </c>
      <c r="V77">
        <v>1.2078958420000001</v>
      </c>
      <c r="W77">
        <v>1.226596947</v>
      </c>
      <c r="X77">
        <v>1.2401047249999999</v>
      </c>
      <c r="Y77">
        <v>1.248217986</v>
      </c>
      <c r="Z77">
        <v>1.257008237</v>
      </c>
      <c r="AA77">
        <v>1.2663833600000001</v>
      </c>
      <c r="AB77">
        <v>1.2764109889999999</v>
      </c>
      <c r="AC77">
        <v>1.286584102</v>
      </c>
      <c r="AD77">
        <v>1.297256237</v>
      </c>
      <c r="AE77">
        <v>1.3086671599999999</v>
      </c>
      <c r="AF77">
        <v>1.3206483760000001</v>
      </c>
      <c r="AG77">
        <v>1.333490431</v>
      </c>
      <c r="AH77">
        <v>1.3475322249999999</v>
      </c>
      <c r="AI77">
        <v>1.3629206810000001</v>
      </c>
      <c r="AJ77">
        <v>1.379979171</v>
      </c>
      <c r="AK77">
        <v>1.39901319</v>
      </c>
      <c r="AL77">
        <v>1.4188714659999999</v>
      </c>
      <c r="AM77">
        <v>1.439634981</v>
      </c>
      <c r="AN77">
        <v>1.46107075</v>
      </c>
      <c r="AO77">
        <v>1.483382451</v>
      </c>
      <c r="AP77">
        <v>1.5065307050000001</v>
      </c>
      <c r="AQ77">
        <v>1.5298493259999999</v>
      </c>
      <c r="AR77">
        <v>1.5531631290000001</v>
      </c>
      <c r="AS77">
        <v>1.5765024270000001</v>
      </c>
      <c r="AT77">
        <v>1.599996164</v>
      </c>
      <c r="AU77">
        <v>1.623719624</v>
      </c>
      <c r="AV77">
        <v>1.647851851</v>
      </c>
      <c r="AW77">
        <v>1.6722974500000001</v>
      </c>
      <c r="AX77">
        <v>1.697086356</v>
      </c>
    </row>
    <row r="78" spans="1:50" x14ac:dyDescent="0.25">
      <c r="B78" s="2"/>
      <c r="C78" s="25" t="s">
        <v>161</v>
      </c>
      <c r="E78">
        <v>4.0034451147056699E-2</v>
      </c>
      <c r="F78">
        <v>4.0034451147056699E-2</v>
      </c>
      <c r="G78">
        <v>3.8398621399999999E-2</v>
      </c>
      <c r="H78">
        <v>3.6515158200000002E-2</v>
      </c>
      <c r="I78">
        <v>3.6233179099999999E-2</v>
      </c>
      <c r="J78">
        <v>3.4419222300000003E-2</v>
      </c>
      <c r="K78">
        <v>3.3746022700000003E-2</v>
      </c>
      <c r="L78">
        <v>3.3148577399999997E-2</v>
      </c>
      <c r="M78">
        <v>3.2702068799999998E-2</v>
      </c>
      <c r="N78">
        <v>3.2060825799999998E-2</v>
      </c>
      <c r="O78">
        <v>3.1831813799999997E-2</v>
      </c>
      <c r="P78">
        <v>3.1290097199999999E-2</v>
      </c>
      <c r="Q78">
        <v>3.0808309799999999E-2</v>
      </c>
      <c r="R78">
        <v>3.1313187800000003E-2</v>
      </c>
      <c r="S78">
        <v>3.2522624E-2</v>
      </c>
      <c r="T78">
        <v>3.33114038E-2</v>
      </c>
      <c r="U78">
        <v>3.4145992999999999E-2</v>
      </c>
      <c r="V78">
        <v>3.4878735500000001E-2</v>
      </c>
      <c r="W78">
        <v>3.5579424700000001E-2</v>
      </c>
      <c r="X78">
        <v>3.6224814000000001E-2</v>
      </c>
      <c r="Y78">
        <v>3.6775104900000001E-2</v>
      </c>
      <c r="Z78">
        <v>3.72368223E-2</v>
      </c>
      <c r="AA78">
        <v>3.7591325699999997E-2</v>
      </c>
      <c r="AB78">
        <v>3.7866137199999997E-2</v>
      </c>
      <c r="AC78">
        <v>3.8084136499999997E-2</v>
      </c>
      <c r="AD78">
        <v>3.8256598000000003E-2</v>
      </c>
      <c r="AE78">
        <v>3.8393562300000003E-2</v>
      </c>
      <c r="AF78">
        <v>3.8510680999999998E-2</v>
      </c>
      <c r="AG78">
        <v>3.8583162499999997E-2</v>
      </c>
      <c r="AH78">
        <v>3.8662855199999999E-2</v>
      </c>
      <c r="AI78">
        <v>3.8749884300000002E-2</v>
      </c>
      <c r="AJ78">
        <v>3.88080736E-2</v>
      </c>
      <c r="AK78">
        <v>3.89120981E-2</v>
      </c>
      <c r="AL78">
        <v>3.9001364500000003E-2</v>
      </c>
      <c r="AM78">
        <v>3.9079434699999999E-2</v>
      </c>
      <c r="AN78">
        <v>3.9146079E-2</v>
      </c>
      <c r="AO78">
        <v>3.9203201399999998E-2</v>
      </c>
      <c r="AP78">
        <v>3.9262779099999999E-2</v>
      </c>
      <c r="AQ78">
        <v>3.9312632399999999E-2</v>
      </c>
      <c r="AR78">
        <v>3.9354653599999997E-2</v>
      </c>
      <c r="AS78">
        <v>3.93897198E-2</v>
      </c>
      <c r="AT78">
        <v>3.9417316299999998E-2</v>
      </c>
      <c r="AU78">
        <v>3.9442062399999998E-2</v>
      </c>
      <c r="AV78">
        <v>3.9464595800000002E-2</v>
      </c>
      <c r="AW78">
        <v>3.9483928000000001E-2</v>
      </c>
      <c r="AX78">
        <v>3.94970631E-2</v>
      </c>
    </row>
    <row r="79" spans="1:50" x14ac:dyDescent="0.25">
      <c r="B79" s="2"/>
      <c r="C79" s="25" t="s">
        <v>162</v>
      </c>
      <c r="E79">
        <v>1040817.58910477</v>
      </c>
      <c r="F79">
        <v>1078678.81720303</v>
      </c>
      <c r="G79">
        <v>1124725.665</v>
      </c>
      <c r="H79">
        <v>1166240.7490000001</v>
      </c>
      <c r="I79">
        <v>1205835.257</v>
      </c>
      <c r="J79">
        <v>1275553.7660000001</v>
      </c>
      <c r="K79">
        <v>1363042.115</v>
      </c>
      <c r="L79">
        <v>1440080.87</v>
      </c>
      <c r="M79">
        <v>1521199.602</v>
      </c>
      <c r="N79">
        <v>1614138.7220000001</v>
      </c>
      <c r="O79">
        <v>1715276.6329999999</v>
      </c>
      <c r="P79">
        <v>1822815.8840000001</v>
      </c>
      <c r="Q79">
        <v>1934817.9110000001</v>
      </c>
      <c r="R79">
        <v>2041238.86</v>
      </c>
      <c r="S79">
        <v>2143518.4759999998</v>
      </c>
      <c r="T79">
        <v>2251863.58</v>
      </c>
      <c r="U79">
        <v>2375471.3050000002</v>
      </c>
      <c r="V79">
        <v>2514614.0380000002</v>
      </c>
      <c r="W79">
        <v>2662630.4559999998</v>
      </c>
      <c r="X79">
        <v>2822757.3280000002</v>
      </c>
      <c r="Y79">
        <v>2991571.61</v>
      </c>
      <c r="Z79">
        <v>3171972.301</v>
      </c>
      <c r="AA79">
        <v>3366719.338</v>
      </c>
      <c r="AB79">
        <v>3577587.65</v>
      </c>
      <c r="AC79">
        <v>3803284.2620000001</v>
      </c>
      <c r="AD79">
        <v>4043916.4279999998</v>
      </c>
      <c r="AE79">
        <v>4298375.28</v>
      </c>
      <c r="AF79">
        <v>4567866.9210000001</v>
      </c>
      <c r="AG79">
        <v>4853038.3660000004</v>
      </c>
      <c r="AH79">
        <v>5153710.4479999999</v>
      </c>
      <c r="AI79">
        <v>5470934.5539999995</v>
      </c>
      <c r="AJ79">
        <v>5806076.6030000001</v>
      </c>
      <c r="AK79">
        <v>6159585.1600000001</v>
      </c>
      <c r="AL79">
        <v>6533993.9589999998</v>
      </c>
      <c r="AM79">
        <v>6930611.7560000001</v>
      </c>
      <c r="AN79">
        <v>7350319.3049999997</v>
      </c>
      <c r="AO79">
        <v>7794473.4100000001</v>
      </c>
      <c r="AP79">
        <v>8264853.0329999998</v>
      </c>
      <c r="AQ79">
        <v>8763559.9039999899</v>
      </c>
      <c r="AR79">
        <v>9291669.9340000004</v>
      </c>
      <c r="AS79">
        <v>9850171.7709999997</v>
      </c>
      <c r="AT79">
        <v>10440247.880000001</v>
      </c>
      <c r="AU79">
        <v>11063366.26</v>
      </c>
      <c r="AV79">
        <v>11720830.76</v>
      </c>
      <c r="AW79">
        <v>12414445.67</v>
      </c>
      <c r="AX79">
        <v>13146034.59</v>
      </c>
    </row>
    <row r="80" spans="1:50" x14ac:dyDescent="0.25">
      <c r="B80" s="2"/>
      <c r="C80" s="25" t="s">
        <v>145</v>
      </c>
      <c r="D80">
        <v>334613.16054844699</v>
      </c>
      <c r="E80">
        <v>346785.19273624098</v>
      </c>
      <c r="F80">
        <v>355569.93800000002</v>
      </c>
      <c r="G80">
        <v>362474.15049999999</v>
      </c>
      <c r="H80">
        <v>375166.89110000001</v>
      </c>
      <c r="I80">
        <v>389779.75660000002</v>
      </c>
      <c r="J80">
        <v>402784.48389999999</v>
      </c>
      <c r="K80">
        <v>413040.95329999999</v>
      </c>
      <c r="L80">
        <v>424174.07860000001</v>
      </c>
      <c r="M80">
        <v>435846.93920000002</v>
      </c>
      <c r="N80">
        <v>448624.69179999997</v>
      </c>
      <c r="O80">
        <v>460339.77340000001</v>
      </c>
      <c r="P80">
        <v>470567.91450000001</v>
      </c>
      <c r="Q80">
        <v>482243.94400000002</v>
      </c>
      <c r="R80">
        <v>497227.38870000001</v>
      </c>
      <c r="S80">
        <v>511861.13459999999</v>
      </c>
      <c r="T80">
        <v>538863.15529999998</v>
      </c>
      <c r="U80">
        <v>556795.1973</v>
      </c>
      <c r="V80">
        <v>575163.65060000005</v>
      </c>
      <c r="W80">
        <v>596984.80830000003</v>
      </c>
      <c r="X80">
        <v>617015.78780000005</v>
      </c>
      <c r="Y80">
        <v>634827.69799999997</v>
      </c>
      <c r="Z80">
        <v>653737.57819999999</v>
      </c>
      <c r="AA80">
        <v>673445.00069999998</v>
      </c>
      <c r="AB80">
        <v>693811.22790000006</v>
      </c>
      <c r="AC80">
        <v>714508.93130000005</v>
      </c>
      <c r="AD80">
        <v>735794.42590000003</v>
      </c>
      <c r="AE80">
        <v>757932.65209999995</v>
      </c>
      <c r="AF80">
        <v>780689.8149</v>
      </c>
      <c r="AG80">
        <v>804428.23439999996</v>
      </c>
      <c r="AH80">
        <v>829568.36369999999</v>
      </c>
      <c r="AI80">
        <v>856185.29029999999</v>
      </c>
      <c r="AJ80">
        <v>884744.00710000005</v>
      </c>
      <c r="AK80">
        <v>915443.48389999999</v>
      </c>
      <c r="AL80">
        <v>947558.99109999998</v>
      </c>
      <c r="AM80">
        <v>981117.90049999999</v>
      </c>
      <c r="AN80">
        <v>1015976.042</v>
      </c>
      <c r="AO80">
        <v>1052363.726</v>
      </c>
      <c r="AP80">
        <v>1090311.442</v>
      </c>
      <c r="AQ80">
        <v>1129341.4069999999</v>
      </c>
      <c r="AR80">
        <v>1169398.2660000001</v>
      </c>
      <c r="AS80">
        <v>1210442.2279999999</v>
      </c>
      <c r="AT80">
        <v>1252620.95</v>
      </c>
      <c r="AU80">
        <v>1296081.0009999999</v>
      </c>
      <c r="AV80">
        <v>1340968.7009999999</v>
      </c>
      <c r="AW80">
        <v>1387225.777</v>
      </c>
      <c r="AX80">
        <v>1434916.156</v>
      </c>
    </row>
    <row r="81" spans="2:50" x14ac:dyDescent="0.25">
      <c r="B81" s="2"/>
      <c r="C81" s="25" t="s">
        <v>163</v>
      </c>
      <c r="D81">
        <v>0</v>
      </c>
      <c r="E81">
        <v>0</v>
      </c>
      <c r="F81">
        <v>0</v>
      </c>
      <c r="G81">
        <v>981.71740569999997</v>
      </c>
      <c r="H81">
        <v>1275.764584</v>
      </c>
      <c r="I81">
        <v>1256.1846029999999</v>
      </c>
      <c r="J81">
        <v>962.83366820000003</v>
      </c>
      <c r="K81">
        <v>907.83579120344098</v>
      </c>
      <c r="L81">
        <v>730.04443793057101</v>
      </c>
      <c r="M81">
        <v>1046.0338633136</v>
      </c>
      <c r="N81">
        <v>1478.0555924535399</v>
      </c>
      <c r="O81">
        <v>2067.93911695003</v>
      </c>
      <c r="P81">
        <v>1560.2962204850101</v>
      </c>
      <c r="Q81">
        <v>1611.5249479286499</v>
      </c>
      <c r="R81">
        <v>1227.2902218648501</v>
      </c>
      <c r="S81">
        <v>1845.61561109695</v>
      </c>
      <c r="T81">
        <v>1829.2329825458601</v>
      </c>
      <c r="U81">
        <v>3502.7992083540598</v>
      </c>
      <c r="V81">
        <v>2632.5167987611399</v>
      </c>
      <c r="W81">
        <v>2779.9115992563702</v>
      </c>
      <c r="X81" s="24">
        <v>1.4974830264691199E-9</v>
      </c>
      <c r="Y81" s="24">
        <v>-3.3847254599095301E-7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2:50" x14ac:dyDescent="0.25">
      <c r="B82" s="2"/>
      <c r="C82" s="25" t="s">
        <v>147</v>
      </c>
      <c r="D82">
        <v>0</v>
      </c>
      <c r="E82">
        <v>0</v>
      </c>
      <c r="F82">
        <v>0</v>
      </c>
      <c r="G82">
        <v>0</v>
      </c>
      <c r="H82">
        <v>-146.1568862</v>
      </c>
      <c r="I82">
        <v>-138.40401420000001</v>
      </c>
      <c r="J82">
        <v>-122.1721342</v>
      </c>
      <c r="K82">
        <v>-60.537773860000001</v>
      </c>
      <c r="L82">
        <v>30.85194285</v>
      </c>
      <c r="M82">
        <v>248.6645532</v>
      </c>
      <c r="N82">
        <v>291.27212850000001</v>
      </c>
      <c r="O82">
        <v>-1159.066388</v>
      </c>
      <c r="P82">
        <v>-1100.111682</v>
      </c>
      <c r="Q82">
        <v>-1744.0667120000001</v>
      </c>
      <c r="R82">
        <v>-2367.1233390000002</v>
      </c>
      <c r="S82">
        <v>-1949.7674239999999</v>
      </c>
      <c r="T82">
        <v>-3557.2983020000001</v>
      </c>
      <c r="U82">
        <v>-1245.6667669999999</v>
      </c>
      <c r="V82">
        <v>-1567.860815</v>
      </c>
      <c r="W82">
        <v>-1318.5096900000001</v>
      </c>
      <c r="X82">
        <v>-1088.306024</v>
      </c>
      <c r="Y82">
        <v>-832.82381650000002</v>
      </c>
      <c r="Z82">
        <v>-651.75153120000004</v>
      </c>
      <c r="AA82">
        <v>-384.02915439999998</v>
      </c>
      <c r="AB82">
        <v>-86.374331130000002</v>
      </c>
      <c r="AC82">
        <v>220.77696610000001</v>
      </c>
      <c r="AD82">
        <v>523.75277349999999</v>
      </c>
      <c r="AE82">
        <v>816.18698389999997</v>
      </c>
      <c r="AF82">
        <v>1044.671006</v>
      </c>
      <c r="AG82">
        <v>1266.801242</v>
      </c>
      <c r="AH82">
        <v>1479.038894</v>
      </c>
      <c r="AI82">
        <v>1600.211579</v>
      </c>
      <c r="AJ82">
        <v>1826.669529</v>
      </c>
      <c r="AK82">
        <v>2022.7327399999999</v>
      </c>
      <c r="AL82">
        <v>2195.0391930000001</v>
      </c>
      <c r="AM82">
        <v>2351.0038030000001</v>
      </c>
      <c r="AN82">
        <v>2491.7308189999999</v>
      </c>
      <c r="AO82">
        <v>2609.1341259999999</v>
      </c>
      <c r="AP82">
        <v>2728.5225270000001</v>
      </c>
      <c r="AQ82">
        <v>2846.2286770000001</v>
      </c>
      <c r="AR82">
        <v>2959.138312</v>
      </c>
      <c r="AS82">
        <v>3066.5467490000001</v>
      </c>
      <c r="AT82">
        <v>3154.3593289999999</v>
      </c>
      <c r="AU82">
        <v>3244.5288</v>
      </c>
      <c r="AV82">
        <v>3332.8366609999998</v>
      </c>
      <c r="AW82">
        <v>3416.9084280000002</v>
      </c>
      <c r="AX82">
        <v>3500.0568560000002</v>
      </c>
    </row>
    <row r="83" spans="2:50" x14ac:dyDescent="0.25">
      <c r="B83" s="2"/>
      <c r="C83" s="25" t="s">
        <v>164</v>
      </c>
      <c r="D83">
        <v>0.96116878123798499</v>
      </c>
      <c r="E83">
        <v>0.98039215686274495</v>
      </c>
      <c r="F83">
        <v>0.97579872170000004</v>
      </c>
      <c r="G83">
        <v>0.96922966669999999</v>
      </c>
      <c r="H83">
        <v>1.01679575</v>
      </c>
      <c r="I83">
        <v>0.96537061810000002</v>
      </c>
      <c r="J83">
        <v>0.98679906539999995</v>
      </c>
      <c r="K83">
        <v>1.0369927370000001</v>
      </c>
      <c r="L83">
        <v>1.083024969</v>
      </c>
      <c r="M83">
        <v>1.0835506640000001</v>
      </c>
      <c r="N83">
        <v>1.0703967919999999</v>
      </c>
      <c r="O83">
        <v>1.0339060090000001</v>
      </c>
      <c r="P83">
        <v>1.014265808</v>
      </c>
      <c r="Q83">
        <v>1.0601220330000001</v>
      </c>
      <c r="R83">
        <v>1.1460073740000001</v>
      </c>
      <c r="S83">
        <v>1.182573951</v>
      </c>
      <c r="T83">
        <v>1.20891747</v>
      </c>
      <c r="U83">
        <v>1.234388193</v>
      </c>
      <c r="V83">
        <v>1.2613496200000001</v>
      </c>
      <c r="W83">
        <v>1.287053819</v>
      </c>
      <c r="X83">
        <v>1.3164112779999999</v>
      </c>
      <c r="Y83">
        <v>1.3399912119999999</v>
      </c>
      <c r="Z83">
        <v>1.3625281339999999</v>
      </c>
      <c r="AA83">
        <v>1.3858346969999999</v>
      </c>
      <c r="AB83">
        <v>1.4095925</v>
      </c>
      <c r="AC83">
        <v>1.4339928390000001</v>
      </c>
      <c r="AD83">
        <v>1.4586878430000001</v>
      </c>
      <c r="AE83">
        <v>1.483358658</v>
      </c>
      <c r="AF83">
        <v>1.50847373</v>
      </c>
      <c r="AG83">
        <v>1.5328129749999999</v>
      </c>
      <c r="AH83">
        <v>1.5586175120000001</v>
      </c>
      <c r="AI83">
        <v>1.5838619780000001</v>
      </c>
      <c r="AJ83">
        <v>1.610119034</v>
      </c>
      <c r="AK83">
        <v>1.6370984900000001</v>
      </c>
      <c r="AL83">
        <v>1.6648157800000001</v>
      </c>
      <c r="AM83">
        <v>1.693143324</v>
      </c>
      <c r="AN83">
        <v>1.7222592329999999</v>
      </c>
      <c r="AO83">
        <v>1.7523842460000001</v>
      </c>
      <c r="AP83">
        <v>1.7831934279999999</v>
      </c>
      <c r="AQ83">
        <v>1.814943835</v>
      </c>
      <c r="AR83">
        <v>1.847450051</v>
      </c>
      <c r="AS83">
        <v>1.8807101369999999</v>
      </c>
      <c r="AT83">
        <v>1.915243512</v>
      </c>
      <c r="AU83">
        <v>1.950709646</v>
      </c>
      <c r="AV83">
        <v>1.9877311529999999</v>
      </c>
      <c r="AW83">
        <v>2.0244724239999998</v>
      </c>
      <c r="AX83">
        <v>2.0618727090000002</v>
      </c>
    </row>
    <row r="84" spans="2:50" x14ac:dyDescent="0.25">
      <c r="B84" s="2"/>
      <c r="C84" s="25" t="s">
        <v>165</v>
      </c>
      <c r="D84">
        <v>6240.0203969263302</v>
      </c>
      <c r="E84">
        <v>6340.2059427907698</v>
      </c>
      <c r="F84">
        <v>6469.6179400000001</v>
      </c>
      <c r="G84">
        <v>6611.6570320000001</v>
      </c>
      <c r="H84">
        <v>6618.2921649999998</v>
      </c>
      <c r="I84">
        <v>6789.5942450000002</v>
      </c>
      <c r="J84">
        <v>6812.2372910000004</v>
      </c>
      <c r="K84">
        <v>6793.1647370000001</v>
      </c>
      <c r="L84">
        <v>6788.7557980000001</v>
      </c>
      <c r="M84">
        <v>6846.032698</v>
      </c>
      <c r="N84">
        <v>6893.5129550000001</v>
      </c>
      <c r="O84">
        <v>6994.3660490000002</v>
      </c>
      <c r="P84">
        <v>6735.5194309999997</v>
      </c>
      <c r="Q84">
        <v>6476.6728199999998</v>
      </c>
      <c r="R84">
        <v>6217.8262029999996</v>
      </c>
      <c r="S84">
        <v>5958.9795860000004</v>
      </c>
      <c r="T84">
        <v>5700.1329669999996</v>
      </c>
      <c r="U84">
        <v>5700.1329669999996</v>
      </c>
      <c r="V84">
        <v>5700.1329669999996</v>
      </c>
      <c r="W84">
        <v>5700.1329669999996</v>
      </c>
      <c r="X84">
        <v>5656.8979019999997</v>
      </c>
      <c r="Y84">
        <v>5613.6628380000002</v>
      </c>
      <c r="Z84">
        <v>5570.4277730000003</v>
      </c>
      <c r="AA84">
        <v>5527.1927089999999</v>
      </c>
      <c r="AB84">
        <v>5483.9576440000001</v>
      </c>
      <c r="AC84">
        <v>5440.7225799999997</v>
      </c>
      <c r="AD84">
        <v>5397.4875160000001</v>
      </c>
      <c r="AE84">
        <v>5354.2524510000003</v>
      </c>
      <c r="AF84">
        <v>5311.0173860000004</v>
      </c>
      <c r="AG84">
        <v>5267.782322</v>
      </c>
      <c r="AH84">
        <v>5224.5472570000002</v>
      </c>
      <c r="AI84">
        <v>5181.3121929999998</v>
      </c>
      <c r="AJ84">
        <v>5138.0771279999999</v>
      </c>
      <c r="AK84">
        <v>5094.8420630000001</v>
      </c>
      <c r="AL84">
        <v>5051.6069989999996</v>
      </c>
      <c r="AM84">
        <v>5008.3719339999998</v>
      </c>
      <c r="AN84">
        <v>4965.1368700000003</v>
      </c>
      <c r="AO84">
        <v>4921.9018050000004</v>
      </c>
      <c r="AP84">
        <v>4878.666741</v>
      </c>
      <c r="AQ84">
        <v>4835.4316760000002</v>
      </c>
      <c r="AR84">
        <v>4792.1966119999997</v>
      </c>
      <c r="AS84">
        <v>4748.9615469999999</v>
      </c>
      <c r="AT84">
        <v>4705.7264830000004</v>
      </c>
      <c r="AU84">
        <v>4662.491419</v>
      </c>
      <c r="AV84">
        <v>4619.2563540000001</v>
      </c>
      <c r="AW84">
        <v>4576.0212899999997</v>
      </c>
      <c r="AX84">
        <v>4532.7862249999998</v>
      </c>
    </row>
    <row r="85" spans="2:50" x14ac:dyDescent="0.25">
      <c r="B85" s="2"/>
      <c r="C85" s="25" t="s">
        <v>166</v>
      </c>
      <c r="D85">
        <v>0.96116878123798499</v>
      </c>
      <c r="E85">
        <v>0.98039215686274495</v>
      </c>
      <c r="F85">
        <v>0.98715589240000001</v>
      </c>
      <c r="G85">
        <v>0.98997305430000004</v>
      </c>
      <c r="H85">
        <v>0.99954962030000005</v>
      </c>
      <c r="I85">
        <v>1.009407875</v>
      </c>
      <c r="J85">
        <v>1.0168192949999999</v>
      </c>
      <c r="K85">
        <v>1.020895809</v>
      </c>
      <c r="L85">
        <v>1.0266590280000001</v>
      </c>
      <c r="M85">
        <v>1.0357765729999999</v>
      </c>
      <c r="N85">
        <v>1.046617527</v>
      </c>
      <c r="O85">
        <v>1.061177933</v>
      </c>
      <c r="P85">
        <v>1.071518553</v>
      </c>
      <c r="Q85">
        <v>1.0829610409999999</v>
      </c>
      <c r="R85">
        <v>1.0992964679999999</v>
      </c>
      <c r="S85">
        <v>1.1184686749999999</v>
      </c>
      <c r="T85">
        <v>1.141003472</v>
      </c>
      <c r="U85">
        <v>1.1638848959999999</v>
      </c>
      <c r="V85">
        <v>1.187309524</v>
      </c>
      <c r="W85">
        <v>1.211297002</v>
      </c>
      <c r="X85">
        <v>1.2357171549999999</v>
      </c>
      <c r="Y85">
        <v>1.2604903940000001</v>
      </c>
      <c r="Z85">
        <v>1.2856918660000001</v>
      </c>
      <c r="AA85">
        <v>1.3112988290000001</v>
      </c>
      <c r="AB85">
        <v>1.3372977960000001</v>
      </c>
      <c r="AC85">
        <v>1.3636944719999999</v>
      </c>
      <c r="AD85">
        <v>1.3905236400000001</v>
      </c>
      <c r="AE85">
        <v>1.4178158590000001</v>
      </c>
      <c r="AF85">
        <v>1.445693034</v>
      </c>
      <c r="AG85">
        <v>1.4741753479999999</v>
      </c>
      <c r="AH85">
        <v>1.5033382159999999</v>
      </c>
      <c r="AI85">
        <v>1.5332180790000001</v>
      </c>
      <c r="AJ85">
        <v>1.563761763</v>
      </c>
      <c r="AK85">
        <v>1.5949871040000001</v>
      </c>
      <c r="AL85">
        <v>1.6268505959999999</v>
      </c>
      <c r="AM85">
        <v>1.6593476540000001</v>
      </c>
      <c r="AN85">
        <v>1.692485496</v>
      </c>
      <c r="AO85">
        <v>1.7261906869999999</v>
      </c>
      <c r="AP85">
        <v>1.760483027</v>
      </c>
      <c r="AQ85">
        <v>1.795380336</v>
      </c>
      <c r="AR85">
        <v>1.8309004950000001</v>
      </c>
      <c r="AS85">
        <v>1.867065856</v>
      </c>
      <c r="AT85">
        <v>1.9039011400000001</v>
      </c>
      <c r="AU85">
        <v>1.941431444</v>
      </c>
      <c r="AV85">
        <v>1.9796889769999999</v>
      </c>
      <c r="AW85">
        <v>2.0186748799999998</v>
      </c>
      <c r="AX85">
        <v>2.05856504</v>
      </c>
    </row>
    <row r="86" spans="2:50" x14ac:dyDescent="0.25">
      <c r="B86" s="2"/>
      <c r="C86" s="25" t="s">
        <v>167</v>
      </c>
      <c r="D86">
        <v>82435.687031980502</v>
      </c>
      <c r="E86">
        <v>83759.218651857402</v>
      </c>
      <c r="F86">
        <v>85104</v>
      </c>
      <c r="G86">
        <v>87702.8505</v>
      </c>
      <c r="H86">
        <v>87347.402400000006</v>
      </c>
      <c r="I86">
        <v>81212.651859999998</v>
      </c>
      <c r="J86">
        <v>83689.452229999995</v>
      </c>
      <c r="K86">
        <v>84881.789090000006</v>
      </c>
      <c r="L86">
        <v>84374.317670000004</v>
      </c>
      <c r="M86">
        <v>84545.88751</v>
      </c>
      <c r="N86">
        <v>85552.174750000006</v>
      </c>
      <c r="O86">
        <v>87518.849199999997</v>
      </c>
      <c r="P86">
        <v>88546.005189999996</v>
      </c>
      <c r="Q86">
        <v>91888.629860000001</v>
      </c>
      <c r="R86">
        <v>93942.281839999996</v>
      </c>
      <c r="S86">
        <v>96689.981440000003</v>
      </c>
      <c r="T86">
        <v>98040.456200000001</v>
      </c>
      <c r="U86">
        <v>99373.416209999996</v>
      </c>
      <c r="V86">
        <v>100652.0243</v>
      </c>
      <c r="W86">
        <v>102227.7022</v>
      </c>
      <c r="X86">
        <v>103678.58900000001</v>
      </c>
      <c r="Y86">
        <v>104839.66710000001</v>
      </c>
      <c r="Z86">
        <v>105867.1109</v>
      </c>
      <c r="AA86">
        <v>106887.5031</v>
      </c>
      <c r="AB86">
        <v>107934.53879999999</v>
      </c>
      <c r="AC86">
        <v>108997.962</v>
      </c>
      <c r="AD86">
        <v>110092.2882</v>
      </c>
      <c r="AE86">
        <v>111177.4657</v>
      </c>
      <c r="AF86">
        <v>112316.64049999999</v>
      </c>
      <c r="AG86">
        <v>113509.011</v>
      </c>
      <c r="AH86">
        <v>114770.9654</v>
      </c>
      <c r="AI86">
        <v>116137.2044</v>
      </c>
      <c r="AJ86">
        <v>117605.6871</v>
      </c>
      <c r="AK86">
        <v>119200.2601</v>
      </c>
      <c r="AL86">
        <v>120888.3358</v>
      </c>
      <c r="AM86">
        <v>122656.29090000001</v>
      </c>
      <c r="AN86">
        <v>124483.76850000001</v>
      </c>
      <c r="AO86">
        <v>126372.7196</v>
      </c>
      <c r="AP86">
        <v>128323.4224</v>
      </c>
      <c r="AQ86">
        <v>130299.4103</v>
      </c>
      <c r="AR86">
        <v>132287.31479999999</v>
      </c>
      <c r="AS86">
        <v>134274.50159999999</v>
      </c>
      <c r="AT86">
        <v>136265.47229999999</v>
      </c>
      <c r="AU86">
        <v>138263.6894</v>
      </c>
      <c r="AV86">
        <v>140278.88149999999</v>
      </c>
      <c r="AW86">
        <v>142310.6531</v>
      </c>
      <c r="AX86">
        <v>144363.4264</v>
      </c>
    </row>
    <row r="87" spans="2:50" x14ac:dyDescent="0.25">
      <c r="B87" s="2"/>
      <c r="C87" s="25" t="s">
        <v>168</v>
      </c>
      <c r="D87">
        <v>0.96116878123798499</v>
      </c>
      <c r="E87">
        <v>0.98039215686274495</v>
      </c>
      <c r="F87">
        <v>0.97820824780000004</v>
      </c>
      <c r="G87">
        <v>0.98496723180000001</v>
      </c>
      <c r="H87">
        <v>0.99826355690000002</v>
      </c>
      <c r="I87">
        <v>0.99968759309999999</v>
      </c>
      <c r="J87">
        <v>0.99995771320000004</v>
      </c>
      <c r="K87">
        <v>0.99685740550000002</v>
      </c>
      <c r="L87">
        <v>0.9921762073</v>
      </c>
      <c r="M87">
        <v>0.99125017780000002</v>
      </c>
      <c r="N87">
        <v>0.99556701459999997</v>
      </c>
      <c r="O87">
        <v>1.004073148</v>
      </c>
      <c r="P87">
        <v>1.0108111129999999</v>
      </c>
      <c r="Q87">
        <v>1.021306815</v>
      </c>
      <c r="R87">
        <v>1.0377082790000001</v>
      </c>
      <c r="S87">
        <v>1.0617254279999999</v>
      </c>
      <c r="T87">
        <v>1.083178068</v>
      </c>
      <c r="U87">
        <v>1.1050454670000001</v>
      </c>
      <c r="V87">
        <v>1.127335679</v>
      </c>
      <c r="W87">
        <v>1.150068012</v>
      </c>
      <c r="X87">
        <v>1.1732575620000001</v>
      </c>
      <c r="Y87">
        <v>1.196888822</v>
      </c>
      <c r="Z87">
        <v>1.2209780960000001</v>
      </c>
      <c r="AA87">
        <v>1.2455055150000001</v>
      </c>
      <c r="AB87">
        <v>1.2704248899999999</v>
      </c>
      <c r="AC87">
        <v>1.295734691</v>
      </c>
      <c r="AD87">
        <v>1.3214492040000001</v>
      </c>
      <c r="AE87">
        <v>1.3475920130000001</v>
      </c>
      <c r="AF87">
        <v>1.374192984</v>
      </c>
      <c r="AG87">
        <v>1.4012930809999999</v>
      </c>
      <c r="AH87">
        <v>1.428944403</v>
      </c>
      <c r="AI87">
        <v>1.4571697320000001</v>
      </c>
      <c r="AJ87">
        <v>1.4859996049999999</v>
      </c>
      <c r="AK87">
        <v>1.515458838</v>
      </c>
      <c r="AL87">
        <v>1.545536161</v>
      </c>
      <c r="AM87">
        <v>1.5762338220000001</v>
      </c>
      <c r="AN87">
        <v>1.607561432</v>
      </c>
      <c r="AO87">
        <v>1.6395122090000001</v>
      </c>
      <c r="AP87">
        <v>1.6720769660000001</v>
      </c>
      <c r="AQ87">
        <v>1.705255325</v>
      </c>
      <c r="AR87">
        <v>1.7390509670000001</v>
      </c>
      <c r="AS87">
        <v>1.7734719640000001</v>
      </c>
      <c r="AT87">
        <v>1.808529928</v>
      </c>
      <c r="AU87">
        <v>1.8442368950000001</v>
      </c>
      <c r="AV87">
        <v>1.8806092729999999</v>
      </c>
      <c r="AW87">
        <v>1.9176609339999999</v>
      </c>
      <c r="AX87">
        <v>1.9554352399999999</v>
      </c>
    </row>
    <row r="88" spans="2:50" x14ac:dyDescent="0.25">
      <c r="B88" s="2"/>
      <c r="C88" s="25" t="s">
        <v>169</v>
      </c>
      <c r="D88">
        <v>7392.7096661505402</v>
      </c>
      <c r="E88">
        <v>7511.4020110802803</v>
      </c>
      <c r="F88">
        <v>7627.9475000000002</v>
      </c>
      <c r="G88">
        <v>7747.4082740000003</v>
      </c>
      <c r="H88">
        <v>7794.4038270000001</v>
      </c>
      <c r="I88">
        <v>7892.220421</v>
      </c>
      <c r="J88">
        <v>7985.1838600000001</v>
      </c>
      <c r="K88">
        <v>8098.6283439999997</v>
      </c>
      <c r="L88">
        <v>8230.1033939999998</v>
      </c>
      <c r="M88">
        <v>8357.3119229999902</v>
      </c>
      <c r="N88">
        <v>8433.5992970000007</v>
      </c>
      <c r="O88">
        <v>8524.0346379999901</v>
      </c>
      <c r="P88">
        <v>8629.0380359999999</v>
      </c>
      <c r="Q88">
        <v>8763.1096799999996</v>
      </c>
      <c r="R88">
        <v>8866.1803510000009</v>
      </c>
      <c r="S88">
        <v>8967.4405050000005</v>
      </c>
      <c r="T88">
        <v>9090.9174270000003</v>
      </c>
      <c r="U88">
        <v>9214.0421559999995</v>
      </c>
      <c r="V88">
        <v>9332.4876920000006</v>
      </c>
      <c r="W88">
        <v>9478.5167380000003</v>
      </c>
      <c r="X88">
        <v>9612.3213489999998</v>
      </c>
      <c r="Y88">
        <v>9719.0074490000006</v>
      </c>
      <c r="Z88">
        <v>9813.03223599999</v>
      </c>
      <c r="AA88">
        <v>9906.1033989999996</v>
      </c>
      <c r="AB88">
        <v>10001.312620000001</v>
      </c>
      <c r="AC88">
        <v>10097.67455</v>
      </c>
      <c r="AD88">
        <v>10196.49555</v>
      </c>
      <c r="AE88">
        <v>10297.30776</v>
      </c>
      <c r="AF88">
        <v>10403.126120000001</v>
      </c>
      <c r="AG88">
        <v>10513.87681</v>
      </c>
      <c r="AH88">
        <v>10631.078229999999</v>
      </c>
      <c r="AI88">
        <v>10757.94529</v>
      </c>
      <c r="AJ88">
        <v>10894.28974</v>
      </c>
      <c r="AK88">
        <v>11042.32144</v>
      </c>
      <c r="AL88">
        <v>11199.02245</v>
      </c>
      <c r="AM88">
        <v>11363.13141</v>
      </c>
      <c r="AN88">
        <v>11532.762909999999</v>
      </c>
      <c r="AO88">
        <v>11708.09816</v>
      </c>
      <c r="AP88">
        <v>11889.163339999999</v>
      </c>
      <c r="AQ88">
        <v>12072.580169999999</v>
      </c>
      <c r="AR88">
        <v>12257.110129999999</v>
      </c>
      <c r="AS88">
        <v>12441.5826</v>
      </c>
      <c r="AT88">
        <v>12626.41462</v>
      </c>
      <c r="AU88">
        <v>12811.927019999999</v>
      </c>
      <c r="AV88">
        <v>12999.02131</v>
      </c>
      <c r="AW88">
        <v>13187.660900000001</v>
      </c>
      <c r="AX88">
        <v>13378.25568</v>
      </c>
    </row>
    <row r="89" spans="2:50" x14ac:dyDescent="0.25">
      <c r="B89" s="2"/>
      <c r="C89" s="25" t="s">
        <v>170</v>
      </c>
      <c r="D89">
        <v>0.96116878123798499</v>
      </c>
      <c r="E89">
        <v>0.98039215686274495</v>
      </c>
      <c r="F89">
        <v>0.99126324099999996</v>
      </c>
      <c r="G89">
        <v>0.99095385329999996</v>
      </c>
      <c r="H89">
        <v>0.99273778499999998</v>
      </c>
      <c r="I89">
        <v>1.004719991</v>
      </c>
      <c r="J89">
        <v>1.022615375</v>
      </c>
      <c r="K89">
        <v>1.035848364</v>
      </c>
      <c r="L89">
        <v>1.046621829</v>
      </c>
      <c r="M89">
        <v>1.0573679549999999</v>
      </c>
      <c r="N89">
        <v>1.0755292949999999</v>
      </c>
      <c r="O89">
        <v>1.105994363</v>
      </c>
      <c r="P89">
        <v>1.126706751</v>
      </c>
      <c r="Q89">
        <v>1.139826432</v>
      </c>
      <c r="R89">
        <v>1.1500562620000001</v>
      </c>
      <c r="S89">
        <v>1.159953102</v>
      </c>
      <c r="T89">
        <v>1.183317827</v>
      </c>
      <c r="U89">
        <v>1.207110594</v>
      </c>
      <c r="V89">
        <v>1.231469033</v>
      </c>
      <c r="W89">
        <v>1.2563099769999999</v>
      </c>
      <c r="X89">
        <v>1.2815424719999999</v>
      </c>
      <c r="Y89">
        <v>1.3072873759999999</v>
      </c>
      <c r="Z89">
        <v>1.3334931160000001</v>
      </c>
      <c r="AA89">
        <v>1.3602163220000001</v>
      </c>
      <c r="AB89">
        <v>1.38742316</v>
      </c>
      <c r="AC89">
        <v>1.415078872</v>
      </c>
      <c r="AD89">
        <v>1.443196148</v>
      </c>
      <c r="AE89">
        <v>1.4719004920000001</v>
      </c>
      <c r="AF89">
        <v>1.5011149580000001</v>
      </c>
      <c r="AG89">
        <v>1.5308476049999999</v>
      </c>
      <c r="AH89">
        <v>1.5611732519999999</v>
      </c>
      <c r="AI89">
        <v>1.592163454</v>
      </c>
      <c r="AJ89">
        <v>1.623773039</v>
      </c>
      <c r="AK89">
        <v>1.6560451389999999</v>
      </c>
      <c r="AL89">
        <v>1.6889907580000001</v>
      </c>
      <c r="AM89">
        <v>1.7226030320000001</v>
      </c>
      <c r="AN89">
        <v>1.756888671</v>
      </c>
      <c r="AO89">
        <v>1.79172452</v>
      </c>
      <c r="AP89">
        <v>1.8272830799999999</v>
      </c>
      <c r="AQ89">
        <v>1.8635638640000001</v>
      </c>
      <c r="AR89">
        <v>1.900535262</v>
      </c>
      <c r="AS89">
        <v>1.9381919409999999</v>
      </c>
      <c r="AT89">
        <v>1.9765575769999999</v>
      </c>
      <c r="AU89">
        <v>2.015653393</v>
      </c>
      <c r="AV89">
        <v>2.0554931789999999</v>
      </c>
      <c r="AW89">
        <v>2.0960857229999998</v>
      </c>
      <c r="AX89">
        <v>2.1377605399999999</v>
      </c>
    </row>
    <row r="90" spans="2:50" x14ac:dyDescent="0.25">
      <c r="B90" s="2"/>
      <c r="C90" s="25" t="s">
        <v>171</v>
      </c>
      <c r="D90">
        <v>58700.943196853899</v>
      </c>
      <c r="E90">
        <v>59643.405827237402</v>
      </c>
      <c r="F90">
        <v>60601</v>
      </c>
      <c r="G90">
        <v>61569.98173</v>
      </c>
      <c r="H90">
        <v>60512.820480000002</v>
      </c>
      <c r="I90">
        <v>62405.892359999998</v>
      </c>
      <c r="J90">
        <v>62046.793799999999</v>
      </c>
      <c r="K90">
        <v>58826.593690000002</v>
      </c>
      <c r="L90">
        <v>60454.486790000003</v>
      </c>
      <c r="M90">
        <v>59410.93404</v>
      </c>
      <c r="N90">
        <v>56766.535320000003</v>
      </c>
      <c r="O90">
        <v>54970.175810000001</v>
      </c>
      <c r="P90">
        <v>55748.46441</v>
      </c>
      <c r="Q90">
        <v>54942.252399999998</v>
      </c>
      <c r="R90">
        <v>56537.157769999998</v>
      </c>
      <c r="S90">
        <v>61577.143539999997</v>
      </c>
      <c r="T90">
        <v>62443.353410000003</v>
      </c>
      <c r="U90">
        <v>63232.599629999997</v>
      </c>
      <c r="V90">
        <v>64025.374369999998</v>
      </c>
      <c r="W90">
        <v>65158.279739999998</v>
      </c>
      <c r="X90">
        <v>66027.897870000001</v>
      </c>
      <c r="Y90">
        <v>66606.947570000004</v>
      </c>
      <c r="Z90">
        <v>67194.448199999999</v>
      </c>
      <c r="AA90">
        <v>67801.895019999996</v>
      </c>
      <c r="AB90">
        <v>68441.319820000004</v>
      </c>
      <c r="AC90">
        <v>69083.892800000001</v>
      </c>
      <c r="AD90">
        <v>69748.870989999996</v>
      </c>
      <c r="AE90">
        <v>70457.651580000005</v>
      </c>
      <c r="AF90">
        <v>71208.302490000002</v>
      </c>
      <c r="AG90">
        <v>72003.833400000003</v>
      </c>
      <c r="AH90">
        <v>72859.624179999999</v>
      </c>
      <c r="AI90">
        <v>73801.186570000005</v>
      </c>
      <c r="AJ90">
        <v>74815.058059999996</v>
      </c>
      <c r="AK90">
        <v>75924.225139999995</v>
      </c>
      <c r="AL90">
        <v>77072.273709999994</v>
      </c>
      <c r="AM90">
        <v>78262.073040000003</v>
      </c>
      <c r="AN90">
        <v>79479.257459999906</v>
      </c>
      <c r="AO90">
        <v>80735.843240000002</v>
      </c>
      <c r="AP90">
        <v>82023.215049999999</v>
      </c>
      <c r="AQ90">
        <v>83306.122640000001</v>
      </c>
      <c r="AR90">
        <v>84583.581649999905</v>
      </c>
      <c r="AS90">
        <v>85853.104049999994</v>
      </c>
      <c r="AT90">
        <v>87123.663310000004</v>
      </c>
      <c r="AU90">
        <v>88402.72064</v>
      </c>
      <c r="AV90">
        <v>89697.514980000007</v>
      </c>
      <c r="AW90">
        <v>91003.142519999994</v>
      </c>
      <c r="AX90">
        <v>92328.459740000006</v>
      </c>
    </row>
    <row r="91" spans="2:50" x14ac:dyDescent="0.25">
      <c r="B91" s="2"/>
      <c r="C91" s="25" t="s">
        <v>172</v>
      </c>
      <c r="D91">
        <v>0.96116878123798499</v>
      </c>
      <c r="E91">
        <v>0.98039215686274495</v>
      </c>
      <c r="F91">
        <v>0.98015895099999994</v>
      </c>
      <c r="G91">
        <v>0.985781931</v>
      </c>
      <c r="H91">
        <v>0.99781248730000005</v>
      </c>
      <c r="I91">
        <v>1.000915016</v>
      </c>
      <c r="J91">
        <v>1.0025584190000001</v>
      </c>
      <c r="K91">
        <v>1.0007129969999999</v>
      </c>
      <c r="L91">
        <v>0.99826620619999995</v>
      </c>
      <c r="M91">
        <v>0.99956909199999999</v>
      </c>
      <c r="N91">
        <v>1.005140074</v>
      </c>
      <c r="O91">
        <v>1.014634158</v>
      </c>
      <c r="P91">
        <v>1.0218053309999999</v>
      </c>
      <c r="Q91">
        <v>1.0324123810000001</v>
      </c>
      <c r="R91">
        <v>1.048461318</v>
      </c>
      <c r="S91">
        <v>1.0711913879999999</v>
      </c>
      <c r="T91">
        <v>1.0928092810000001</v>
      </c>
      <c r="U91">
        <v>1.1148277170000001</v>
      </c>
      <c r="V91">
        <v>1.137297158</v>
      </c>
      <c r="W91">
        <v>1.160234765</v>
      </c>
      <c r="X91">
        <v>1.183623308</v>
      </c>
      <c r="Y91">
        <v>1.2074313409999999</v>
      </c>
      <c r="Z91">
        <v>1.2316760360000001</v>
      </c>
      <c r="AA91">
        <v>1.256347082</v>
      </c>
      <c r="AB91">
        <v>1.2814004779999999</v>
      </c>
      <c r="AC91">
        <v>1.3068368130000001</v>
      </c>
      <c r="AD91">
        <v>1.332678429</v>
      </c>
      <c r="AE91">
        <v>1.358966906</v>
      </c>
      <c r="AF91">
        <v>1.385751658</v>
      </c>
      <c r="AG91">
        <v>1.4130659329999999</v>
      </c>
      <c r="AH91">
        <v>1.440965949</v>
      </c>
      <c r="AI91">
        <v>1.4694806389999999</v>
      </c>
      <c r="AJ91">
        <v>1.4986130550000001</v>
      </c>
      <c r="AK91">
        <v>1.5283877340000001</v>
      </c>
      <c r="AL91">
        <v>1.5587836669999999</v>
      </c>
      <c r="AM91">
        <v>1.58979778</v>
      </c>
      <c r="AN91">
        <v>1.6214393629999999</v>
      </c>
      <c r="AO91">
        <v>1.653686448</v>
      </c>
      <c r="AP91">
        <v>1.686532122</v>
      </c>
      <c r="AQ91">
        <v>1.7199825820000001</v>
      </c>
      <c r="AR91">
        <v>1.75404698</v>
      </c>
      <c r="AS91">
        <v>1.788737877</v>
      </c>
      <c r="AT91">
        <v>1.824070233</v>
      </c>
      <c r="AU91">
        <v>1.860059157</v>
      </c>
      <c r="AV91">
        <v>1.896725269</v>
      </c>
      <c r="AW91">
        <v>1.934080647</v>
      </c>
      <c r="AX91">
        <v>1.9721979199999999</v>
      </c>
    </row>
    <row r="92" spans="2:50" x14ac:dyDescent="0.25">
      <c r="B92" s="2"/>
      <c r="C92" s="25" t="s">
        <v>173</v>
      </c>
      <c r="D92">
        <v>432309.81422064803</v>
      </c>
      <c r="E92">
        <v>439250.68812253198</v>
      </c>
      <c r="F92">
        <v>446302.99939999997</v>
      </c>
      <c r="G92">
        <v>454327.62469999999</v>
      </c>
      <c r="H92">
        <v>461568.8763</v>
      </c>
      <c r="I92">
        <v>472025.23910000001</v>
      </c>
      <c r="J92">
        <v>479410.90340000001</v>
      </c>
      <c r="K92">
        <v>484429.54639999999</v>
      </c>
      <c r="L92">
        <v>493272.29950000002</v>
      </c>
      <c r="M92">
        <v>501790.3469</v>
      </c>
      <c r="N92">
        <v>508319.33880000003</v>
      </c>
      <c r="O92">
        <v>514184.99219999998</v>
      </c>
      <c r="P92">
        <v>521629.54950000002</v>
      </c>
      <c r="Q92">
        <v>528221.47609999997</v>
      </c>
      <c r="R92">
        <v>531053.25749999995</v>
      </c>
      <c r="S92">
        <v>537401.37399999995</v>
      </c>
      <c r="T92">
        <v>545029.05630000005</v>
      </c>
      <c r="U92">
        <v>552358.74120000005</v>
      </c>
      <c r="V92">
        <v>559529.2794</v>
      </c>
      <c r="W92">
        <v>568077.74100000004</v>
      </c>
      <c r="X92">
        <v>576165.80390000006</v>
      </c>
      <c r="Y92">
        <v>582732.58470000001</v>
      </c>
      <c r="Z92">
        <v>588669.0159</v>
      </c>
      <c r="AA92">
        <v>594396.20680000004</v>
      </c>
      <c r="AB92">
        <v>600158.3345</v>
      </c>
      <c r="AC92">
        <v>605945.13300000003</v>
      </c>
      <c r="AD92">
        <v>611829.71329999994</v>
      </c>
      <c r="AE92">
        <v>617927.26879999996</v>
      </c>
      <c r="AF92">
        <v>624242.16890000005</v>
      </c>
      <c r="AG92">
        <v>630840.3946</v>
      </c>
      <c r="AH92">
        <v>637834.7524</v>
      </c>
      <c r="AI92">
        <v>645344.09290000005</v>
      </c>
      <c r="AJ92">
        <v>653471.70920000004</v>
      </c>
      <c r="AK92">
        <v>662326.3602</v>
      </c>
      <c r="AL92">
        <v>671717.36170000001</v>
      </c>
      <c r="AM92">
        <v>681562.82369999995</v>
      </c>
      <c r="AN92">
        <v>691755.49199999997</v>
      </c>
      <c r="AO92">
        <v>702308.47629999998</v>
      </c>
      <c r="AP92">
        <v>713197.44140000001</v>
      </c>
      <c r="AQ92">
        <v>724250.52069999999</v>
      </c>
      <c r="AR92">
        <v>735370.03390000004</v>
      </c>
      <c r="AS92">
        <v>746492.04460000002</v>
      </c>
      <c r="AT92">
        <v>757618.89359999995</v>
      </c>
      <c r="AU92">
        <v>768784.76639999996</v>
      </c>
      <c r="AV92">
        <v>780037.12329999998</v>
      </c>
      <c r="AW92">
        <v>791375.82570000004</v>
      </c>
      <c r="AX92">
        <v>802806.56669999997</v>
      </c>
    </row>
    <row r="93" spans="2:50" x14ac:dyDescent="0.25">
      <c r="B93" s="2"/>
      <c r="C93" s="25" t="s">
        <v>174</v>
      </c>
      <c r="D93">
        <v>0.96116878123798499</v>
      </c>
      <c r="E93">
        <v>0.98039215686274495</v>
      </c>
      <c r="F93">
        <v>0.97820824780000004</v>
      </c>
      <c r="G93">
        <v>0.98496723180000001</v>
      </c>
      <c r="H93">
        <v>0.99826355690000002</v>
      </c>
      <c r="I93">
        <v>0.99968759309999999</v>
      </c>
      <c r="J93">
        <v>0.99995771320000004</v>
      </c>
      <c r="K93">
        <v>0.99685740550000002</v>
      </c>
      <c r="L93">
        <v>0.9921762073</v>
      </c>
      <c r="M93">
        <v>0.99125017780000002</v>
      </c>
      <c r="N93">
        <v>0.99556701459999997</v>
      </c>
      <c r="O93">
        <v>1.004073148</v>
      </c>
      <c r="P93">
        <v>1.0108111129999999</v>
      </c>
      <c r="Q93">
        <v>1.021306815</v>
      </c>
      <c r="R93">
        <v>1.0377082790000001</v>
      </c>
      <c r="S93">
        <v>1.0617254279999999</v>
      </c>
      <c r="T93">
        <v>1.083178068</v>
      </c>
      <c r="U93">
        <v>1.1050454670000001</v>
      </c>
      <c r="V93">
        <v>1.127335679</v>
      </c>
      <c r="W93">
        <v>1.150068012</v>
      </c>
      <c r="X93">
        <v>1.1732575620000001</v>
      </c>
      <c r="Y93">
        <v>1.196888822</v>
      </c>
      <c r="Z93">
        <v>1.2209780960000001</v>
      </c>
      <c r="AA93">
        <v>1.2455055150000001</v>
      </c>
      <c r="AB93">
        <v>1.2704248899999999</v>
      </c>
      <c r="AC93">
        <v>1.295734691</v>
      </c>
      <c r="AD93">
        <v>1.3214492040000001</v>
      </c>
      <c r="AE93">
        <v>1.3475920130000001</v>
      </c>
      <c r="AF93">
        <v>1.374192984</v>
      </c>
      <c r="AG93">
        <v>1.4012930809999999</v>
      </c>
      <c r="AH93">
        <v>1.428944403</v>
      </c>
      <c r="AI93">
        <v>1.4571697320000001</v>
      </c>
      <c r="AJ93">
        <v>1.4859996049999999</v>
      </c>
      <c r="AK93">
        <v>1.515458838</v>
      </c>
      <c r="AL93">
        <v>1.545536161</v>
      </c>
      <c r="AM93">
        <v>1.5762338220000001</v>
      </c>
      <c r="AN93">
        <v>1.607561432</v>
      </c>
      <c r="AO93">
        <v>1.6395122090000001</v>
      </c>
      <c r="AP93">
        <v>1.6720769660000001</v>
      </c>
      <c r="AQ93">
        <v>1.705255325</v>
      </c>
      <c r="AR93">
        <v>1.7390509670000001</v>
      </c>
      <c r="AS93">
        <v>1.7734719640000001</v>
      </c>
      <c r="AT93">
        <v>1.808529928</v>
      </c>
      <c r="AU93">
        <v>1.8442368950000001</v>
      </c>
      <c r="AV93">
        <v>1.8806092729999999</v>
      </c>
      <c r="AW93">
        <v>1.9176609339999999</v>
      </c>
      <c r="AX93">
        <v>1.9554352399999999</v>
      </c>
    </row>
    <row r="94" spans="2:50" x14ac:dyDescent="0.25">
      <c r="B94" s="2"/>
      <c r="C94" s="25" t="s">
        <v>175</v>
      </c>
      <c r="D94">
        <v>320343.00302829902</v>
      </c>
      <c r="E94">
        <v>325486.21355979802</v>
      </c>
      <c r="F94">
        <v>330712</v>
      </c>
      <c r="G94">
        <v>335468.30839999998</v>
      </c>
      <c r="H94">
        <v>337987.03269999998</v>
      </c>
      <c r="I94">
        <v>345276.8518</v>
      </c>
      <c r="J94">
        <v>348299.16149999999</v>
      </c>
      <c r="K94">
        <v>351467.7218</v>
      </c>
      <c r="L94">
        <v>356821.99829999998</v>
      </c>
      <c r="M94">
        <v>360955.39929999999</v>
      </c>
      <c r="N94">
        <v>364086.23330000002</v>
      </c>
      <c r="O94">
        <v>366903.66200000001</v>
      </c>
      <c r="P94">
        <v>370990.73009999999</v>
      </c>
      <c r="Q94">
        <v>375330.04070000001</v>
      </c>
      <c r="R94">
        <v>378271.10769999999</v>
      </c>
      <c r="S94">
        <v>382084.7268</v>
      </c>
      <c r="T94">
        <v>387507.9008</v>
      </c>
      <c r="U94">
        <v>392719.20280000003</v>
      </c>
      <c r="V94">
        <v>397817.35369999998</v>
      </c>
      <c r="W94">
        <v>403895.1888</v>
      </c>
      <c r="X94">
        <v>409645.68689999997</v>
      </c>
      <c r="Y94">
        <v>414314.57490000001</v>
      </c>
      <c r="Z94">
        <v>418535.29310000001</v>
      </c>
      <c r="AA94">
        <v>422607.24459999998</v>
      </c>
      <c r="AB94">
        <v>426704.03570000001</v>
      </c>
      <c r="AC94">
        <v>430818.36729999998</v>
      </c>
      <c r="AD94">
        <v>435002.22029999999</v>
      </c>
      <c r="AE94">
        <v>439337.49579999998</v>
      </c>
      <c r="AF94">
        <v>443827.30009999999</v>
      </c>
      <c r="AG94">
        <v>448518.54499999998</v>
      </c>
      <c r="AH94">
        <v>453491.43420000002</v>
      </c>
      <c r="AI94">
        <v>458830.46879999997</v>
      </c>
      <c r="AJ94">
        <v>464609.08880000003</v>
      </c>
      <c r="AK94">
        <v>470904.6201</v>
      </c>
      <c r="AL94">
        <v>477581.48910000001</v>
      </c>
      <c r="AM94">
        <v>484581.4731</v>
      </c>
      <c r="AN94">
        <v>491828.31589999999</v>
      </c>
      <c r="AO94">
        <v>499331.3383</v>
      </c>
      <c r="AP94">
        <v>507073.23830000003</v>
      </c>
      <c r="AQ94">
        <v>514931.82120000001</v>
      </c>
      <c r="AR94">
        <v>522837.63760000002</v>
      </c>
      <c r="AS94">
        <v>530745.22970000003</v>
      </c>
      <c r="AT94">
        <v>538656.26179999998</v>
      </c>
      <c r="AU94">
        <v>546595.03929999995</v>
      </c>
      <c r="AV94">
        <v>554595.30570000003</v>
      </c>
      <c r="AW94">
        <v>562656.96250000002</v>
      </c>
      <c r="AX94">
        <v>570784.0575</v>
      </c>
    </row>
    <row r="95" spans="2:50" x14ac:dyDescent="0.25">
      <c r="B95" s="2"/>
      <c r="C95" s="25" t="s">
        <v>176</v>
      </c>
      <c r="D95">
        <v>0.96116878123798499</v>
      </c>
      <c r="E95">
        <v>0.98039215686274495</v>
      </c>
      <c r="F95">
        <v>1</v>
      </c>
      <c r="G95">
        <v>1.02</v>
      </c>
      <c r="H95">
        <v>1.0404</v>
      </c>
      <c r="I95">
        <v>1.0612079999999999</v>
      </c>
      <c r="J95">
        <v>1.08243216</v>
      </c>
      <c r="K95">
        <v>1.104080803</v>
      </c>
      <c r="L95">
        <v>1.1261624189999999</v>
      </c>
      <c r="M95">
        <v>1.1486856679999999</v>
      </c>
      <c r="N95">
        <v>1.171659381</v>
      </c>
      <c r="O95">
        <v>1.195092569</v>
      </c>
      <c r="P95">
        <v>1.21899442</v>
      </c>
      <c r="Q95">
        <v>1.2433743079999999</v>
      </c>
      <c r="R95">
        <v>1.268241795</v>
      </c>
      <c r="S95">
        <v>1.29360663</v>
      </c>
      <c r="T95">
        <v>1.319478763</v>
      </c>
      <c r="U95">
        <v>1.3458683380000001</v>
      </c>
      <c r="V95">
        <v>1.3727857050000001</v>
      </c>
      <c r="W95">
        <v>1.4002414190000001</v>
      </c>
      <c r="X95">
        <v>1.428246248</v>
      </c>
      <c r="Y95">
        <v>1.456811173</v>
      </c>
      <c r="Z95">
        <v>1.485947396</v>
      </c>
      <c r="AA95">
        <v>1.515666344</v>
      </c>
      <c r="AB95">
        <v>1.545979671</v>
      </c>
      <c r="AC95">
        <v>1.5768992639999999</v>
      </c>
      <c r="AD95">
        <v>1.6084372490000001</v>
      </c>
      <c r="AE95">
        <v>1.640605994</v>
      </c>
      <c r="AF95">
        <v>1.673418114</v>
      </c>
      <c r="AG95">
        <v>1.7068864770000001</v>
      </c>
      <c r="AH95">
        <v>1.7410242060000001</v>
      </c>
      <c r="AI95">
        <v>1.77584469</v>
      </c>
      <c r="AJ95">
        <v>1.8113615839999999</v>
      </c>
      <c r="AK95">
        <v>1.847588816</v>
      </c>
      <c r="AL95">
        <v>1.884540592</v>
      </c>
      <c r="AM95">
        <v>1.9222314039999999</v>
      </c>
      <c r="AN95">
        <v>1.9606760320000001</v>
      </c>
      <c r="AO95">
        <v>1.999889553</v>
      </c>
      <c r="AP95">
        <v>2.0398873439999998</v>
      </c>
      <c r="AQ95">
        <v>2.0806850909999999</v>
      </c>
      <c r="AR95">
        <v>2.122298792</v>
      </c>
      <c r="AS95">
        <v>2.1647447679999998</v>
      </c>
      <c r="AT95">
        <v>2.2080396640000002</v>
      </c>
      <c r="AU95">
        <v>2.2522004569999998</v>
      </c>
      <c r="AV95">
        <v>2.297244466</v>
      </c>
      <c r="AW95">
        <v>2.3431893549999998</v>
      </c>
      <c r="AX95">
        <v>2.3900531420000002</v>
      </c>
    </row>
    <row r="96" spans="2:50" x14ac:dyDescent="0.25">
      <c r="B96" s="2"/>
      <c r="C96" s="25" t="s">
        <v>177</v>
      </c>
      <c r="D96">
        <v>-11606.321700709599</v>
      </c>
      <c r="E96">
        <v>-11792.6649497856</v>
      </c>
      <c r="F96">
        <v>-11973.902969999999</v>
      </c>
      <c r="G96">
        <v>-12315.81597</v>
      </c>
      <c r="H96">
        <v>-12146.3928</v>
      </c>
      <c r="I96">
        <v>-11569.73668</v>
      </c>
      <c r="J96">
        <v>-11978.69843</v>
      </c>
      <c r="K96">
        <v>-12026.62715</v>
      </c>
      <c r="L96">
        <v>-12027.167810000001</v>
      </c>
      <c r="M96">
        <v>-11959.944390000001</v>
      </c>
      <c r="N96">
        <v>-12145.391079999999</v>
      </c>
      <c r="O96">
        <v>-12164.89235</v>
      </c>
      <c r="P96">
        <v>-12138.466259999999</v>
      </c>
      <c r="Q96">
        <v>-12531.68931</v>
      </c>
      <c r="R96">
        <v>-12554.7814</v>
      </c>
      <c r="S96">
        <v>-12782.98394</v>
      </c>
      <c r="T96">
        <v>-12824.85816</v>
      </c>
      <c r="U96">
        <v>-12880.72091</v>
      </c>
      <c r="V96">
        <v>-12976.029560000001</v>
      </c>
      <c r="W96">
        <v>-13138.772279999999</v>
      </c>
      <c r="X96">
        <v>-13308.856470000001</v>
      </c>
      <c r="Y96">
        <v>-13447.673269999999</v>
      </c>
      <c r="Z96">
        <v>-13559.856</v>
      </c>
      <c r="AA96">
        <v>-13670.37702</v>
      </c>
      <c r="AB96">
        <v>-13790.276980000001</v>
      </c>
      <c r="AC96">
        <v>-13910.188819999999</v>
      </c>
      <c r="AD96">
        <v>-14034.452600000001</v>
      </c>
      <c r="AE96">
        <v>-14131.38609</v>
      </c>
      <c r="AF96">
        <v>-14222.488429999999</v>
      </c>
      <c r="AG96">
        <v>-14325.5054</v>
      </c>
      <c r="AH96">
        <v>-14436.08648</v>
      </c>
      <c r="AI96">
        <v>-14545.76116</v>
      </c>
      <c r="AJ96">
        <v>-14684.612929999999</v>
      </c>
      <c r="AK96">
        <v>-14827.78868</v>
      </c>
      <c r="AL96">
        <v>-14975.690549999999</v>
      </c>
      <c r="AM96">
        <v>-15128.89006</v>
      </c>
      <c r="AN96">
        <v>-15284.44533</v>
      </c>
      <c r="AO96">
        <v>-15441.02398</v>
      </c>
      <c r="AP96">
        <v>-15603.92988</v>
      </c>
      <c r="AQ96">
        <v>-15767.300450000001</v>
      </c>
      <c r="AR96">
        <v>-15931.97273</v>
      </c>
      <c r="AS96">
        <v>-16095.71358</v>
      </c>
      <c r="AT96">
        <v>-16264.681759999999</v>
      </c>
      <c r="AU96">
        <v>-16435.051759999998</v>
      </c>
      <c r="AV96">
        <v>-16607.695810000001</v>
      </c>
      <c r="AW96">
        <v>-16781.37977</v>
      </c>
      <c r="AX96">
        <v>-16960.4591</v>
      </c>
    </row>
    <row r="97" spans="2:50" x14ac:dyDescent="0.25">
      <c r="B97" s="2"/>
      <c r="C97" s="25" t="s">
        <v>178</v>
      </c>
      <c r="D97">
        <v>0.96116878123798499</v>
      </c>
      <c r="E97">
        <v>0.98039215686274495</v>
      </c>
      <c r="F97">
        <v>1</v>
      </c>
      <c r="G97">
        <v>1.02</v>
      </c>
      <c r="H97">
        <v>1.0404</v>
      </c>
      <c r="I97">
        <v>1.0612079999999999</v>
      </c>
      <c r="J97">
        <v>1.08243216</v>
      </c>
      <c r="K97">
        <v>1.104080803</v>
      </c>
      <c r="L97">
        <v>1.1261624189999999</v>
      </c>
      <c r="M97">
        <v>1.1486856679999999</v>
      </c>
      <c r="N97">
        <v>1.171659381</v>
      </c>
      <c r="O97">
        <v>1.195092569</v>
      </c>
      <c r="P97">
        <v>1.21899442</v>
      </c>
      <c r="Q97">
        <v>1.2433743079999999</v>
      </c>
      <c r="R97">
        <v>1.268241795</v>
      </c>
      <c r="S97">
        <v>1.29360663</v>
      </c>
      <c r="T97">
        <v>1.319478763</v>
      </c>
      <c r="U97">
        <v>1.3458683380000001</v>
      </c>
      <c r="V97">
        <v>1.3727857050000001</v>
      </c>
      <c r="W97">
        <v>1.4002414190000001</v>
      </c>
      <c r="X97">
        <v>1.428246248</v>
      </c>
      <c r="Y97">
        <v>1.456811173</v>
      </c>
      <c r="Z97">
        <v>1.485947396</v>
      </c>
      <c r="AA97">
        <v>1.515666344</v>
      </c>
      <c r="AB97">
        <v>1.545979671</v>
      </c>
      <c r="AC97">
        <v>1.5768992639999999</v>
      </c>
      <c r="AD97">
        <v>1.6084372490000001</v>
      </c>
      <c r="AE97">
        <v>1.640605994</v>
      </c>
      <c r="AF97">
        <v>1.673418114</v>
      </c>
      <c r="AG97">
        <v>1.7068864770000001</v>
      </c>
      <c r="AH97">
        <v>1.7410242060000001</v>
      </c>
      <c r="AI97">
        <v>1.77584469</v>
      </c>
      <c r="AJ97">
        <v>1.8113615839999999</v>
      </c>
      <c r="AK97">
        <v>1.847588816</v>
      </c>
      <c r="AL97">
        <v>1.884540592</v>
      </c>
      <c r="AM97">
        <v>1.9222314039999999</v>
      </c>
      <c r="AN97">
        <v>1.9606760320000001</v>
      </c>
      <c r="AO97">
        <v>1.999889553</v>
      </c>
      <c r="AP97">
        <v>2.0398873439999998</v>
      </c>
      <c r="AQ97">
        <v>2.0806850909999999</v>
      </c>
      <c r="AR97">
        <v>2.122298792</v>
      </c>
      <c r="AS97">
        <v>2.1647447679999998</v>
      </c>
      <c r="AT97">
        <v>2.2080396640000002</v>
      </c>
      <c r="AU97">
        <v>2.2522004569999998</v>
      </c>
      <c r="AV97">
        <v>2.297244466</v>
      </c>
      <c r="AW97">
        <v>2.3431893549999998</v>
      </c>
      <c r="AX97">
        <v>2.3900531420000002</v>
      </c>
    </row>
    <row r="98" spans="2:50" x14ac:dyDescent="0.25">
      <c r="B98" s="2"/>
      <c r="C98" s="25" t="s">
        <v>179</v>
      </c>
      <c r="D98">
        <v>-2830.3849114900199</v>
      </c>
      <c r="E98">
        <v>-2875.8276567579301</v>
      </c>
      <c r="F98">
        <v>-2921.8353729999999</v>
      </c>
      <c r="G98">
        <v>-2987.8023309999999</v>
      </c>
      <c r="H98">
        <v>-2938.6027450000001</v>
      </c>
      <c r="I98">
        <v>-2913.7828509999999</v>
      </c>
      <c r="J98">
        <v>-3046.4926009999999</v>
      </c>
      <c r="K98">
        <v>-3006.9382380000002</v>
      </c>
      <c r="L98">
        <v>-3024.0578369999998</v>
      </c>
      <c r="M98">
        <v>-2923.3762419999998</v>
      </c>
      <c r="N98">
        <v>-3049.6082630000001</v>
      </c>
      <c r="O98">
        <v>-3035.842478</v>
      </c>
      <c r="P98">
        <v>-2959.1675869999999</v>
      </c>
      <c r="Q98">
        <v>-3013.1431870000001</v>
      </c>
      <c r="R98">
        <v>-2976.8723340000001</v>
      </c>
      <c r="S98">
        <v>-2994.037433</v>
      </c>
      <c r="T98">
        <v>-3032.1792919999998</v>
      </c>
      <c r="U98">
        <v>-3072.9697740000001</v>
      </c>
      <c r="V98">
        <v>-3110.531524</v>
      </c>
      <c r="W98">
        <v>-3166.8789320000001</v>
      </c>
      <c r="X98">
        <v>-3213.8937449999999</v>
      </c>
      <c r="Y98">
        <v>-3247.4003560000001</v>
      </c>
      <c r="Z98">
        <v>-3273.249476</v>
      </c>
      <c r="AA98">
        <v>-3303.3370380000001</v>
      </c>
      <c r="AB98">
        <v>-3338.005146</v>
      </c>
      <c r="AC98">
        <v>-3374.5185499999998</v>
      </c>
      <c r="AD98">
        <v>-3413.1385909999999</v>
      </c>
      <c r="AE98">
        <v>-3446.8735019999999</v>
      </c>
      <c r="AF98">
        <v>-3485.0540569999998</v>
      </c>
      <c r="AG98">
        <v>-3524.372308</v>
      </c>
      <c r="AH98">
        <v>-3565.078505</v>
      </c>
      <c r="AI98">
        <v>-3611.547802</v>
      </c>
      <c r="AJ98">
        <v>-3658.2034819999999</v>
      </c>
      <c r="AK98">
        <v>-3708.6293730000002</v>
      </c>
      <c r="AL98">
        <v>-3761.7134959999999</v>
      </c>
      <c r="AM98">
        <v>-3817.1069980000002</v>
      </c>
      <c r="AN98">
        <v>-3873.873329</v>
      </c>
      <c r="AO98">
        <v>-3932.4468000000002</v>
      </c>
      <c r="AP98">
        <v>-3992.6625349999999</v>
      </c>
      <c r="AQ98">
        <v>-4052.7368959999999</v>
      </c>
      <c r="AR98">
        <v>-4113.0367630000001</v>
      </c>
      <c r="AS98">
        <v>-4172.9918440000001</v>
      </c>
      <c r="AT98">
        <v>-4233.4097789999996</v>
      </c>
      <c r="AU98">
        <v>-4294.1802049999997</v>
      </c>
      <c r="AV98">
        <v>-4355.6704790000003</v>
      </c>
      <c r="AW98">
        <v>-4417.7933510000003</v>
      </c>
      <c r="AX98">
        <v>-4481.0600880000002</v>
      </c>
    </row>
    <row r="99" spans="2:50" x14ac:dyDescent="0.25">
      <c r="B99" s="2"/>
      <c r="C99" s="25" t="s">
        <v>180</v>
      </c>
      <c r="D99">
        <v>0.96116878123798499</v>
      </c>
      <c r="E99">
        <v>0.98039215686274495</v>
      </c>
      <c r="F99">
        <v>0.98184865929999998</v>
      </c>
      <c r="G99">
        <v>0.98911085430000001</v>
      </c>
      <c r="H99">
        <v>1.0091387730000001</v>
      </c>
      <c r="I99">
        <v>1.0146242130000001</v>
      </c>
      <c r="J99">
        <v>1.0131293509999999</v>
      </c>
      <c r="K99">
        <v>1.016307302</v>
      </c>
      <c r="L99">
        <v>1.0238952750000001</v>
      </c>
      <c r="M99">
        <v>1.0348077979999999</v>
      </c>
      <c r="N99">
        <v>1.0417932759999999</v>
      </c>
      <c r="O99">
        <v>1.0491370609999999</v>
      </c>
      <c r="P99">
        <v>1.060135198</v>
      </c>
      <c r="Q99">
        <v>1.0745404089999999</v>
      </c>
      <c r="R99">
        <v>1.0962890110000001</v>
      </c>
      <c r="S99">
        <v>1.1220348</v>
      </c>
      <c r="T99">
        <v>1.1443479670000001</v>
      </c>
      <c r="U99">
        <v>1.1669495510000001</v>
      </c>
      <c r="V99">
        <v>1.1902388719999999</v>
      </c>
      <c r="W99">
        <v>1.2140009409999999</v>
      </c>
      <c r="X99">
        <v>1.238280271</v>
      </c>
      <c r="Y99">
        <v>1.2629818230000001</v>
      </c>
      <c r="Z99">
        <v>1.2882966199999999</v>
      </c>
      <c r="AA99">
        <v>1.313912172</v>
      </c>
      <c r="AB99">
        <v>1.339852032</v>
      </c>
      <c r="AC99">
        <v>1.3661571939999999</v>
      </c>
      <c r="AD99">
        <v>1.3928618319999999</v>
      </c>
      <c r="AE99">
        <v>1.420011782</v>
      </c>
      <c r="AF99">
        <v>1.447631197</v>
      </c>
      <c r="AG99">
        <v>1.475875767</v>
      </c>
      <c r="AH99">
        <v>1.504804512</v>
      </c>
      <c r="AI99">
        <v>1.534316504</v>
      </c>
      <c r="AJ99">
        <v>1.5646245480000001</v>
      </c>
      <c r="AK99">
        <v>1.5955789490000001</v>
      </c>
      <c r="AL99">
        <v>1.6271473510000001</v>
      </c>
      <c r="AM99">
        <v>1.6593326799999999</v>
      </c>
      <c r="AN99">
        <v>1.6921462490000001</v>
      </c>
      <c r="AO99">
        <v>1.7255197099999999</v>
      </c>
      <c r="AP99">
        <v>1.759472675</v>
      </c>
      <c r="AQ99">
        <v>1.7940400400000001</v>
      </c>
      <c r="AR99">
        <v>1.8292327749999999</v>
      </c>
      <c r="AS99">
        <v>1.865071626</v>
      </c>
      <c r="AT99">
        <v>1.9015590760000001</v>
      </c>
      <c r="AU99">
        <v>1.938734315</v>
      </c>
      <c r="AV99">
        <v>1.9766250439999999</v>
      </c>
      <c r="AW99">
        <v>2.015227146</v>
      </c>
      <c r="AX99">
        <v>2.054697692</v>
      </c>
    </row>
    <row r="100" spans="2:50" x14ac:dyDescent="0.25">
      <c r="B100" s="2"/>
      <c r="C100" s="25" t="s">
        <v>181</v>
      </c>
      <c r="D100">
        <v>-22288.5546931504</v>
      </c>
      <c r="E100">
        <v>-22646.404648186199</v>
      </c>
      <c r="F100">
        <v>-22936.490880000001</v>
      </c>
      <c r="G100">
        <v>-23599.041450000001</v>
      </c>
      <c r="H100">
        <v>-23500.34388</v>
      </c>
      <c r="I100">
        <v>-22764.90612</v>
      </c>
      <c r="J100">
        <v>-23462.370129999999</v>
      </c>
      <c r="K100">
        <v>-23678.851259999999</v>
      </c>
      <c r="L100">
        <v>-23763.474579999998</v>
      </c>
      <c r="M100">
        <v>-23606.65914</v>
      </c>
      <c r="N100">
        <v>-24098.0056</v>
      </c>
      <c r="O100">
        <v>-24311.50979</v>
      </c>
      <c r="P100">
        <v>-24360.739890000001</v>
      </c>
      <c r="Q100">
        <v>-25028.24235</v>
      </c>
      <c r="R100">
        <v>-25322.377899999999</v>
      </c>
      <c r="S100">
        <v>-25798.761399999999</v>
      </c>
      <c r="T100">
        <v>-26069.775860000002</v>
      </c>
      <c r="U100">
        <v>-26438.55487</v>
      </c>
      <c r="V100">
        <v>-26748.820530000001</v>
      </c>
      <c r="W100">
        <v>-27216.7094</v>
      </c>
      <c r="X100">
        <v>-27587.913329999999</v>
      </c>
      <c r="Y100">
        <v>-27856.142049999999</v>
      </c>
      <c r="Z100">
        <v>-28045.155030000002</v>
      </c>
      <c r="AA100">
        <v>-28283.57936</v>
      </c>
      <c r="AB100">
        <v>-28554.90307</v>
      </c>
      <c r="AC100">
        <v>-28841.284070000002</v>
      </c>
      <c r="AD100">
        <v>-29147.510859999999</v>
      </c>
      <c r="AE100">
        <v>-29415.738700000002</v>
      </c>
      <c r="AF100">
        <v>-29715.821090000001</v>
      </c>
      <c r="AG100">
        <v>-30031.329900000001</v>
      </c>
      <c r="AH100">
        <v>-30361.91373</v>
      </c>
      <c r="AI100">
        <v>-30733.36722</v>
      </c>
      <c r="AJ100">
        <v>-31121.270130000001</v>
      </c>
      <c r="AK100">
        <v>-31534.465850000001</v>
      </c>
      <c r="AL100">
        <v>-31969.30601</v>
      </c>
      <c r="AM100">
        <v>-32422.339530000001</v>
      </c>
      <c r="AN100">
        <v>-32886.296470000001</v>
      </c>
      <c r="AO100">
        <v>-33355.949359999999</v>
      </c>
      <c r="AP100">
        <v>-33844.591930000002</v>
      </c>
      <c r="AQ100">
        <v>-34333.866869999998</v>
      </c>
      <c r="AR100">
        <v>-34827.569739999999</v>
      </c>
      <c r="AS100">
        <v>-35318.646849999997</v>
      </c>
      <c r="AT100">
        <v>-35815.345020000001</v>
      </c>
      <c r="AU100">
        <v>-36313.521119999998</v>
      </c>
      <c r="AV100">
        <v>-36817.279719999999</v>
      </c>
      <c r="AW100">
        <v>-37326.396480000003</v>
      </c>
      <c r="AX100">
        <v>-37851.587039999999</v>
      </c>
    </row>
    <row r="101" spans="2:50" x14ac:dyDescent="0.25">
      <c r="B101" s="2"/>
      <c r="C101" s="25" t="s">
        <v>182</v>
      </c>
      <c r="D101">
        <v>-21423.0629499715</v>
      </c>
      <c r="E101">
        <v>-22202.3574982217</v>
      </c>
      <c r="F101">
        <v>-22520.162819574602</v>
      </c>
      <c r="G101">
        <v>-23342.068049270601</v>
      </c>
      <c r="H101">
        <v>-23715.108188141199</v>
      </c>
      <c r="I101">
        <v>-23097.8249560238</v>
      </c>
      <c r="J101">
        <v>-23770.415822728599</v>
      </c>
      <c r="K101">
        <v>-24064.9894385099</v>
      </c>
      <c r="L101">
        <v>-24331.309340044601</v>
      </c>
      <c r="M101">
        <v>-24428.354962799898</v>
      </c>
      <c r="N101">
        <v>-25105.1401990903</v>
      </c>
      <c r="O101">
        <v>-25506.105929553301</v>
      </c>
      <c r="P101">
        <v>-25825.677806711599</v>
      </c>
      <c r="Q101">
        <v>-26893.857771320101</v>
      </c>
      <c r="R101">
        <v>-27760.644624159198</v>
      </c>
      <c r="S101">
        <v>-28947.108087696699</v>
      </c>
      <c r="T101">
        <v>-29832.8950055366</v>
      </c>
      <c r="U101">
        <v>-30852.4597346353</v>
      </c>
      <c r="V101">
        <v>-31837.485974957599</v>
      </c>
      <c r="W101">
        <v>-33041.1108225235</v>
      </c>
      <c r="X101">
        <v>-34161.568794596897</v>
      </c>
      <c r="Y101">
        <v>-35181.801068055902</v>
      </c>
      <c r="Z101">
        <v>-36130.478432525</v>
      </c>
      <c r="AA101">
        <v>-37162.139188831898</v>
      </c>
      <c r="AB101">
        <v>-38259.344901902499</v>
      </c>
      <c r="AC101">
        <v>-39401.727716428097</v>
      </c>
      <c r="AD101">
        <v>-40598.455374699501</v>
      </c>
      <c r="AE101">
        <v>-41770.695530233301</v>
      </c>
      <c r="AF101">
        <v>-43017.549654354501</v>
      </c>
      <c r="AG101">
        <v>-44322.512050192498</v>
      </c>
      <c r="AH101">
        <v>-45688.7447738587</v>
      </c>
      <c r="AI101">
        <v>-47154.712549138603</v>
      </c>
      <c r="AJ101">
        <v>-48693.103210337104</v>
      </c>
      <c r="AK101">
        <v>-50315.729878219398</v>
      </c>
      <c r="AL101">
        <v>-52018.771587479801</v>
      </c>
      <c r="AM101">
        <v>-53799.447544184797</v>
      </c>
      <c r="AN101">
        <v>-55648.423215212402</v>
      </c>
      <c r="AO101">
        <v>-57556.348066441802</v>
      </c>
      <c r="AP101">
        <v>-59548.634697360503</v>
      </c>
      <c r="AQ101">
        <v>-61596.331892809401</v>
      </c>
      <c r="AR101">
        <v>-63707.732042006202</v>
      </c>
      <c r="AS101">
        <v>-65871.806108649194</v>
      </c>
      <c r="AT101">
        <v>-68104.994382852397</v>
      </c>
      <c r="AU101">
        <v>-70402.269493821193</v>
      </c>
      <c r="AV101">
        <v>-72773.957146505301</v>
      </c>
      <c r="AW101">
        <v>-75221.167448854801</v>
      </c>
      <c r="AX101">
        <v>-77773.568529625103</v>
      </c>
    </row>
    <row r="102" spans="2:50" x14ac:dyDescent="0.25">
      <c r="B102" s="2"/>
      <c r="C102" s="25" t="s">
        <v>183</v>
      </c>
      <c r="D102">
        <v>0.96116878123798499</v>
      </c>
      <c r="E102">
        <v>0.98039215686274495</v>
      </c>
      <c r="F102">
        <v>0.97847229120000001</v>
      </c>
      <c r="G102">
        <v>0.98066948669999998</v>
      </c>
      <c r="H102">
        <v>1.0042795120000001</v>
      </c>
      <c r="I102">
        <v>1.000950953</v>
      </c>
      <c r="J102">
        <v>0.98783407860000005</v>
      </c>
      <c r="K102">
        <v>0.99848691580000004</v>
      </c>
      <c r="L102">
        <v>1.0044400309999999</v>
      </c>
      <c r="M102">
        <v>1.0230760240000001</v>
      </c>
      <c r="N102">
        <v>1.023198896</v>
      </c>
      <c r="O102">
        <v>1.025174842</v>
      </c>
      <c r="P102">
        <v>1.0454590859999999</v>
      </c>
      <c r="Q102">
        <v>1.0694618250000001</v>
      </c>
      <c r="R102">
        <v>1.106400305</v>
      </c>
      <c r="S102">
        <v>1.142976048</v>
      </c>
      <c r="T102">
        <v>1.166034279</v>
      </c>
      <c r="U102">
        <v>1.1894459399999999</v>
      </c>
      <c r="V102">
        <v>1.213342403</v>
      </c>
      <c r="W102">
        <v>1.2377156010000001</v>
      </c>
      <c r="X102">
        <v>1.262656252</v>
      </c>
      <c r="Y102">
        <v>1.2879531689999999</v>
      </c>
      <c r="Z102">
        <v>1.3136802000000001</v>
      </c>
      <c r="AA102">
        <v>1.3398054340000001</v>
      </c>
      <c r="AB102">
        <v>1.3662985030000001</v>
      </c>
      <c r="AC102">
        <v>1.3931793589999999</v>
      </c>
      <c r="AD102">
        <v>1.420472561</v>
      </c>
      <c r="AE102">
        <v>1.4482625</v>
      </c>
      <c r="AF102">
        <v>1.476670527</v>
      </c>
      <c r="AG102">
        <v>1.5056815059999999</v>
      </c>
      <c r="AH102">
        <v>1.5353764459999999</v>
      </c>
      <c r="AI102">
        <v>1.565786144</v>
      </c>
      <c r="AJ102">
        <v>1.596860926</v>
      </c>
      <c r="AK102">
        <v>1.6286331169999999</v>
      </c>
      <c r="AL102">
        <v>1.6610633690000001</v>
      </c>
      <c r="AM102">
        <v>1.69414317</v>
      </c>
      <c r="AN102">
        <v>1.7278697439999999</v>
      </c>
      <c r="AO102">
        <v>1.7621929759999999</v>
      </c>
      <c r="AP102">
        <v>1.7971107829999999</v>
      </c>
      <c r="AQ102">
        <v>1.8326607130000001</v>
      </c>
      <c r="AR102">
        <v>1.8688559199999999</v>
      </c>
      <c r="AS102">
        <v>1.905722235</v>
      </c>
      <c r="AT102">
        <v>1.9432648749999999</v>
      </c>
      <c r="AU102">
        <v>1.9815083440000001</v>
      </c>
      <c r="AV102">
        <v>2.0204836839999998</v>
      </c>
      <c r="AW102">
        <v>2.0601902750000001</v>
      </c>
      <c r="AX102">
        <v>2.1007775579999999</v>
      </c>
    </row>
    <row r="103" spans="2:50" x14ac:dyDescent="0.25">
      <c r="B103" s="2"/>
      <c r="C103" s="25" t="s">
        <v>184</v>
      </c>
      <c r="D103">
        <v>-7110.8335507352103</v>
      </c>
      <c r="E103">
        <v>-7225.0002834565403</v>
      </c>
      <c r="F103">
        <v>-7333.1121789999997</v>
      </c>
      <c r="G103">
        <v>-7503.8570730000001</v>
      </c>
      <c r="H103">
        <v>-7382.2271940000001</v>
      </c>
      <c r="I103">
        <v>-7318.0252479999999</v>
      </c>
      <c r="J103">
        <v>-7628.9877880000004</v>
      </c>
      <c r="K103">
        <v>-7553.6114459999999</v>
      </c>
      <c r="L103">
        <v>-7580.9604639999998</v>
      </c>
      <c r="M103">
        <v>-7347.7106180000001</v>
      </c>
      <c r="N103">
        <v>-7645.9385279999997</v>
      </c>
      <c r="O103">
        <v>-7618.3493980000003</v>
      </c>
      <c r="P103">
        <v>-7446.3105560000004</v>
      </c>
      <c r="Q103">
        <v>-7580.9808750000002</v>
      </c>
      <c r="R103">
        <v>-7495.9158209999996</v>
      </c>
      <c r="S103">
        <v>-7524.2473620000001</v>
      </c>
      <c r="T103">
        <v>-7614.6462780000002</v>
      </c>
      <c r="U103">
        <v>-7713.1910230000003</v>
      </c>
      <c r="V103">
        <v>-7804.4999209999996</v>
      </c>
      <c r="W103">
        <v>-7942.0281080000004</v>
      </c>
      <c r="X103">
        <v>-8058.6423709999999</v>
      </c>
      <c r="Y103">
        <v>-8142.8808150000004</v>
      </c>
      <c r="Z103">
        <v>-8207.5119159999995</v>
      </c>
      <c r="AA103">
        <v>-8282.7388719999999</v>
      </c>
      <c r="AB103">
        <v>-8369.3814949999996</v>
      </c>
      <c r="AC103">
        <v>-8460.7524090000006</v>
      </c>
      <c r="AD103">
        <v>-8557.5693879999999</v>
      </c>
      <c r="AE103">
        <v>-8642.3939570000002</v>
      </c>
      <c r="AF103">
        <v>-8738.3396260000009</v>
      </c>
      <c r="AG103">
        <v>-8837.3396819999998</v>
      </c>
      <c r="AH103">
        <v>-8939.813365</v>
      </c>
      <c r="AI103">
        <v>-9056.6661619999995</v>
      </c>
      <c r="AJ103">
        <v>-9173.8076569999994</v>
      </c>
      <c r="AK103">
        <v>-9300.2209320000002</v>
      </c>
      <c r="AL103">
        <v>-9433.15416</v>
      </c>
      <c r="AM103">
        <v>-9571.8222089999999</v>
      </c>
      <c r="AN103">
        <v>-9713.9274420000002</v>
      </c>
      <c r="AO103">
        <v>-9859.1050840000007</v>
      </c>
      <c r="AP103">
        <v>-10008.312669999999</v>
      </c>
      <c r="AQ103">
        <v>-10157.18058</v>
      </c>
      <c r="AR103">
        <v>-10306.721530000001</v>
      </c>
      <c r="AS103">
        <v>-10455.54126</v>
      </c>
      <c r="AT103">
        <v>-10605.332770000001</v>
      </c>
      <c r="AU103">
        <v>-10756.05445</v>
      </c>
      <c r="AV103">
        <v>-10908.517320000001</v>
      </c>
      <c r="AW103">
        <v>-11062.614869999999</v>
      </c>
      <c r="AX103">
        <v>-11219.50819</v>
      </c>
    </row>
    <row r="104" spans="2:50" x14ac:dyDescent="0.25">
      <c r="B104" s="2"/>
      <c r="C104" s="25" t="s">
        <v>185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2:50" x14ac:dyDescent="0.25">
      <c r="B105" s="2"/>
      <c r="C105" s="25" t="s">
        <v>136</v>
      </c>
      <c r="D105">
        <v>225891.81435188401</v>
      </c>
      <c r="E105">
        <v>234108.95210804199</v>
      </c>
      <c r="F105">
        <v>242473.938303237</v>
      </c>
      <c r="G105">
        <v>250402.08440805299</v>
      </c>
      <c r="H105">
        <v>256846.06168309599</v>
      </c>
      <c r="I105">
        <v>262566.57510194997</v>
      </c>
      <c r="J105">
        <v>263167.14271761</v>
      </c>
      <c r="K105">
        <v>263676.15311143798</v>
      </c>
      <c r="L105">
        <v>266631.638513499</v>
      </c>
      <c r="M105">
        <v>271219.49805156898</v>
      </c>
      <c r="N105">
        <v>274530.54164924502</v>
      </c>
      <c r="O105">
        <v>277636.50783186499</v>
      </c>
      <c r="P105">
        <v>281316.61818509299</v>
      </c>
      <c r="Q105">
        <v>286630.629226544</v>
      </c>
      <c r="R105">
        <v>294477.81583703199</v>
      </c>
      <c r="S105">
        <v>304804.23231272702</v>
      </c>
      <c r="T105">
        <v>315357.140039469</v>
      </c>
      <c r="U105">
        <v>325800.820331353</v>
      </c>
      <c r="V105">
        <v>336494.29697676701</v>
      </c>
      <c r="W105">
        <v>349298.69764229399</v>
      </c>
      <c r="X105">
        <v>361057.498878107</v>
      </c>
      <c r="Y105">
        <v>371493.16578367498</v>
      </c>
      <c r="Z105">
        <v>382345.67966991599</v>
      </c>
      <c r="AA105">
        <v>393507.52250071598</v>
      </c>
      <c r="AB105">
        <v>404975.84287306998</v>
      </c>
      <c r="AC105">
        <v>416650.50689188298</v>
      </c>
      <c r="AD105">
        <v>428687.47841030598</v>
      </c>
      <c r="AE105">
        <v>441273.82075742399</v>
      </c>
      <c r="AF105">
        <v>454423.90217164601</v>
      </c>
      <c r="AG105">
        <v>468306.159257475</v>
      </c>
      <c r="AH105">
        <v>483094.09412862902</v>
      </c>
      <c r="AI105">
        <v>498892.45059892198</v>
      </c>
      <c r="AJ105">
        <v>515802.519913166</v>
      </c>
      <c r="AK105">
        <v>533927.484961665</v>
      </c>
      <c r="AL105">
        <v>552830.23476399796</v>
      </c>
      <c r="AM105">
        <v>572566.72016896901</v>
      </c>
      <c r="AN105">
        <v>593050.89357127296</v>
      </c>
      <c r="AO105">
        <v>614387.83388623397</v>
      </c>
      <c r="AP105">
        <v>636528.73520771496</v>
      </c>
      <c r="AQ105">
        <v>659213.31323629897</v>
      </c>
      <c r="AR105">
        <v>682440.05491052102</v>
      </c>
      <c r="AS105">
        <v>706213.51349456795</v>
      </c>
      <c r="AT105">
        <v>730634.24225431099</v>
      </c>
      <c r="AU105">
        <v>755794.00607456104</v>
      </c>
      <c r="AV105">
        <v>781789.85860270006</v>
      </c>
      <c r="AW105">
        <v>808601.89145412995</v>
      </c>
      <c r="AX105">
        <v>836360.216769733</v>
      </c>
    </row>
    <row r="106" spans="2:50" x14ac:dyDescent="0.25">
      <c r="B106" s="2"/>
      <c r="C106" s="25" t="s">
        <v>137</v>
      </c>
      <c r="E106">
        <v>41668.560924012403</v>
      </c>
      <c r="F106">
        <v>43184.314410679799</v>
      </c>
      <c r="G106">
        <v>43187.914989198202</v>
      </c>
      <c r="H106">
        <v>42585.465449021503</v>
      </c>
      <c r="I106">
        <v>43691.244831975499</v>
      </c>
      <c r="J106">
        <v>43903.568627556102</v>
      </c>
      <c r="K106">
        <v>45997.250153845998</v>
      </c>
      <c r="L106">
        <v>47736.632181454297</v>
      </c>
      <c r="M106">
        <v>49746.374043136602</v>
      </c>
      <c r="N106">
        <v>51750.620383076603</v>
      </c>
      <c r="O106">
        <v>54600.3663971469</v>
      </c>
      <c r="P106">
        <v>57036.086188063899</v>
      </c>
      <c r="Q106">
        <v>59608.469608676802</v>
      </c>
      <c r="R106">
        <v>63917.695767837897</v>
      </c>
      <c r="S106">
        <v>69712.845432001006</v>
      </c>
      <c r="T106">
        <v>75012.737015893596</v>
      </c>
      <c r="U106">
        <v>81112.826552230807</v>
      </c>
      <c r="V106">
        <v>87706.557915988902</v>
      </c>
      <c r="W106">
        <v>94734.859813178598</v>
      </c>
      <c r="X106">
        <v>102253.859173937</v>
      </c>
      <c r="Y106">
        <v>110015.359773611</v>
      </c>
      <c r="Z106">
        <v>118114.16891285899</v>
      </c>
      <c r="AA106">
        <v>126559.44317524599</v>
      </c>
      <c r="AB106">
        <v>135469.42479992501</v>
      </c>
      <c r="AC106">
        <v>144844.796982309</v>
      </c>
      <c r="AD106">
        <v>154706.48513159101</v>
      </c>
      <c r="AE106">
        <v>165029.93910146001</v>
      </c>
      <c r="AF106">
        <v>175911.66584508299</v>
      </c>
      <c r="AG106">
        <v>187245.567894112</v>
      </c>
      <c r="AH106">
        <v>199257.16079375101</v>
      </c>
      <c r="AI106">
        <v>211998.080980372</v>
      </c>
      <c r="AJ106">
        <v>225322.648136462</v>
      </c>
      <c r="AK106">
        <v>239682.382001224</v>
      </c>
      <c r="AL106">
        <v>254834.68003575699</v>
      </c>
      <c r="AM106">
        <v>270844.38954965398</v>
      </c>
      <c r="AN106">
        <v>287736.18018875498</v>
      </c>
      <c r="AO106">
        <v>305568.31089917402</v>
      </c>
      <c r="AP106">
        <v>324501.09892864397</v>
      </c>
      <c r="AQ106">
        <v>344518.60902133101</v>
      </c>
      <c r="AR106">
        <v>365670.45161810401</v>
      </c>
      <c r="AS106">
        <v>387995.50604155898</v>
      </c>
      <c r="AT106">
        <v>411526.55293636402</v>
      </c>
      <c r="AU106">
        <v>436361.98238097399</v>
      </c>
      <c r="AV106">
        <v>462557.848383606</v>
      </c>
      <c r="AW106">
        <v>490171.07899419102</v>
      </c>
      <c r="AX106">
        <v>519229.75771601201</v>
      </c>
    </row>
    <row r="107" spans="2:50" x14ac:dyDescent="0.25">
      <c r="B107" s="2"/>
      <c r="C107" s="25" t="s">
        <v>138</v>
      </c>
      <c r="D107">
        <v>5997.7127998138503</v>
      </c>
      <c r="E107">
        <v>6215.8881792066404</v>
      </c>
      <c r="F107">
        <v>6313.0449157393796</v>
      </c>
      <c r="G107">
        <v>6408.2141414600701</v>
      </c>
      <c r="H107">
        <v>6729.4513456302902</v>
      </c>
      <c r="I107">
        <v>6554.4747929438499</v>
      </c>
      <c r="J107">
        <v>6722.3093920418196</v>
      </c>
      <c r="K107">
        <v>7044.4624935135098</v>
      </c>
      <c r="L107">
        <v>7352.3920376775204</v>
      </c>
      <c r="M107">
        <v>7418.0232756836103</v>
      </c>
      <c r="N107">
        <v>7378.7941526424402</v>
      </c>
      <c r="O107">
        <v>7231.5170872066801</v>
      </c>
      <c r="P107">
        <v>6831.6070579829102</v>
      </c>
      <c r="Q107">
        <v>6866.0635570142404</v>
      </c>
      <c r="R107">
        <v>7125.6746788884202</v>
      </c>
      <c r="S107">
        <v>7046.9340329443603</v>
      </c>
      <c r="T107">
        <v>6890.9903251292299</v>
      </c>
      <c r="U107">
        <v>7036.17683299485</v>
      </c>
      <c r="V107">
        <v>7189.86055187492</v>
      </c>
      <c r="W107">
        <v>7336.3779039851497</v>
      </c>
      <c r="X107">
        <v>7446.8041966873297</v>
      </c>
      <c r="Y107">
        <v>7522.2588700509796</v>
      </c>
      <c r="Z107">
        <v>7589.8645591274599</v>
      </c>
      <c r="AA107">
        <v>7659.77543313762</v>
      </c>
      <c r="AB107">
        <v>7730.1455653000703</v>
      </c>
      <c r="AC107">
        <v>7801.9572187056001</v>
      </c>
      <c r="AD107">
        <v>7873.2494223334597</v>
      </c>
      <c r="AE107">
        <v>7942.2767303085702</v>
      </c>
      <c r="AF107">
        <v>8011.5302063542704</v>
      </c>
      <c r="AG107">
        <v>8074.52509263722</v>
      </c>
      <c r="AH107">
        <v>8143.0708470317604</v>
      </c>
      <c r="AI107">
        <v>8206.4833786404906</v>
      </c>
      <c r="AJ107">
        <v>8272.91578195285</v>
      </c>
      <c r="AK107">
        <v>8340.7582481257796</v>
      </c>
      <c r="AL107">
        <v>8409.9950462936395</v>
      </c>
      <c r="AM107">
        <v>8479.8915041610599</v>
      </c>
      <c r="AN107">
        <v>8551.2528174662202</v>
      </c>
      <c r="AO107">
        <v>8625.0631834409596</v>
      </c>
      <c r="AP107">
        <v>8699.6064699533708</v>
      </c>
      <c r="AQ107">
        <v>8776.0369099199106</v>
      </c>
      <c r="AR107">
        <v>8853.3438752414204</v>
      </c>
      <c r="AS107">
        <v>8931.4201216661004</v>
      </c>
      <c r="AT107">
        <v>9012.6121158123296</v>
      </c>
      <c r="AU107">
        <v>9095.1669854355205</v>
      </c>
      <c r="AV107">
        <v>9181.8397585389903</v>
      </c>
      <c r="AW107">
        <v>9264.0289132419002</v>
      </c>
      <c r="AX107">
        <v>9346.0282130586293</v>
      </c>
    </row>
    <row r="108" spans="2:50" x14ac:dyDescent="0.25">
      <c r="B108" s="2"/>
      <c r="C108" s="25" t="s">
        <v>139</v>
      </c>
      <c r="D108">
        <v>79234.608835044695</v>
      </c>
      <c r="E108">
        <v>82116.881031232799</v>
      </c>
      <c r="F108">
        <v>84010.915066809597</v>
      </c>
      <c r="G108">
        <v>86823.458780301196</v>
      </c>
      <c r="H108">
        <v>87308.062903111306</v>
      </c>
      <c r="I108">
        <v>81976.690337117398</v>
      </c>
      <c r="J108">
        <v>85097.049815444698</v>
      </c>
      <c r="K108">
        <v>86655.462742402902</v>
      </c>
      <c r="L108">
        <v>86623.654967245398</v>
      </c>
      <c r="M108">
        <v>87570.649626351296</v>
      </c>
      <c r="N108">
        <v>89540.405566316796</v>
      </c>
      <c r="O108">
        <v>92873.071492594696</v>
      </c>
      <c r="P108">
        <v>94878.687355119197</v>
      </c>
      <c r="Q108">
        <v>99511.806249249203</v>
      </c>
      <c r="R108">
        <v>103270.418622572</v>
      </c>
      <c r="S108">
        <v>108144.715426971</v>
      </c>
      <c r="T108">
        <v>111864.50092066301</v>
      </c>
      <c r="U108">
        <v>115659.21819073999</v>
      </c>
      <c r="V108">
        <v>119505.10706126899</v>
      </c>
      <c r="W108">
        <v>123828.109196208</v>
      </c>
      <c r="X108">
        <v>128117.41103349401</v>
      </c>
      <c r="Y108">
        <v>132149.39328970699</v>
      </c>
      <c r="Z108">
        <v>136112.483361049</v>
      </c>
      <c r="AA108">
        <v>140161.457649763</v>
      </c>
      <c r="AB108">
        <v>144340.62084951601</v>
      </c>
      <c r="AC108">
        <v>148639.918238666</v>
      </c>
      <c r="AD108">
        <v>153085.92932379301</v>
      </c>
      <c r="AE108">
        <v>157629.174032888</v>
      </c>
      <c r="AF108">
        <v>162375.38477313201</v>
      </c>
      <c r="AG108">
        <v>167332.18579205999</v>
      </c>
      <c r="AH108">
        <v>172539.578373033</v>
      </c>
      <c r="AI108">
        <v>178063.661430598</v>
      </c>
      <c r="AJ108">
        <v>183907.276598322</v>
      </c>
      <c r="AK108">
        <v>190122.877652945</v>
      </c>
      <c r="AL108">
        <v>196667.261145678</v>
      </c>
      <c r="AM108">
        <v>203529.428553256</v>
      </c>
      <c r="AN108">
        <v>210686.972673671</v>
      </c>
      <c r="AO108">
        <v>218143.411664382</v>
      </c>
      <c r="AP108">
        <v>225911.207101751</v>
      </c>
      <c r="AQ108">
        <v>233936.99904501499</v>
      </c>
      <c r="AR108">
        <v>242204.91014954</v>
      </c>
      <c r="AS108">
        <v>250699.33726877699</v>
      </c>
      <c r="AT108">
        <v>259435.98805460799</v>
      </c>
      <c r="AU108">
        <v>268429.47416460898</v>
      </c>
      <c r="AV108">
        <v>277708.55541143898</v>
      </c>
      <c r="AW108">
        <v>287278.940569364</v>
      </c>
      <c r="AX108">
        <v>297181.502641653</v>
      </c>
    </row>
    <row r="109" spans="2:50" x14ac:dyDescent="0.25">
      <c r="B109" s="2"/>
      <c r="C109" s="25" t="s">
        <v>140</v>
      </c>
      <c r="D109">
        <v>7105.6417398601798</v>
      </c>
      <c r="E109">
        <v>7364.1196187061596</v>
      </c>
      <c r="F109">
        <v>7461.7211582853897</v>
      </c>
      <c r="G109">
        <v>7630.9432812661898</v>
      </c>
      <c r="H109">
        <v>7780.8692882559899</v>
      </c>
      <c r="I109">
        <v>7889.7548368841499</v>
      </c>
      <c r="J109">
        <v>7984.8461921271401</v>
      </c>
      <c r="K109">
        <v>8073.1776391085996</v>
      </c>
      <c r="L109">
        <v>8165.7127711457697</v>
      </c>
      <c r="M109">
        <v>8284.1869296038094</v>
      </c>
      <c r="N109">
        <v>8396.21327444694</v>
      </c>
      <c r="O109">
        <v>8558.75429263769</v>
      </c>
      <c r="P109">
        <v>8722.3275412884905</v>
      </c>
      <c r="Q109">
        <v>8949.8236367764603</v>
      </c>
      <c r="R109">
        <v>9200.50875333982</v>
      </c>
      <c r="S109">
        <v>9520.9596082356602</v>
      </c>
      <c r="T109">
        <v>9847.0823749253905</v>
      </c>
      <c r="U109">
        <v>10181.9355172347</v>
      </c>
      <c r="V109">
        <v>10520.846349019899</v>
      </c>
      <c r="W109">
        <v>10900.938901580301</v>
      </c>
      <c r="X109">
        <v>11277.728711088201</v>
      </c>
      <c r="Y109">
        <v>11632.5713766428</v>
      </c>
      <c r="Z109">
        <v>11981.497415497901</v>
      </c>
      <c r="AA109">
        <v>12338.1064156147</v>
      </c>
      <c r="AB109">
        <v>12705.9164851191</v>
      </c>
      <c r="AC109">
        <v>13083.907212862799</v>
      </c>
      <c r="AD109">
        <v>13474.150928137</v>
      </c>
      <c r="AE109">
        <v>13876.569692778899</v>
      </c>
      <c r="AF109">
        <v>14295.902925771101</v>
      </c>
      <c r="AG109">
        <v>14733.022828339301</v>
      </c>
      <c r="AH109">
        <v>15191.2197346136</v>
      </c>
      <c r="AI109">
        <v>15676.1522550999</v>
      </c>
      <c r="AJ109">
        <v>16188.9102503955</v>
      </c>
      <c r="AK109">
        <v>16734.183618284798</v>
      </c>
      <c r="AL109">
        <v>17308.494164325799</v>
      </c>
      <c r="AM109">
        <v>17910.9520522725</v>
      </c>
      <c r="AN109">
        <v>18539.624858515999</v>
      </c>
      <c r="AO109">
        <v>19195.569877490401</v>
      </c>
      <c r="AP109">
        <v>19879.596165825598</v>
      </c>
      <c r="AQ109">
        <v>20586.831621381902</v>
      </c>
      <c r="AR109">
        <v>21315.739224202</v>
      </c>
      <c r="AS109">
        <v>22064.797928890199</v>
      </c>
      <c r="AT109">
        <v>22835.248723606699</v>
      </c>
      <c r="AU109">
        <v>23628.228506331401</v>
      </c>
      <c r="AV109">
        <v>24446.080015510601</v>
      </c>
      <c r="AW109">
        <v>25289.462118769199</v>
      </c>
      <c r="AX109">
        <v>26160.312606402102</v>
      </c>
    </row>
    <row r="110" spans="2:50" x14ac:dyDescent="0.25">
      <c r="B110" s="2"/>
      <c r="C110" s="25" t="s">
        <v>141</v>
      </c>
      <c r="D110">
        <v>56421.514030040198</v>
      </c>
      <c r="E110">
        <v>58473.927281605298</v>
      </c>
      <c r="F110">
        <v>60071.543667840997</v>
      </c>
      <c r="G110">
        <v>61013.010642954097</v>
      </c>
      <c r="H110">
        <v>60073.363367417798</v>
      </c>
      <c r="I110">
        <v>62700.447610286101</v>
      </c>
      <c r="J110">
        <v>63450.0053093346</v>
      </c>
      <c r="K110">
        <v>60935.4308334792</v>
      </c>
      <c r="L110">
        <v>63272.9855354061</v>
      </c>
      <c r="M110">
        <v>62819.217830514601</v>
      </c>
      <c r="N110">
        <v>61054.071712312201</v>
      </c>
      <c r="O110">
        <v>60796.704578978897</v>
      </c>
      <c r="P110">
        <v>62812.1712086302</v>
      </c>
      <c r="Q110">
        <v>62624.631519135401</v>
      </c>
      <c r="R110">
        <v>65020.912329070401</v>
      </c>
      <c r="S110">
        <v>71426.598661522206</v>
      </c>
      <c r="T110">
        <v>73890.333267714203</v>
      </c>
      <c r="U110">
        <v>76328.740899533397</v>
      </c>
      <c r="V110">
        <v>78845.265862886794</v>
      </c>
      <c r="W110">
        <v>81858.996921518905</v>
      </c>
      <c r="X110">
        <v>84617.555457283306</v>
      </c>
      <c r="Y110">
        <v>87074.421712154799</v>
      </c>
      <c r="Z110">
        <v>89603.334108118506</v>
      </c>
      <c r="AA110">
        <v>92225.244268734503</v>
      </c>
      <c r="AB110">
        <v>94957.072219234993</v>
      </c>
      <c r="AC110">
        <v>97759.1570967929</v>
      </c>
      <c r="AD110">
        <v>100661.301940116</v>
      </c>
      <c r="AE110">
        <v>103706.652025766</v>
      </c>
      <c r="AF110">
        <v>106891.848001527</v>
      </c>
      <c r="AG110">
        <v>110226.89591120899</v>
      </c>
      <c r="AH110">
        <v>113746.496420588</v>
      </c>
      <c r="AI110">
        <v>117503.552118589</v>
      </c>
      <c r="AJ110">
        <v>121482.674189047</v>
      </c>
      <c r="AK110">
        <v>125733.943975438</v>
      </c>
      <c r="AL110">
        <v>130174.35799423599</v>
      </c>
      <c r="AM110">
        <v>134814.48430930899</v>
      </c>
      <c r="AN110">
        <v>139636.207010966</v>
      </c>
      <c r="AO110">
        <v>144656.389975984</v>
      </c>
      <c r="AP110">
        <v>149879.63302806599</v>
      </c>
      <c r="AQ110">
        <v>155246.279801856</v>
      </c>
      <c r="AR110">
        <v>160754.07951208099</v>
      </c>
      <c r="AS110">
        <v>166399.79437954401</v>
      </c>
      <c r="AT110">
        <v>172204.93685137699</v>
      </c>
      <c r="AU110">
        <v>178189.243808447</v>
      </c>
      <c r="AV110">
        <v>184372.63021464</v>
      </c>
      <c r="AW110">
        <v>190750.38778430599</v>
      </c>
      <c r="AX110">
        <v>197376.13795115001</v>
      </c>
    </row>
    <row r="111" spans="2:50" x14ac:dyDescent="0.25">
      <c r="B111" s="2"/>
      <c r="C111" s="25" t="s">
        <v>142</v>
      </c>
      <c r="D111">
        <v>107619.00345285299</v>
      </c>
      <c r="E111">
        <v>111533.798590915</v>
      </c>
      <c r="F111">
        <v>113942.673673624</v>
      </c>
      <c r="G111">
        <v>117442.672102032</v>
      </c>
      <c r="H111">
        <v>123159.05107199</v>
      </c>
      <c r="I111">
        <v>127288.16481709199</v>
      </c>
      <c r="J111">
        <v>132353.00432104801</v>
      </c>
      <c r="K111">
        <v>134411.74194275</v>
      </c>
      <c r="L111">
        <v>138386.77009091401</v>
      </c>
      <c r="M111">
        <v>143777.01769120299</v>
      </c>
      <c r="N111">
        <v>148459.893473623</v>
      </c>
      <c r="O111">
        <v>153311.54170001499</v>
      </c>
      <c r="P111">
        <v>158002.30168116401</v>
      </c>
      <c r="Q111">
        <v>162015.26339459801</v>
      </c>
      <c r="R111">
        <v>164253.738119852</v>
      </c>
      <c r="S111">
        <v>169990.653634174</v>
      </c>
      <c r="T111">
        <v>175872.75181603199</v>
      </c>
      <c r="U111">
        <v>181812.25955899601</v>
      </c>
      <c r="V111">
        <v>187877.36272803499</v>
      </c>
      <c r="W111">
        <v>194596.60749128499</v>
      </c>
      <c r="X111">
        <v>201343.374872488</v>
      </c>
      <c r="Y111">
        <v>207721.10269922501</v>
      </c>
      <c r="Z111">
        <v>214027.094741693</v>
      </c>
      <c r="AA111">
        <v>220408.28613679399</v>
      </c>
      <c r="AB111">
        <v>226947.74908725501</v>
      </c>
      <c r="AC111">
        <v>233645.10243199099</v>
      </c>
      <c r="AD111">
        <v>240538.923382496</v>
      </c>
      <c r="AE111">
        <v>247695.00826266501</v>
      </c>
      <c r="AF111">
        <v>255140.258641608</v>
      </c>
      <c r="AG111">
        <v>262913.13696084998</v>
      </c>
      <c r="AH111">
        <v>271084.112588713</v>
      </c>
      <c r="AI111">
        <v>279726.778754837</v>
      </c>
      <c r="AJ111">
        <v>288892.31204407301</v>
      </c>
      <c r="AK111">
        <v>298654.916448968</v>
      </c>
      <c r="AL111">
        <v>308942.59103001299</v>
      </c>
      <c r="AM111">
        <v>319733.35663398798</v>
      </c>
      <c r="AN111">
        <v>330995.35249387898</v>
      </c>
      <c r="AO111">
        <v>342738.18409367901</v>
      </c>
      <c r="AP111">
        <v>354964.91241285298</v>
      </c>
      <c r="AQ111">
        <v>367608.05049518199</v>
      </c>
      <c r="AR111">
        <v>380632.28789251699</v>
      </c>
      <c r="AS111">
        <v>394016.81015550299</v>
      </c>
      <c r="AT111">
        <v>407774.10140425101</v>
      </c>
      <c r="AU111">
        <v>421934.40640339098</v>
      </c>
      <c r="AV111">
        <v>436539.047859488</v>
      </c>
      <c r="AW111">
        <v>451599.39276066201</v>
      </c>
      <c r="AX111">
        <v>467162.18054239498</v>
      </c>
    </row>
    <row r="112" spans="2:50" x14ac:dyDescent="0.25">
      <c r="B112" s="2"/>
      <c r="C112" s="25" t="s">
        <v>143</v>
      </c>
      <c r="D112">
        <v>8435.1564679157891</v>
      </c>
      <c r="E112">
        <v>8741.9973461055797</v>
      </c>
      <c r="F112">
        <v>9052.0675969999902</v>
      </c>
      <c r="G112">
        <v>9514.5739117800003</v>
      </c>
      <c r="H112">
        <v>9579.7847732219998</v>
      </c>
      <c r="I112">
        <v>9185.7674509654298</v>
      </c>
      <c r="J112">
        <v>9668.5068490490594</v>
      </c>
      <c r="K112">
        <v>9958.4653767711497</v>
      </c>
      <c r="L112">
        <v>10138.964105716699</v>
      </c>
      <c r="M112">
        <v>10380.176319512901</v>
      </c>
      <c r="N112">
        <v>10657.1592650766</v>
      </c>
      <c r="O112">
        <v>10910.0596640576</v>
      </c>
      <c r="P112">
        <v>11189.513861900399</v>
      </c>
      <c r="Q112">
        <v>11835.115698851199</v>
      </c>
      <c r="R112">
        <v>12147.1045862106</v>
      </c>
      <c r="S112">
        <v>12663.0461021705</v>
      </c>
      <c r="T112">
        <v>12921.231799204799</v>
      </c>
      <c r="U112">
        <v>13199.941720925901</v>
      </c>
      <c r="V112">
        <v>13543.214676526301</v>
      </c>
      <c r="W112">
        <v>13963.0580917201</v>
      </c>
      <c r="X112">
        <v>14418.0926356811</v>
      </c>
      <c r="Y112">
        <v>14859.8715487644</v>
      </c>
      <c r="Z112">
        <v>15285.356178014399</v>
      </c>
      <c r="AA112">
        <v>15712.973587619699</v>
      </c>
      <c r="AB112">
        <v>16158.9997711298</v>
      </c>
      <c r="AC112">
        <v>16613.690694509602</v>
      </c>
      <c r="AD112">
        <v>17083.717085401098</v>
      </c>
      <c r="AE112">
        <v>17529.075394841198</v>
      </c>
      <c r="AF112">
        <v>17968.217177664399</v>
      </c>
      <c r="AG112">
        <v>18436.308011011999</v>
      </c>
      <c r="AH112">
        <v>18926.688028093999</v>
      </c>
      <c r="AI112">
        <v>19417.464731131298</v>
      </c>
      <c r="AJ112">
        <v>19972.8144835618</v>
      </c>
      <c r="AK112">
        <v>20543.634378935501</v>
      </c>
      <c r="AL112">
        <v>21133.194956019499</v>
      </c>
      <c r="AM112">
        <v>21743.8646370116</v>
      </c>
      <c r="AN112">
        <v>22372.4350337709</v>
      </c>
      <c r="AO112">
        <v>23015.883272176201</v>
      </c>
      <c r="AP112">
        <v>23685.677304865902</v>
      </c>
      <c r="AQ112">
        <v>24374.3177343797</v>
      </c>
      <c r="AR112">
        <v>25083.3135254894</v>
      </c>
      <c r="AS112">
        <v>25809.649498325802</v>
      </c>
      <c r="AT112">
        <v>26565.525742419799</v>
      </c>
      <c r="AU112">
        <v>27343.676464549299</v>
      </c>
      <c r="AV112">
        <v>28145.897388931498</v>
      </c>
      <c r="AW112">
        <v>28970.224086623301</v>
      </c>
      <c r="AX112">
        <v>29826.426818902299</v>
      </c>
    </row>
    <row r="113" spans="2:50" x14ac:dyDescent="0.25">
      <c r="B113" s="2"/>
      <c r="C113" s="25" t="s">
        <v>144</v>
      </c>
      <c r="D113">
        <v>14588.351732425201</v>
      </c>
      <c r="E113">
        <v>15119.0238869898</v>
      </c>
      <c r="F113">
        <v>15344.915744161901</v>
      </c>
      <c r="G113">
        <v>15983.264385221501</v>
      </c>
      <c r="H113">
        <v>16301.288664277799</v>
      </c>
      <c r="I113">
        <v>15772.8406099602</v>
      </c>
      <c r="J113">
        <v>16234.241700519</v>
      </c>
      <c r="K113">
        <v>16522.807242641698</v>
      </c>
      <c r="L113">
        <v>16716.6891765746</v>
      </c>
      <c r="M113">
        <v>16911.0883982339</v>
      </c>
      <c r="N113">
        <v>17281.824338356801</v>
      </c>
      <c r="O113">
        <v>17695.965789157799</v>
      </c>
      <c r="P113">
        <v>18040.864778763698</v>
      </c>
      <c r="Q113">
        <v>18786.2881294525</v>
      </c>
      <c r="R113">
        <v>19467.161073550498</v>
      </c>
      <c r="S113">
        <v>20347.073573703499</v>
      </c>
      <c r="T113">
        <v>20953.956422928899</v>
      </c>
      <c r="U113">
        <v>21678.035987883501</v>
      </c>
      <c r="V113">
        <v>22367.955286598099</v>
      </c>
      <c r="W113">
        <v>23211.138729671398</v>
      </c>
      <c r="X113">
        <v>23986.273622221601</v>
      </c>
      <c r="Y113">
        <v>24694.151917587398</v>
      </c>
      <c r="Z113">
        <v>25348.432537211698</v>
      </c>
      <c r="AA113">
        <v>26064.880639723298</v>
      </c>
      <c r="AB113">
        <v>26824.2714942481</v>
      </c>
      <c r="AC113">
        <v>27614.382098599701</v>
      </c>
      <c r="AD113">
        <v>28442.6628701919</v>
      </c>
      <c r="AE113">
        <v>29254.240452083599</v>
      </c>
      <c r="AF113">
        <v>30113.901073724101</v>
      </c>
      <c r="AG113">
        <v>31016.293128765199</v>
      </c>
      <c r="AH113">
        <v>31962.765901601699</v>
      </c>
      <c r="AI113">
        <v>32973.910161845299</v>
      </c>
      <c r="AJ113">
        <v>34043.808220234198</v>
      </c>
      <c r="AK113">
        <v>35169.082072947604</v>
      </c>
      <c r="AL113">
        <v>36349.704758173903</v>
      </c>
      <c r="AM113">
        <v>37583.410324353099</v>
      </c>
      <c r="AN113">
        <v>38864.021892769299</v>
      </c>
      <c r="AO113">
        <v>40182.702337771101</v>
      </c>
      <c r="AP113">
        <v>41562.588078467998</v>
      </c>
      <c r="AQ113">
        <v>42981.666088996899</v>
      </c>
      <c r="AR113">
        <v>44445.954494874197</v>
      </c>
      <c r="AS113">
        <v>45946.4486505073</v>
      </c>
      <c r="AT113">
        <v>47496.023723224898</v>
      </c>
      <c r="AU113">
        <v>49089.057852627899</v>
      </c>
      <c r="AV113">
        <v>50733.475884813903</v>
      </c>
      <c r="AW113">
        <v>52430.075877610398</v>
      </c>
      <c r="AX113">
        <v>54203.877512275903</v>
      </c>
    </row>
    <row r="114" spans="2:50" x14ac:dyDescent="0.25">
      <c r="B114" s="4"/>
      <c r="C114" s="25" t="s">
        <v>148</v>
      </c>
      <c r="F114">
        <v>891378.22470000002</v>
      </c>
      <c r="G114">
        <v>920346.92119999998</v>
      </c>
      <c r="H114">
        <v>947065.38410000002</v>
      </c>
      <c r="I114">
        <v>938804.98770000006</v>
      </c>
      <c r="J114">
        <v>945413.98739999998</v>
      </c>
      <c r="K114">
        <v>970813.08840000001</v>
      </c>
      <c r="L114">
        <v>989493.32350000006</v>
      </c>
      <c r="M114">
        <v>1002969.071</v>
      </c>
      <c r="N114">
        <v>1020633.731</v>
      </c>
      <c r="O114">
        <v>1041343.7830000001</v>
      </c>
      <c r="P114">
        <v>1063812.371</v>
      </c>
      <c r="Q114">
        <v>1100481.8400000001</v>
      </c>
      <c r="R114">
        <v>1143716.6159999999</v>
      </c>
      <c r="S114">
        <v>1188074.2660000001</v>
      </c>
      <c r="T114">
        <v>1227100.7290000001</v>
      </c>
      <c r="U114">
        <v>1263833</v>
      </c>
      <c r="V114">
        <v>1303622.1640000001</v>
      </c>
      <c r="W114">
        <v>1349802.7919999999</v>
      </c>
      <c r="X114">
        <v>1394080.4580000001</v>
      </c>
      <c r="Y114">
        <v>1433977.3230000001</v>
      </c>
      <c r="Z114">
        <v>1471956.5390000001</v>
      </c>
      <c r="AA114">
        <v>1510114.395</v>
      </c>
      <c r="AB114">
        <v>1551534.1410000001</v>
      </c>
      <c r="AC114">
        <v>1594289.196</v>
      </c>
      <c r="AD114">
        <v>1640126.4069999999</v>
      </c>
      <c r="AE114">
        <v>1686970.3259999999</v>
      </c>
      <c r="AF114">
        <v>1735540.8119999999</v>
      </c>
      <c r="AG114">
        <v>1787227.807</v>
      </c>
      <c r="AH114">
        <v>1841774.959</v>
      </c>
      <c r="AI114">
        <v>1899204.8230000001</v>
      </c>
      <c r="AJ114">
        <v>1961193.5430000001</v>
      </c>
      <c r="AK114">
        <v>2026368.4979999999</v>
      </c>
      <c r="AL114">
        <v>2094359.273</v>
      </c>
      <c r="AM114">
        <v>2165726.8760000002</v>
      </c>
      <c r="AN114">
        <v>2239703.46</v>
      </c>
      <c r="AO114">
        <v>2316771.2740000002</v>
      </c>
      <c r="AP114">
        <v>2396385.9679999999</v>
      </c>
      <c r="AQ114">
        <v>2478610.926</v>
      </c>
      <c r="AR114">
        <v>2563488.4070000001</v>
      </c>
      <c r="AS114">
        <v>2650776.801</v>
      </c>
      <c r="AT114">
        <v>2740273.8909999998</v>
      </c>
      <c r="AU114">
        <v>2832828.4670000002</v>
      </c>
      <c r="AV114">
        <v>2928313.1260000002</v>
      </c>
      <c r="AW114">
        <v>3026689.452</v>
      </c>
      <c r="AX114">
        <v>3130204.4649999999</v>
      </c>
    </row>
    <row r="115" spans="2:50" x14ac:dyDescent="0.25">
      <c r="B115" s="4"/>
      <c r="C115" s="25" t="s">
        <v>149</v>
      </c>
      <c r="D115">
        <v>6736.0217489371598</v>
      </c>
      <c r="E115">
        <v>6981.0541720832098</v>
      </c>
      <c r="F115">
        <v>7184.2108340000004</v>
      </c>
      <c r="G115">
        <v>6897.7147290000003</v>
      </c>
      <c r="H115">
        <v>6995.8401679999997</v>
      </c>
      <c r="I115">
        <v>6577.5379659999999</v>
      </c>
      <c r="J115">
        <v>6110.0179680000001</v>
      </c>
      <c r="K115">
        <v>6724.3592660000004</v>
      </c>
      <c r="L115">
        <v>7115.3041659999999</v>
      </c>
      <c r="M115">
        <v>7000.4379929999996</v>
      </c>
      <c r="N115">
        <v>6942.4201810000004</v>
      </c>
      <c r="O115">
        <v>7144.7234170000002</v>
      </c>
      <c r="P115">
        <v>7346.870645</v>
      </c>
      <c r="Q115">
        <v>7554.5855959999999</v>
      </c>
      <c r="R115">
        <v>7841.8697030000003</v>
      </c>
      <c r="S115">
        <v>8018.0041199999996</v>
      </c>
      <c r="T115">
        <v>8358.3007570000009</v>
      </c>
      <c r="U115">
        <v>8434.0763430000006</v>
      </c>
      <c r="V115">
        <v>8682.2554280000004</v>
      </c>
      <c r="W115">
        <v>8877.57131999999</v>
      </c>
      <c r="X115">
        <v>9099.1600330000001</v>
      </c>
      <c r="Y115">
        <v>9277.9529739999998</v>
      </c>
      <c r="Z115">
        <v>9377.2659739999999</v>
      </c>
      <c r="AA115">
        <v>9415.521976</v>
      </c>
      <c r="AB115">
        <v>9589.7260750000005</v>
      </c>
      <c r="AC115">
        <v>9837.5845310000004</v>
      </c>
      <c r="AD115">
        <v>10083.09684</v>
      </c>
      <c r="AE115">
        <v>10344.902319999999</v>
      </c>
      <c r="AF115">
        <v>10646.631649999999</v>
      </c>
      <c r="AG115">
        <v>10995.08851</v>
      </c>
      <c r="AH115">
        <v>11350.761549999999</v>
      </c>
      <c r="AI115">
        <v>11714.50764</v>
      </c>
      <c r="AJ115">
        <v>12117.54788</v>
      </c>
      <c r="AK115">
        <v>12529.160159999999</v>
      </c>
      <c r="AL115">
        <v>12936.479369999999</v>
      </c>
      <c r="AM115">
        <v>13376.174720000001</v>
      </c>
      <c r="AN115">
        <v>13834.349630000001</v>
      </c>
      <c r="AO115">
        <v>14306.499470000001</v>
      </c>
      <c r="AP115">
        <v>14760.815979999999</v>
      </c>
      <c r="AQ115">
        <v>15248.23358</v>
      </c>
      <c r="AR115">
        <v>15757.142330000001</v>
      </c>
      <c r="AS115">
        <v>16292.79466</v>
      </c>
      <c r="AT115">
        <v>16839.839039999999</v>
      </c>
      <c r="AU115">
        <v>17412.563050000001</v>
      </c>
      <c r="AV115">
        <v>17999.44615</v>
      </c>
      <c r="AW115">
        <v>18602.692080000001</v>
      </c>
      <c r="AX115">
        <v>19220.507559999998</v>
      </c>
    </row>
    <row r="116" spans="2:50" x14ac:dyDescent="0.25">
      <c r="B116" s="4"/>
      <c r="C116" s="25" t="s">
        <v>150</v>
      </c>
      <c r="D116">
        <v>130354.82254187101</v>
      </c>
      <c r="E116">
        <v>135096.665609888</v>
      </c>
      <c r="F116">
        <v>138640.54829999999</v>
      </c>
      <c r="G116">
        <v>147517.5816</v>
      </c>
      <c r="H116">
        <v>157566.63159999999</v>
      </c>
      <c r="I116">
        <v>161161.36129999999</v>
      </c>
      <c r="J116">
        <v>165854.41940000001</v>
      </c>
      <c r="K116">
        <v>175705.72990000001</v>
      </c>
      <c r="L116">
        <v>185407.8983</v>
      </c>
      <c r="M116">
        <v>192921.198</v>
      </c>
      <c r="N116">
        <v>195697.58100000001</v>
      </c>
      <c r="O116">
        <v>199466.424</v>
      </c>
      <c r="P116">
        <v>203516.60279999999</v>
      </c>
      <c r="Q116">
        <v>209936.3591</v>
      </c>
      <c r="R116">
        <v>218159.57070000001</v>
      </c>
      <c r="S116">
        <v>226261.6495</v>
      </c>
      <c r="T116">
        <v>235671.71419999999</v>
      </c>
      <c r="U116">
        <v>242524.45920000001</v>
      </c>
      <c r="V116">
        <v>250415.5613</v>
      </c>
      <c r="W116">
        <v>259367.27249999999</v>
      </c>
      <c r="X116">
        <v>267742.39610000001</v>
      </c>
      <c r="Y116">
        <v>275093.44799999997</v>
      </c>
      <c r="Z116">
        <v>282301.99310000002</v>
      </c>
      <c r="AA116">
        <v>289415.27779999998</v>
      </c>
      <c r="AB116">
        <v>297377.85800000001</v>
      </c>
      <c r="AC116">
        <v>305840.3088</v>
      </c>
      <c r="AD116">
        <v>314549.9693</v>
      </c>
      <c r="AE116">
        <v>323724.82079999999</v>
      </c>
      <c r="AF116">
        <v>333418.17719999998</v>
      </c>
      <c r="AG116">
        <v>343829.32650000002</v>
      </c>
      <c r="AH116">
        <v>354819.97460000002</v>
      </c>
      <c r="AI116">
        <v>366425.27519999997</v>
      </c>
      <c r="AJ116">
        <v>378974.50199999998</v>
      </c>
      <c r="AK116">
        <v>392235.73489999998</v>
      </c>
      <c r="AL116">
        <v>405973.11339999997</v>
      </c>
      <c r="AM116">
        <v>420388.95980000001</v>
      </c>
      <c r="AN116">
        <v>435376.91680000001</v>
      </c>
      <c r="AO116">
        <v>450956.26569999999</v>
      </c>
      <c r="AP116">
        <v>466947.53350000002</v>
      </c>
      <c r="AQ116">
        <v>483452.09159999999</v>
      </c>
      <c r="AR116">
        <v>500424.43609999999</v>
      </c>
      <c r="AS116">
        <v>517887.79259999999</v>
      </c>
      <c r="AT116">
        <v>535838.68220000004</v>
      </c>
      <c r="AU116">
        <v>554394.29960000003</v>
      </c>
      <c r="AV116">
        <v>573555.55440000002</v>
      </c>
      <c r="AW116">
        <v>593313.15469999996</v>
      </c>
      <c r="AX116">
        <v>613882.41150000005</v>
      </c>
    </row>
    <row r="117" spans="2:50" x14ac:dyDescent="0.25">
      <c r="B117" s="4"/>
      <c r="C117" s="25" t="s">
        <v>151</v>
      </c>
      <c r="D117">
        <v>16317.279498531099</v>
      </c>
      <c r="E117">
        <v>16910.843872830701</v>
      </c>
      <c r="F117">
        <v>17354.452509999999</v>
      </c>
      <c r="G117">
        <v>17686.605520000001</v>
      </c>
      <c r="H117">
        <v>18234.341960000002</v>
      </c>
      <c r="I117">
        <v>18023.438559999999</v>
      </c>
      <c r="J117">
        <v>17945.089189999999</v>
      </c>
      <c r="K117">
        <v>18412.20866</v>
      </c>
      <c r="L117">
        <v>18835.65034</v>
      </c>
      <c r="M117">
        <v>19018.219959999999</v>
      </c>
      <c r="N117">
        <v>19291.91649</v>
      </c>
      <c r="O117">
        <v>19663.449980000001</v>
      </c>
      <c r="P117">
        <v>20062.717619999999</v>
      </c>
      <c r="Q117">
        <v>20695.578799999999</v>
      </c>
      <c r="R117">
        <v>21506.225060000001</v>
      </c>
      <c r="S117">
        <v>22304.93001</v>
      </c>
      <c r="T117">
        <v>23232.576550000002</v>
      </c>
      <c r="U117">
        <v>23908.121859999999</v>
      </c>
      <c r="V117">
        <v>24686.028679999999</v>
      </c>
      <c r="W117">
        <v>25568.490610000001</v>
      </c>
      <c r="X117">
        <v>26394.112389999998</v>
      </c>
      <c r="Y117">
        <v>27118.780930000001</v>
      </c>
      <c r="Z117">
        <v>27829.401099999999</v>
      </c>
      <c r="AA117">
        <v>28530.63049</v>
      </c>
      <c r="AB117">
        <v>29315.583640000001</v>
      </c>
      <c r="AC117">
        <v>30149.814149999998</v>
      </c>
      <c r="AD117">
        <v>31008.414659999999</v>
      </c>
      <c r="AE117">
        <v>31912.873820000001</v>
      </c>
      <c r="AF117">
        <v>32868.447319999999</v>
      </c>
      <c r="AG117">
        <v>33894.781029999998</v>
      </c>
      <c r="AH117">
        <v>34978.241869999998</v>
      </c>
      <c r="AI117">
        <v>36122.295299999998</v>
      </c>
      <c r="AJ117">
        <v>37359.40122</v>
      </c>
      <c r="AK117">
        <v>38666.696880000003</v>
      </c>
      <c r="AL117">
        <v>40020.931089999998</v>
      </c>
      <c r="AM117">
        <v>41442.04883</v>
      </c>
      <c r="AN117">
        <v>42919.56538</v>
      </c>
      <c r="AO117">
        <v>44455.38149</v>
      </c>
      <c r="AP117">
        <v>46031.804669999998</v>
      </c>
      <c r="AQ117">
        <v>47658.828130000002</v>
      </c>
      <c r="AR117">
        <v>49331.966099999998</v>
      </c>
      <c r="AS117">
        <v>51053.508150000001</v>
      </c>
      <c r="AT117">
        <v>52823.111340000003</v>
      </c>
      <c r="AU117">
        <v>54652.328750000001</v>
      </c>
      <c r="AV117">
        <v>56541.250039999999</v>
      </c>
      <c r="AW117">
        <v>58488.959219999997</v>
      </c>
      <c r="AX117">
        <v>60516.681700000001</v>
      </c>
    </row>
    <row r="118" spans="2:50" x14ac:dyDescent="0.25">
      <c r="B118" s="4"/>
      <c r="C118" s="25" t="s">
        <v>158</v>
      </c>
      <c r="D118">
        <v>39.375694686332501</v>
      </c>
      <c r="E118">
        <v>40.163208580059099</v>
      </c>
      <c r="F118">
        <v>40.965571269999998</v>
      </c>
      <c r="G118">
        <v>41.668771829999997</v>
      </c>
      <c r="H118">
        <v>42.35136644</v>
      </c>
      <c r="I118">
        <v>42.869101749999999</v>
      </c>
      <c r="J118">
        <v>42.448831800000001</v>
      </c>
      <c r="K118">
        <v>41.869215029999999</v>
      </c>
      <c r="L118">
        <v>41.560260290000002</v>
      </c>
      <c r="M118">
        <v>41.492423899999999</v>
      </c>
      <c r="N118">
        <v>41.418084700000001</v>
      </c>
      <c r="O118">
        <v>41.395520490000003</v>
      </c>
      <c r="P118">
        <v>41.42978403</v>
      </c>
      <c r="Q118">
        <v>41.566799189999998</v>
      </c>
      <c r="R118">
        <v>42.090111530000001</v>
      </c>
      <c r="S118">
        <v>43.023861310000001</v>
      </c>
      <c r="T118">
        <v>43.891009769999997</v>
      </c>
      <c r="U118">
        <v>44.769848519999996</v>
      </c>
      <c r="V118">
        <v>45.663181270000003</v>
      </c>
      <c r="W118">
        <v>46.581190370000002</v>
      </c>
      <c r="X118">
        <v>47.518728979999999</v>
      </c>
      <c r="Y118">
        <v>48.46680739</v>
      </c>
      <c r="Z118">
        <v>49.435265459999997</v>
      </c>
      <c r="AA118">
        <v>50.406457869999997</v>
      </c>
      <c r="AB118">
        <v>51.36336876</v>
      </c>
      <c r="AC118">
        <v>52.328471540000002</v>
      </c>
      <c r="AD118">
        <v>53.311581179999997</v>
      </c>
      <c r="AE118">
        <v>54.318672759999998</v>
      </c>
      <c r="AF118">
        <v>55.353832709999999</v>
      </c>
      <c r="AG118">
        <v>56.426115510000002</v>
      </c>
      <c r="AH118">
        <v>57.542233979999999</v>
      </c>
      <c r="AI118">
        <v>58.688798900000002</v>
      </c>
      <c r="AJ118">
        <v>59.870694129999997</v>
      </c>
      <c r="AK118">
        <v>61.085950680000003</v>
      </c>
      <c r="AL118">
        <v>62.314690839999997</v>
      </c>
      <c r="AM118">
        <v>63.563251970000003</v>
      </c>
      <c r="AN118">
        <v>64.835652890000006</v>
      </c>
      <c r="AO118">
        <v>66.124674130000002</v>
      </c>
      <c r="AP118">
        <v>67.427120020000004</v>
      </c>
      <c r="AQ118">
        <v>68.746892380000006</v>
      </c>
      <c r="AR118">
        <v>70.086280090000002</v>
      </c>
      <c r="AS118">
        <v>71.447887929999894</v>
      </c>
      <c r="AT118">
        <v>72.834136229999999</v>
      </c>
      <c r="AU118">
        <v>74.245493640000007</v>
      </c>
      <c r="AV118">
        <v>75.684431450000005</v>
      </c>
      <c r="AW118">
        <v>77.151175519999995</v>
      </c>
      <c r="AX118">
        <v>78.660523530000006</v>
      </c>
    </row>
    <row r="119" spans="2:50" x14ac:dyDescent="0.25">
      <c r="B119" s="4"/>
      <c r="C119" s="25" t="s">
        <v>159</v>
      </c>
      <c r="D119">
        <v>5875.3438678479197</v>
      </c>
      <c r="E119">
        <v>5898.8877609486599</v>
      </c>
      <c r="F119">
        <v>5918.9688020000003</v>
      </c>
      <c r="G119">
        <v>5938.0893379999998</v>
      </c>
      <c r="H119">
        <v>5921.6735070000004</v>
      </c>
      <c r="I119">
        <v>5909.5378430000001</v>
      </c>
      <c r="J119">
        <v>5910.7674390000002</v>
      </c>
      <c r="K119">
        <v>5932.9880370000001</v>
      </c>
      <c r="L119">
        <v>5972.4200870000004</v>
      </c>
      <c r="M119">
        <v>6012.9627609999998</v>
      </c>
      <c r="N119">
        <v>6024.9931130000004</v>
      </c>
      <c r="O119">
        <v>6024.1893380000001</v>
      </c>
      <c r="P119">
        <v>6026.6725239999996</v>
      </c>
      <c r="Q119">
        <v>6047.7019030000001</v>
      </c>
      <c r="R119">
        <v>6063.2623039999999</v>
      </c>
      <c r="S119">
        <v>6066.8735820000002</v>
      </c>
      <c r="T119">
        <v>6079.9487829999998</v>
      </c>
      <c r="U119">
        <v>6090.9946470000004</v>
      </c>
      <c r="V119">
        <v>6100.7335430000003</v>
      </c>
      <c r="W119">
        <v>6113.4238139999998</v>
      </c>
      <c r="X119">
        <v>6127.0749290000003</v>
      </c>
      <c r="Y119">
        <v>6140.6731200000004</v>
      </c>
      <c r="Z119">
        <v>6152.9189319999996</v>
      </c>
      <c r="AA119">
        <v>6164.5540330000003</v>
      </c>
      <c r="AB119">
        <v>6177.1064200000001</v>
      </c>
      <c r="AC119">
        <v>6188.6466149999997</v>
      </c>
      <c r="AD119">
        <v>6198.5979369999995</v>
      </c>
      <c r="AE119">
        <v>6207.6869710000001</v>
      </c>
      <c r="AF119">
        <v>6216.2184520000001</v>
      </c>
      <c r="AG119">
        <v>6223.8599649999996</v>
      </c>
      <c r="AH119">
        <v>6230.2553939999998</v>
      </c>
      <c r="AI119">
        <v>6237.0773349999999</v>
      </c>
      <c r="AJ119">
        <v>6243.0474370000002</v>
      </c>
      <c r="AK119">
        <v>6247.6850930000001</v>
      </c>
      <c r="AL119">
        <v>6252.5660369999996</v>
      </c>
      <c r="AM119">
        <v>6257.0208560000001</v>
      </c>
      <c r="AN119">
        <v>6260.4684269999998</v>
      </c>
      <c r="AO119">
        <v>6263.6275489999998</v>
      </c>
      <c r="AP119">
        <v>6266.2167939999999</v>
      </c>
      <c r="AQ119">
        <v>6267.9314619999996</v>
      </c>
      <c r="AR119">
        <v>6269.2332340000003</v>
      </c>
      <c r="AS119">
        <v>6269.7754180000002</v>
      </c>
      <c r="AT119">
        <v>6269.6905580000002</v>
      </c>
      <c r="AU119">
        <v>6269.3469510000004</v>
      </c>
      <c r="AV119">
        <v>6268.5243250000003</v>
      </c>
      <c r="AW119">
        <v>6267.2739369999999</v>
      </c>
      <c r="AX119">
        <v>6265.1661389999999</v>
      </c>
    </row>
    <row r="120" spans="2:50" x14ac:dyDescent="0.25">
      <c r="B120" s="4"/>
      <c r="C120" s="25" t="s">
        <v>160</v>
      </c>
      <c r="D120">
        <v>0.97642519020762697</v>
      </c>
      <c r="E120">
        <v>0.98814229249011798</v>
      </c>
      <c r="F120">
        <v>1</v>
      </c>
      <c r="G120">
        <v>1.012</v>
      </c>
      <c r="H120">
        <v>1.0241439999999999</v>
      </c>
      <c r="I120">
        <v>1.036433728</v>
      </c>
      <c r="J120">
        <v>1.0488709329999999</v>
      </c>
      <c r="K120">
        <v>1.0614573839999999</v>
      </c>
      <c r="L120">
        <v>1.0741948729999999</v>
      </c>
      <c r="M120">
        <v>1.087085211</v>
      </c>
      <c r="N120">
        <v>1.1001302340000001</v>
      </c>
      <c r="O120">
        <v>1.113331796</v>
      </c>
      <c r="P120">
        <v>1.1266917780000001</v>
      </c>
      <c r="Q120">
        <v>1.1402120790000001</v>
      </c>
      <c r="R120">
        <v>1.1538946240000001</v>
      </c>
      <c r="S120">
        <v>1.16774136</v>
      </c>
      <c r="T120">
        <v>1.1817542560000001</v>
      </c>
      <c r="U120">
        <v>1.194753553</v>
      </c>
      <c r="V120">
        <v>1.2078958420000001</v>
      </c>
      <c r="W120">
        <v>1.226596947</v>
      </c>
      <c r="X120">
        <v>1.2401047249999999</v>
      </c>
      <c r="Y120">
        <v>1.248217986</v>
      </c>
      <c r="Z120">
        <v>1.257008237</v>
      </c>
      <c r="AA120">
        <v>1.2663833600000001</v>
      </c>
      <c r="AB120">
        <v>1.2764109889999999</v>
      </c>
      <c r="AC120">
        <v>1.286584102</v>
      </c>
      <c r="AD120">
        <v>1.297256237</v>
      </c>
      <c r="AE120">
        <v>1.3086671599999999</v>
      </c>
      <c r="AF120">
        <v>1.3206483760000001</v>
      </c>
      <c r="AG120">
        <v>1.333490431</v>
      </c>
      <c r="AH120">
        <v>1.3475322249999999</v>
      </c>
      <c r="AI120">
        <v>1.3629206810000001</v>
      </c>
      <c r="AJ120">
        <v>1.379979171</v>
      </c>
      <c r="AK120">
        <v>1.39901319</v>
      </c>
      <c r="AL120">
        <v>1.4188714659999999</v>
      </c>
      <c r="AM120">
        <v>1.439634981</v>
      </c>
      <c r="AN120">
        <v>1.46107075</v>
      </c>
      <c r="AO120">
        <v>1.483382451</v>
      </c>
      <c r="AP120">
        <v>1.5065307050000001</v>
      </c>
      <c r="AQ120">
        <v>1.5298493259999999</v>
      </c>
      <c r="AR120">
        <v>1.5531631290000001</v>
      </c>
      <c r="AS120">
        <v>1.5765024270000001</v>
      </c>
      <c r="AT120">
        <v>1.599996164</v>
      </c>
      <c r="AU120">
        <v>1.623719624</v>
      </c>
      <c r="AV120">
        <v>1.647851851</v>
      </c>
      <c r="AW120">
        <v>1.6722974500000001</v>
      </c>
      <c r="AX120">
        <v>1.697086356</v>
      </c>
    </row>
    <row r="121" spans="2:50" x14ac:dyDescent="0.25">
      <c r="B121" s="4"/>
      <c r="C121" s="25" t="s">
        <v>186</v>
      </c>
      <c r="D121">
        <v>0.96116878123798499</v>
      </c>
      <c r="E121">
        <v>0.98039215686274495</v>
      </c>
      <c r="F121">
        <v>0.97820824780000004</v>
      </c>
      <c r="G121">
        <v>0.98496723180000001</v>
      </c>
      <c r="H121">
        <v>0.99826355690000002</v>
      </c>
      <c r="I121">
        <v>0.99968759309999999</v>
      </c>
      <c r="J121">
        <v>0.99995771320000004</v>
      </c>
      <c r="K121">
        <v>0.99685740550000002</v>
      </c>
      <c r="L121">
        <v>0.9921762073</v>
      </c>
      <c r="M121">
        <v>0.99125017780000002</v>
      </c>
      <c r="N121">
        <v>0.99556701459999997</v>
      </c>
      <c r="O121">
        <v>1.004073148</v>
      </c>
      <c r="P121">
        <v>1.0108111129999999</v>
      </c>
      <c r="Q121">
        <v>1.021306815</v>
      </c>
      <c r="R121">
        <v>1.0377082790000001</v>
      </c>
      <c r="S121">
        <v>1.0617254279999999</v>
      </c>
      <c r="T121">
        <v>1.083178068</v>
      </c>
      <c r="U121">
        <v>1.1050454670000001</v>
      </c>
      <c r="V121">
        <v>1.127335679</v>
      </c>
      <c r="W121">
        <v>1.150068012</v>
      </c>
      <c r="X121">
        <v>1.1732575620000001</v>
      </c>
      <c r="Y121">
        <v>1.196888822</v>
      </c>
      <c r="Z121">
        <v>1.2209780960000001</v>
      </c>
      <c r="AA121">
        <v>1.2455055150000001</v>
      </c>
      <c r="AB121">
        <v>1.2704248899999999</v>
      </c>
      <c r="AC121">
        <v>1.295734691</v>
      </c>
      <c r="AD121">
        <v>1.3214492040000001</v>
      </c>
      <c r="AE121">
        <v>1.3475920130000001</v>
      </c>
      <c r="AF121">
        <v>1.374192984</v>
      </c>
      <c r="AG121">
        <v>1.4012930809999999</v>
      </c>
      <c r="AH121">
        <v>1.428944403</v>
      </c>
      <c r="AI121">
        <v>1.4571697320000001</v>
      </c>
      <c r="AJ121">
        <v>1.4859996049999999</v>
      </c>
      <c r="AK121">
        <v>1.515458838</v>
      </c>
      <c r="AL121">
        <v>1.545536161</v>
      </c>
      <c r="AM121">
        <v>1.5762338220000001</v>
      </c>
      <c r="AN121">
        <v>1.607561432</v>
      </c>
      <c r="AO121">
        <v>1.6395122090000001</v>
      </c>
      <c r="AP121">
        <v>1.6720769660000001</v>
      </c>
      <c r="AQ121">
        <v>1.705255325</v>
      </c>
      <c r="AR121">
        <v>1.7390509670000001</v>
      </c>
      <c r="AS121">
        <v>1.7734719640000001</v>
      </c>
      <c r="AT121">
        <v>1.808529928</v>
      </c>
      <c r="AU121">
        <v>1.8442368950000001</v>
      </c>
      <c r="AV121">
        <v>1.8806092729999999</v>
      </c>
      <c r="AW121">
        <v>1.9176609339999999</v>
      </c>
      <c r="AX121">
        <v>1.9554352399999999</v>
      </c>
    </row>
    <row r="122" spans="2:50" x14ac:dyDescent="0.25">
      <c r="B122" s="4"/>
      <c r="C122" s="25" t="s">
        <v>187</v>
      </c>
      <c r="D122">
        <v>364929.79887904698</v>
      </c>
      <c r="E122">
        <v>370788.864839938</v>
      </c>
      <c r="F122">
        <v>376541.95449999999</v>
      </c>
      <c r="G122">
        <v>382438.95280000003</v>
      </c>
      <c r="H122">
        <v>384758.81640000001</v>
      </c>
      <c r="I122">
        <v>389587.38290000003</v>
      </c>
      <c r="J122">
        <v>394176.38069999998</v>
      </c>
      <c r="K122">
        <v>399776.39409999998</v>
      </c>
      <c r="L122">
        <v>406266.45870000002</v>
      </c>
      <c r="M122">
        <v>412545.91310000001</v>
      </c>
      <c r="N122">
        <v>416311.72249999997</v>
      </c>
      <c r="O122">
        <v>420775.92469999997</v>
      </c>
      <c r="P122">
        <v>425959.25679999997</v>
      </c>
      <c r="Q122">
        <v>432577.49829999998</v>
      </c>
      <c r="R122">
        <v>437665.42420000001</v>
      </c>
      <c r="S122">
        <v>442663.9768</v>
      </c>
      <c r="T122">
        <v>448759.22600000002</v>
      </c>
      <c r="U122">
        <v>454837.08990000002</v>
      </c>
      <c r="V122">
        <v>460683.97249999997</v>
      </c>
      <c r="W122">
        <v>467892.47289999999</v>
      </c>
      <c r="X122">
        <v>474497.53269999998</v>
      </c>
      <c r="Y122">
        <v>479763.92869999999</v>
      </c>
      <c r="Z122">
        <v>484405.31849999999</v>
      </c>
      <c r="AA122">
        <v>488999.63400000002</v>
      </c>
      <c r="AB122">
        <v>493699.49119999999</v>
      </c>
      <c r="AC122">
        <v>498456.25050000002</v>
      </c>
      <c r="AD122">
        <v>503334.3982</v>
      </c>
      <c r="AE122">
        <v>508310.83870000002</v>
      </c>
      <c r="AF122">
        <v>513534.40019999997</v>
      </c>
      <c r="AG122">
        <v>519001.43819999998</v>
      </c>
      <c r="AH122">
        <v>524786.90689999994</v>
      </c>
      <c r="AI122">
        <v>531049.50529999996</v>
      </c>
      <c r="AJ122">
        <v>537779.94039999996</v>
      </c>
      <c r="AK122">
        <v>545087.29870000004</v>
      </c>
      <c r="AL122">
        <v>552822.60439999995</v>
      </c>
      <c r="AM122">
        <v>560923.59180000005</v>
      </c>
      <c r="AN122">
        <v>569297.1912</v>
      </c>
      <c r="AO122">
        <v>577952.34739999997</v>
      </c>
      <c r="AP122">
        <v>586890.35309999995</v>
      </c>
      <c r="AQ122">
        <v>595944.44440000004</v>
      </c>
      <c r="AR122">
        <v>605053.48340000003</v>
      </c>
      <c r="AS122">
        <v>614159.68460000004</v>
      </c>
      <c r="AT122">
        <v>623283.63419999997</v>
      </c>
      <c r="AU122">
        <v>632441.17009999999</v>
      </c>
      <c r="AV122">
        <v>641676.79310000001</v>
      </c>
      <c r="AW122">
        <v>650988.69790000003</v>
      </c>
      <c r="AX122">
        <v>660397.1176</v>
      </c>
    </row>
    <row r="123" spans="2:50" x14ac:dyDescent="0.25">
      <c r="B123" s="4"/>
      <c r="C123" s="25" t="s">
        <v>188</v>
      </c>
      <c r="D123">
        <v>0.96116878123798499</v>
      </c>
      <c r="E123">
        <v>0.98039215686274495</v>
      </c>
      <c r="F123">
        <v>0.98977929919999996</v>
      </c>
      <c r="G123">
        <v>0.99288897990000002</v>
      </c>
      <c r="H123">
        <v>1.006633289</v>
      </c>
      <c r="I123">
        <v>1.0062730310000001</v>
      </c>
      <c r="J123">
        <v>1.0163783879999999</v>
      </c>
      <c r="K123">
        <v>1.026769633</v>
      </c>
      <c r="L123">
        <v>1.0373521939999999</v>
      </c>
      <c r="M123">
        <v>1.044406336</v>
      </c>
      <c r="N123">
        <v>1.0659555709999999</v>
      </c>
      <c r="O123">
        <v>1.072491997</v>
      </c>
      <c r="P123">
        <v>1.0799584820000001</v>
      </c>
      <c r="Q123">
        <v>1.096370895</v>
      </c>
      <c r="R123">
        <v>1.1191590220000001</v>
      </c>
      <c r="S123">
        <v>1.1383808559999999</v>
      </c>
      <c r="T123">
        <v>1.1596859660000001</v>
      </c>
      <c r="U123">
        <v>1.181291992</v>
      </c>
      <c r="V123">
        <v>1.203970789</v>
      </c>
      <c r="W123">
        <v>1.2275779579999999</v>
      </c>
      <c r="X123">
        <v>1.2516064099999999</v>
      </c>
      <c r="Y123">
        <v>1.275903504</v>
      </c>
      <c r="Z123">
        <v>1.299880404</v>
      </c>
      <c r="AA123">
        <v>1.323969084</v>
      </c>
      <c r="AB123">
        <v>1.348357501</v>
      </c>
      <c r="AC123">
        <v>1.3730845700000001</v>
      </c>
      <c r="AD123">
        <v>1.3981781099999999</v>
      </c>
      <c r="AE123">
        <v>1.4238961130000001</v>
      </c>
      <c r="AF123">
        <v>1.4498362650000001</v>
      </c>
      <c r="AG123">
        <v>1.4765093469999999</v>
      </c>
      <c r="AH123">
        <v>1.503935214</v>
      </c>
      <c r="AI123">
        <v>1.5317298989999999</v>
      </c>
      <c r="AJ123">
        <v>1.5607631230000001</v>
      </c>
      <c r="AK123">
        <v>1.5903851229999999</v>
      </c>
      <c r="AL123">
        <v>1.620645283</v>
      </c>
      <c r="AM123">
        <v>1.6515302970000001</v>
      </c>
      <c r="AN123">
        <v>1.683050953</v>
      </c>
      <c r="AO123">
        <v>1.715378302</v>
      </c>
      <c r="AP123">
        <v>1.7483694009999999</v>
      </c>
      <c r="AQ123">
        <v>1.782037179</v>
      </c>
      <c r="AR123">
        <v>1.816287676</v>
      </c>
      <c r="AS123">
        <v>1.8510913680000001</v>
      </c>
      <c r="AT123">
        <v>1.886588028</v>
      </c>
      <c r="AU123">
        <v>1.922827818</v>
      </c>
      <c r="AV123">
        <v>1.9597900370000001</v>
      </c>
      <c r="AW123">
        <v>1.9974561719999999</v>
      </c>
      <c r="AX123">
        <v>2.0361601500000002</v>
      </c>
    </row>
    <row r="124" spans="2:50" x14ac:dyDescent="0.25">
      <c r="B124" s="4"/>
      <c r="C124" s="25" t="s">
        <v>189</v>
      </c>
      <c r="D124">
        <v>198321.64173969199</v>
      </c>
      <c r="E124">
        <v>201505.75984677501</v>
      </c>
      <c r="F124">
        <v>203224.54939999999</v>
      </c>
      <c r="G124">
        <v>208419.85740000001</v>
      </c>
      <c r="H124">
        <v>207947.7965</v>
      </c>
      <c r="I124">
        <v>204285.3933</v>
      </c>
      <c r="J124">
        <v>206915.29190000001</v>
      </c>
      <c r="K124">
        <v>208489.6054</v>
      </c>
      <c r="L124">
        <v>206447.44200000001</v>
      </c>
      <c r="M124">
        <v>206060.41959999999</v>
      </c>
      <c r="N124">
        <v>208025.21830000001</v>
      </c>
      <c r="O124">
        <v>210110.4964</v>
      </c>
      <c r="P124">
        <v>211725.63990000001</v>
      </c>
      <c r="Q124">
        <v>215512.52530000001</v>
      </c>
      <c r="R124">
        <v>217455.89749999999</v>
      </c>
      <c r="S124">
        <v>220683.2408</v>
      </c>
      <c r="T124">
        <v>220824.57810000001</v>
      </c>
      <c r="U124">
        <v>222079.81599999999</v>
      </c>
      <c r="V124">
        <v>223568.47200000001</v>
      </c>
      <c r="W124">
        <v>227154.54190000001</v>
      </c>
      <c r="X124">
        <v>229076.8118</v>
      </c>
      <c r="Y124">
        <v>230087.38829999999</v>
      </c>
      <c r="Z124">
        <v>231098.67389999999</v>
      </c>
      <c r="AA124">
        <v>232101.80300000001</v>
      </c>
      <c r="AB124">
        <v>233385.3064</v>
      </c>
      <c r="AC124">
        <v>234726.75090000001</v>
      </c>
      <c r="AD124">
        <v>236170.01699999999</v>
      </c>
      <c r="AE124">
        <v>237702.06659999999</v>
      </c>
      <c r="AF124">
        <v>239105.3315</v>
      </c>
      <c r="AG124">
        <v>240813.64559999999</v>
      </c>
      <c r="AH124">
        <v>242677.17869999999</v>
      </c>
      <c r="AI124">
        <v>244596.2366</v>
      </c>
      <c r="AJ124">
        <v>247082.8345</v>
      </c>
      <c r="AK124">
        <v>249587.8983</v>
      </c>
      <c r="AL124">
        <v>252239.984</v>
      </c>
      <c r="AM124">
        <v>254983.3278</v>
      </c>
      <c r="AN124">
        <v>257760.0361</v>
      </c>
      <c r="AO124">
        <v>260465.63389999999</v>
      </c>
      <c r="AP124">
        <v>263273.76630000002</v>
      </c>
      <c r="AQ124">
        <v>266091.70770000003</v>
      </c>
      <c r="AR124">
        <v>269036.3407</v>
      </c>
      <c r="AS124">
        <v>271952.4889</v>
      </c>
      <c r="AT124">
        <v>274895.69270000001</v>
      </c>
      <c r="AU124">
        <v>277919.92349999998</v>
      </c>
      <c r="AV124">
        <v>280973.80829999998</v>
      </c>
      <c r="AW124">
        <v>284063.78249999997</v>
      </c>
      <c r="AX124">
        <v>287587.40509999997</v>
      </c>
    </row>
    <row r="125" spans="2:50" x14ac:dyDescent="0.25">
      <c r="B125" s="4"/>
      <c r="C125" s="25" t="s">
        <v>190</v>
      </c>
      <c r="D125">
        <v>0.96116878123798499</v>
      </c>
      <c r="E125">
        <v>0.98039215686274495</v>
      </c>
      <c r="F125">
        <v>0.98414444459999995</v>
      </c>
      <c r="G125">
        <v>0.9856268722</v>
      </c>
      <c r="H125">
        <v>0.99582313580000004</v>
      </c>
      <c r="I125">
        <v>1.002391646</v>
      </c>
      <c r="J125">
        <v>1.0062091209999999</v>
      </c>
      <c r="K125">
        <v>1.0074997409999999</v>
      </c>
      <c r="L125">
        <v>1.0109947079999999</v>
      </c>
      <c r="M125">
        <v>1.0169815099999999</v>
      </c>
      <c r="N125">
        <v>1.0238726760000001</v>
      </c>
      <c r="O125">
        <v>1.032792757</v>
      </c>
      <c r="P125">
        <v>1.039514608</v>
      </c>
      <c r="Q125">
        <v>1.0501446569999999</v>
      </c>
      <c r="R125">
        <v>1.066775029</v>
      </c>
      <c r="S125">
        <v>1.088021704</v>
      </c>
      <c r="T125">
        <v>1.1098023619999999</v>
      </c>
      <c r="U125">
        <v>1.1321263349999999</v>
      </c>
      <c r="V125">
        <v>1.1548408029999999</v>
      </c>
      <c r="W125">
        <v>1.177987632</v>
      </c>
      <c r="X125">
        <v>1.201798409</v>
      </c>
      <c r="Y125">
        <v>1.2258238930000001</v>
      </c>
      <c r="Z125">
        <v>1.2503642639999999</v>
      </c>
      <c r="AA125">
        <v>1.2753548610000001</v>
      </c>
      <c r="AB125">
        <v>1.3007201909999999</v>
      </c>
      <c r="AC125">
        <v>1.3264927200000001</v>
      </c>
      <c r="AD125">
        <v>1.3527071829999999</v>
      </c>
      <c r="AE125">
        <v>1.3791070459999999</v>
      </c>
      <c r="AF125">
        <v>1.406067808</v>
      </c>
      <c r="AG125">
        <v>1.4335644700000001</v>
      </c>
      <c r="AH125">
        <v>1.4617360230000001</v>
      </c>
      <c r="AI125">
        <v>1.490563093</v>
      </c>
      <c r="AJ125">
        <v>1.520053074</v>
      </c>
      <c r="AK125">
        <v>1.5502125680000001</v>
      </c>
      <c r="AL125">
        <v>1.581007592</v>
      </c>
      <c r="AM125">
        <v>1.612412951</v>
      </c>
      <c r="AN125">
        <v>1.644443986</v>
      </c>
      <c r="AO125">
        <v>1.677004065</v>
      </c>
      <c r="AP125">
        <v>1.7101459240000001</v>
      </c>
      <c r="AQ125">
        <v>1.743887253</v>
      </c>
      <c r="AR125">
        <v>1.778245181</v>
      </c>
      <c r="AS125">
        <v>1.8132265970000001</v>
      </c>
      <c r="AT125">
        <v>1.8488762379999999</v>
      </c>
      <c r="AU125">
        <v>1.8852030259999999</v>
      </c>
      <c r="AV125">
        <v>1.9222310810000001</v>
      </c>
      <c r="AW125">
        <v>1.959937204</v>
      </c>
      <c r="AX125">
        <v>1.9985205669999999</v>
      </c>
    </row>
    <row r="126" spans="2:50" x14ac:dyDescent="0.25">
      <c r="B126" s="4"/>
      <c r="C126" s="25" t="s">
        <v>191</v>
      </c>
      <c r="D126">
        <v>72992.352842344597</v>
      </c>
      <c r="E126">
        <v>74164.268677273896</v>
      </c>
      <c r="F126">
        <v>75028.602989999999</v>
      </c>
      <c r="G126">
        <v>77499.152910000004</v>
      </c>
      <c r="H126">
        <v>77501.454589999994</v>
      </c>
      <c r="I126">
        <v>73617.101009999998</v>
      </c>
      <c r="J126">
        <v>75681.080059999906</v>
      </c>
      <c r="K126">
        <v>77147.061040000001</v>
      </c>
      <c r="L126">
        <v>77229.840249999994</v>
      </c>
      <c r="M126">
        <v>77346.905190000005</v>
      </c>
      <c r="N126">
        <v>78302.544049999997</v>
      </c>
      <c r="O126">
        <v>79396.446460000006</v>
      </c>
      <c r="P126">
        <v>80289.975999999995</v>
      </c>
      <c r="Q126">
        <v>82896.528210000004</v>
      </c>
      <c r="R126">
        <v>84693.005999999994</v>
      </c>
      <c r="S126">
        <v>86731.783739999999</v>
      </c>
      <c r="T126">
        <v>87471.933120000002</v>
      </c>
      <c r="U126">
        <v>88753.144469999999</v>
      </c>
      <c r="V126">
        <v>89752.424580000006</v>
      </c>
      <c r="W126">
        <v>91324.753989999997</v>
      </c>
      <c r="X126">
        <v>92587.586779999998</v>
      </c>
      <c r="Y126">
        <v>93520.619330000001</v>
      </c>
      <c r="Z126">
        <v>94107.349230000007</v>
      </c>
      <c r="AA126">
        <v>94924.949739999996</v>
      </c>
      <c r="AB126">
        <v>95870.513030000002</v>
      </c>
      <c r="AC126">
        <v>96880.276490000004</v>
      </c>
      <c r="AD126">
        <v>97980.874379999994</v>
      </c>
      <c r="AE126">
        <v>98830.217329999999</v>
      </c>
      <c r="AF126">
        <v>99789.054629999999</v>
      </c>
      <c r="AG126">
        <v>100804.3613</v>
      </c>
      <c r="AH126">
        <v>101872.55650000001</v>
      </c>
      <c r="AI126">
        <v>103075.878</v>
      </c>
      <c r="AJ126">
        <v>104342.78200000001</v>
      </c>
      <c r="AK126">
        <v>105679.74069999999</v>
      </c>
      <c r="AL126">
        <v>107087.3887</v>
      </c>
      <c r="AM126">
        <v>108551.46980000001</v>
      </c>
      <c r="AN126">
        <v>110047.1347</v>
      </c>
      <c r="AO126">
        <v>111544.1302</v>
      </c>
      <c r="AP126">
        <v>113111.9112</v>
      </c>
      <c r="AQ126">
        <v>114680.0962</v>
      </c>
      <c r="AR126">
        <v>116269.18240000001</v>
      </c>
      <c r="AS126">
        <v>117847.7058</v>
      </c>
      <c r="AT126">
        <v>119457.319</v>
      </c>
      <c r="AU126">
        <v>121069.1057</v>
      </c>
      <c r="AV126">
        <v>122698.89780000001</v>
      </c>
      <c r="AW126">
        <v>124345.5203</v>
      </c>
      <c r="AX126">
        <v>126065.7534</v>
      </c>
    </row>
    <row r="127" spans="2:50" x14ac:dyDescent="0.25">
      <c r="B127" s="4"/>
      <c r="C127" s="25" t="s">
        <v>192</v>
      </c>
      <c r="D127">
        <v>0.96116878123798499</v>
      </c>
      <c r="E127">
        <v>0.98039215686274495</v>
      </c>
      <c r="F127">
        <v>1</v>
      </c>
      <c r="G127">
        <v>0.99560831350000001</v>
      </c>
      <c r="H127">
        <v>0.98315372249999999</v>
      </c>
      <c r="I127">
        <v>0.97885170590000004</v>
      </c>
      <c r="J127">
        <v>0.99099076379999995</v>
      </c>
      <c r="K127">
        <v>0.97759777889999999</v>
      </c>
      <c r="L127">
        <v>0.94610756750000002</v>
      </c>
      <c r="M127">
        <v>0.94724385239999997</v>
      </c>
      <c r="N127">
        <v>0.45550710300000002</v>
      </c>
      <c r="O127">
        <v>0.96144126330000002</v>
      </c>
      <c r="P127">
        <v>0.96583207280000005</v>
      </c>
      <c r="Q127">
        <v>0.97354361339999995</v>
      </c>
      <c r="R127">
        <v>0.96540924169999998</v>
      </c>
      <c r="S127">
        <v>0.96862616359999998</v>
      </c>
      <c r="T127">
        <v>1.0052231140000001</v>
      </c>
      <c r="U127">
        <v>1.0242144070000001</v>
      </c>
      <c r="V127">
        <v>1.0462609730000001</v>
      </c>
      <c r="W127">
        <v>1.0484452259999999</v>
      </c>
      <c r="X127">
        <v>1.0668486619999999</v>
      </c>
      <c r="Y127">
        <v>1.089727704</v>
      </c>
      <c r="Z127">
        <v>1.107556617</v>
      </c>
      <c r="AA127">
        <v>1.1308332640000001</v>
      </c>
      <c r="AB127">
        <v>1.156252558</v>
      </c>
      <c r="AC127">
        <v>1.1559207199999999</v>
      </c>
      <c r="AD127">
        <v>1.2087321870000001</v>
      </c>
      <c r="AE127">
        <v>1.235514228</v>
      </c>
      <c r="AF127">
        <v>1.2625554510000001</v>
      </c>
      <c r="AG127">
        <v>1.2891389900000001</v>
      </c>
      <c r="AH127">
        <v>1.3187590220000001</v>
      </c>
      <c r="AI127">
        <v>1.3467662090000001</v>
      </c>
      <c r="AJ127">
        <v>1.3765899770000001</v>
      </c>
      <c r="AK127">
        <v>1.406911139</v>
      </c>
      <c r="AL127">
        <v>1.4326288149999999</v>
      </c>
      <c r="AM127">
        <v>1.4775265150000001</v>
      </c>
      <c r="AN127">
        <v>1.507302597</v>
      </c>
      <c r="AO127">
        <v>1.538709761</v>
      </c>
      <c r="AP127">
        <v>1.5697833240000001</v>
      </c>
      <c r="AQ127">
        <v>1.601438444</v>
      </c>
      <c r="AR127">
        <v>1.6335969589999999</v>
      </c>
      <c r="AS127">
        <v>1.6664064569999999</v>
      </c>
      <c r="AT127">
        <v>1.690328131</v>
      </c>
      <c r="AU127">
        <v>1.722610129</v>
      </c>
      <c r="AV127">
        <v>1.7586955630000001</v>
      </c>
      <c r="AW127">
        <v>1.791664165</v>
      </c>
      <c r="AX127">
        <v>1.8266011179999999</v>
      </c>
    </row>
    <row r="128" spans="2:50" x14ac:dyDescent="0.25">
      <c r="B128" s="4"/>
      <c r="C128" s="25" t="s">
        <v>193</v>
      </c>
      <c r="F128">
        <v>41720</v>
      </c>
      <c r="G128">
        <v>39631.653859999999</v>
      </c>
      <c r="H128">
        <v>41445.354160000003</v>
      </c>
      <c r="I128">
        <v>38806.032950000001</v>
      </c>
      <c r="J128">
        <v>35559.61808</v>
      </c>
      <c r="K128">
        <v>40367.195829999997</v>
      </c>
      <c r="L128">
        <v>43902.987939999999</v>
      </c>
      <c r="M128">
        <v>42594.149160000001</v>
      </c>
      <c r="N128">
        <v>88414.360060000006</v>
      </c>
      <c r="O128">
        <v>43412.504099999998</v>
      </c>
      <c r="P128">
        <v>44165.526380000003</v>
      </c>
      <c r="Q128">
        <v>44972.975729999998</v>
      </c>
      <c r="R128">
        <v>47391.595410000002</v>
      </c>
      <c r="S128">
        <v>47786.788569999997</v>
      </c>
      <c r="T128">
        <v>48476.369930000001</v>
      </c>
      <c r="U128">
        <v>48543.886169999998</v>
      </c>
      <c r="V128">
        <v>49269.477449999998</v>
      </c>
      <c r="W128">
        <v>49566.010309999998</v>
      </c>
      <c r="X128">
        <v>50327.305820000001</v>
      </c>
      <c r="Y128">
        <v>50558.688009999998</v>
      </c>
      <c r="Z128">
        <v>50740.421889999998</v>
      </c>
      <c r="AA128">
        <v>50286.911289999996</v>
      </c>
      <c r="AB128">
        <v>50440.185360000003</v>
      </c>
      <c r="AC128">
        <v>51426.749949999998</v>
      </c>
      <c r="AD128">
        <v>51340.655590000002</v>
      </c>
      <c r="AE128">
        <v>51934.355179999999</v>
      </c>
      <c r="AF128">
        <v>52288.212740000003</v>
      </c>
      <c r="AG128">
        <v>52788.06985</v>
      </c>
      <c r="AH128">
        <v>53324.237119999998</v>
      </c>
      <c r="AI128">
        <v>53862.562030000001</v>
      </c>
      <c r="AJ128">
        <v>54552.441319999998</v>
      </c>
      <c r="AK128">
        <v>55217.3413</v>
      </c>
      <c r="AL128">
        <v>56030.980150000003</v>
      </c>
      <c r="AM128">
        <v>56306.545489999997</v>
      </c>
      <c r="AN128">
        <v>57077.628779999999</v>
      </c>
      <c r="AO128">
        <v>57879.55012</v>
      </c>
      <c r="AP128">
        <v>58561.838369999998</v>
      </c>
      <c r="AQ128">
        <v>59360.622660000001</v>
      </c>
      <c r="AR128">
        <v>60173.954740000001</v>
      </c>
      <c r="AS128">
        <v>61048.468399999998</v>
      </c>
      <c r="AT128">
        <v>62191.091500000002</v>
      </c>
      <c r="AU128">
        <v>63114.432889999996</v>
      </c>
      <c r="AV128">
        <v>63884.823299999996</v>
      </c>
      <c r="AW128">
        <v>64713.685649999999</v>
      </c>
      <c r="AX128">
        <v>65583.389609999998</v>
      </c>
    </row>
    <row r="129" spans="2:50" x14ac:dyDescent="0.25">
      <c r="B129" s="4"/>
      <c r="C129" s="25" t="s">
        <v>194</v>
      </c>
      <c r="D129">
        <v>0.96116878123798499</v>
      </c>
      <c r="E129">
        <v>0.98039215686274495</v>
      </c>
      <c r="F129">
        <v>0.9837405548</v>
      </c>
      <c r="G129">
        <v>0.98439428409999996</v>
      </c>
      <c r="H129">
        <v>0.99096267520000003</v>
      </c>
      <c r="I129">
        <v>0.99642738959999999</v>
      </c>
      <c r="J129">
        <v>0.99924838179999997</v>
      </c>
      <c r="K129">
        <v>0.99872682830000004</v>
      </c>
      <c r="L129">
        <v>1.0012301370000001</v>
      </c>
      <c r="M129">
        <v>1.0069296910000001</v>
      </c>
      <c r="N129">
        <v>1.0164788870000001</v>
      </c>
      <c r="O129">
        <v>1.0270370360000001</v>
      </c>
      <c r="P129">
        <v>1.0331480609999999</v>
      </c>
      <c r="Q129">
        <v>1.0408791120000001</v>
      </c>
      <c r="R129">
        <v>1.053291301</v>
      </c>
      <c r="S129">
        <v>1.0711003939999999</v>
      </c>
      <c r="T129">
        <v>1.0927176569999999</v>
      </c>
      <c r="U129">
        <v>1.114674538</v>
      </c>
      <c r="V129">
        <v>1.137093369</v>
      </c>
      <c r="W129">
        <v>1.1599942679999999</v>
      </c>
      <c r="X129">
        <v>1.183370966</v>
      </c>
      <c r="Y129">
        <v>1.2071466289999999</v>
      </c>
      <c r="Z129">
        <v>1.2312896950000001</v>
      </c>
      <c r="AA129">
        <v>1.2558085649999999</v>
      </c>
      <c r="AB129">
        <v>1.280651746</v>
      </c>
      <c r="AC129">
        <v>1.3058312160000001</v>
      </c>
      <c r="AD129">
        <v>1.3313964330000001</v>
      </c>
      <c r="AE129">
        <v>1.3574389899999999</v>
      </c>
      <c r="AF129">
        <v>1.3840625639999999</v>
      </c>
      <c r="AG129">
        <v>1.4112930669999999</v>
      </c>
      <c r="AH129">
        <v>1.4391859069999999</v>
      </c>
      <c r="AI129">
        <v>1.4677891439999999</v>
      </c>
      <c r="AJ129">
        <v>1.497043197</v>
      </c>
      <c r="AK129">
        <v>1.52696276</v>
      </c>
      <c r="AL129">
        <v>1.557503233</v>
      </c>
      <c r="AM129">
        <v>1.588637547</v>
      </c>
      <c r="AN129">
        <v>1.6203746379999999</v>
      </c>
      <c r="AO129">
        <v>1.652655628</v>
      </c>
      <c r="AP129">
        <v>1.6854741609999999</v>
      </c>
      <c r="AQ129">
        <v>1.7188582050000001</v>
      </c>
      <c r="AR129">
        <v>1.752830237</v>
      </c>
      <c r="AS129">
        <v>1.787414187</v>
      </c>
      <c r="AT129">
        <v>1.822632375</v>
      </c>
      <c r="AU129">
        <v>1.8585074450000001</v>
      </c>
      <c r="AV129">
        <v>1.895066833</v>
      </c>
      <c r="AW129">
        <v>1.932322651</v>
      </c>
      <c r="AX129">
        <v>1.970413835</v>
      </c>
    </row>
    <row r="130" spans="2:50" x14ac:dyDescent="0.25">
      <c r="B130" s="4"/>
      <c r="C130" s="25" t="s">
        <v>195</v>
      </c>
      <c r="D130">
        <v>241263.67592729401</v>
      </c>
      <c r="E130">
        <v>245137.24228325399</v>
      </c>
      <c r="F130">
        <v>252428.46249999999</v>
      </c>
      <c r="G130">
        <v>263170.51799999998</v>
      </c>
      <c r="H130">
        <v>268742.71529999998</v>
      </c>
      <c r="I130">
        <v>262063.36240000001</v>
      </c>
      <c r="J130">
        <v>258455.5122</v>
      </c>
      <c r="K130">
        <v>260192.98749999999</v>
      </c>
      <c r="L130">
        <v>262021.28700000001</v>
      </c>
      <c r="M130">
        <v>263131.36229999998</v>
      </c>
      <c r="N130">
        <v>263356.62929999997</v>
      </c>
      <c r="O130">
        <v>264212.1531</v>
      </c>
      <c r="P130">
        <v>267170.3616</v>
      </c>
      <c r="Q130">
        <v>273868.93339999998</v>
      </c>
      <c r="R130">
        <v>281847.48450000002</v>
      </c>
      <c r="S130">
        <v>290817.92099999997</v>
      </c>
      <c r="T130">
        <v>294813.87599999999</v>
      </c>
      <c r="U130">
        <v>298459.65480000002</v>
      </c>
      <c r="V130">
        <v>302182.44780000002</v>
      </c>
      <c r="W130">
        <v>307580.16139999998</v>
      </c>
      <c r="X130">
        <v>311654.3812</v>
      </c>
      <c r="Y130">
        <v>314297.02510000003</v>
      </c>
      <c r="Z130">
        <v>316938.24589999998</v>
      </c>
      <c r="AA130">
        <v>319518.0245</v>
      </c>
      <c r="AB130">
        <v>322172.86680000002</v>
      </c>
      <c r="AC130">
        <v>324865.2476</v>
      </c>
      <c r="AD130">
        <v>327694.43119999999</v>
      </c>
      <c r="AE130">
        <v>330812.80379999999</v>
      </c>
      <c r="AF130">
        <v>334195.50089999998</v>
      </c>
      <c r="AG130">
        <v>337890.99300000002</v>
      </c>
      <c r="AH130">
        <v>341914.3101</v>
      </c>
      <c r="AI130">
        <v>346342.8333</v>
      </c>
      <c r="AJ130">
        <v>351155.9902</v>
      </c>
      <c r="AK130">
        <v>356375.033</v>
      </c>
      <c r="AL130">
        <v>361730.97779999999</v>
      </c>
      <c r="AM130">
        <v>367273.51059999998</v>
      </c>
      <c r="AN130">
        <v>372939.43339999998</v>
      </c>
      <c r="AO130">
        <v>378691.02399999998</v>
      </c>
      <c r="AP130">
        <v>384523.75550000003</v>
      </c>
      <c r="AQ130">
        <v>390295.07510000002</v>
      </c>
      <c r="AR130">
        <v>396026.4045</v>
      </c>
      <c r="AS130">
        <v>401719.50339999999</v>
      </c>
      <c r="AT130">
        <v>407414.39610000001</v>
      </c>
      <c r="AU130">
        <v>413153.62890000001</v>
      </c>
      <c r="AV130">
        <v>418974.11979999999</v>
      </c>
      <c r="AW130">
        <v>424852.92820000002</v>
      </c>
      <c r="AX130">
        <v>431004.59490000003</v>
      </c>
    </row>
    <row r="131" spans="2:50" x14ac:dyDescent="0.25">
      <c r="B131" s="4"/>
      <c r="C131" s="25" t="s">
        <v>196</v>
      </c>
      <c r="D131">
        <v>0.96116878123798499</v>
      </c>
      <c r="E131">
        <v>0.98039215686274495</v>
      </c>
      <c r="F131">
        <v>0.9837405548</v>
      </c>
      <c r="G131">
        <v>0.98439428409999996</v>
      </c>
      <c r="H131">
        <v>0.99096267520000003</v>
      </c>
      <c r="I131">
        <v>0.99642738959999999</v>
      </c>
      <c r="J131">
        <v>0.99924838179999997</v>
      </c>
      <c r="K131">
        <v>0.99872682830000004</v>
      </c>
      <c r="L131">
        <v>1.0012301370000001</v>
      </c>
      <c r="M131">
        <v>1.0069296910000001</v>
      </c>
      <c r="N131">
        <v>1.0164788870000001</v>
      </c>
      <c r="O131">
        <v>1.0270370360000001</v>
      </c>
      <c r="P131">
        <v>1.0331480609999999</v>
      </c>
      <c r="Q131">
        <v>1.0408791120000001</v>
      </c>
      <c r="R131">
        <v>1.053291301</v>
      </c>
      <c r="S131">
        <v>1.0711003939999999</v>
      </c>
      <c r="T131">
        <v>1.0927176569999999</v>
      </c>
      <c r="U131">
        <v>1.114674538</v>
      </c>
      <c r="V131">
        <v>1.137093369</v>
      </c>
      <c r="W131">
        <v>1.1599942679999999</v>
      </c>
      <c r="X131">
        <v>1.183370966</v>
      </c>
      <c r="Y131">
        <v>1.2071466289999999</v>
      </c>
      <c r="Z131">
        <v>1.2312896950000001</v>
      </c>
      <c r="AA131">
        <v>1.2558085649999999</v>
      </c>
      <c r="AB131">
        <v>1.280651746</v>
      </c>
      <c r="AC131">
        <v>1.3058312160000001</v>
      </c>
      <c r="AD131">
        <v>1.3313964330000001</v>
      </c>
      <c r="AE131">
        <v>1.3574389899999999</v>
      </c>
      <c r="AF131">
        <v>1.3840625639999999</v>
      </c>
      <c r="AG131">
        <v>1.4112930669999999</v>
      </c>
      <c r="AH131">
        <v>1.4391859069999999</v>
      </c>
      <c r="AI131">
        <v>1.4677891439999999</v>
      </c>
      <c r="AJ131">
        <v>1.497043197</v>
      </c>
      <c r="AK131">
        <v>1.52696276</v>
      </c>
      <c r="AL131">
        <v>1.557503233</v>
      </c>
      <c r="AM131">
        <v>1.588637547</v>
      </c>
      <c r="AN131">
        <v>1.6203746379999999</v>
      </c>
      <c r="AO131">
        <v>1.652655628</v>
      </c>
      <c r="AP131">
        <v>1.6854741609999999</v>
      </c>
      <c r="AQ131">
        <v>1.7188582050000001</v>
      </c>
      <c r="AR131">
        <v>1.752830237</v>
      </c>
      <c r="AS131">
        <v>1.787414187</v>
      </c>
      <c r="AT131">
        <v>1.822632375</v>
      </c>
      <c r="AU131">
        <v>1.8585074450000001</v>
      </c>
      <c r="AV131">
        <v>1.895066833</v>
      </c>
      <c r="AW131">
        <v>1.932322651</v>
      </c>
      <c r="AX131">
        <v>1.970413835</v>
      </c>
    </row>
    <row r="132" spans="2:50" x14ac:dyDescent="0.25">
      <c r="B132" s="4"/>
      <c r="C132" s="25" t="s">
        <v>197</v>
      </c>
      <c r="D132">
        <v>117275.962355893</v>
      </c>
      <c r="E132">
        <v>119158.865865502</v>
      </c>
      <c r="F132">
        <v>122688.65579999999</v>
      </c>
      <c r="G132">
        <v>128028.9629</v>
      </c>
      <c r="H132">
        <v>130947.2726</v>
      </c>
      <c r="I132">
        <v>128449.25260000001</v>
      </c>
      <c r="J132">
        <v>127046.13069999999</v>
      </c>
      <c r="K132">
        <v>127905.106</v>
      </c>
      <c r="L132">
        <v>128884.5439</v>
      </c>
      <c r="M132">
        <v>130178.9555</v>
      </c>
      <c r="N132">
        <v>130317.72199999999</v>
      </c>
      <c r="O132">
        <v>130750.22410000001</v>
      </c>
      <c r="P132">
        <v>132089.50599999999</v>
      </c>
      <c r="Q132">
        <v>135206.39739999999</v>
      </c>
      <c r="R132">
        <v>139003.94130000001</v>
      </c>
      <c r="S132">
        <v>143340.02050000001</v>
      </c>
      <c r="T132">
        <v>145325.9161</v>
      </c>
      <c r="U132">
        <v>147121.12400000001</v>
      </c>
      <c r="V132">
        <v>148937.6249</v>
      </c>
      <c r="W132">
        <v>151573.22510000001</v>
      </c>
      <c r="X132">
        <v>153578.0079</v>
      </c>
      <c r="Y132">
        <v>154890.40429999999</v>
      </c>
      <c r="Z132">
        <v>156201.55590000001</v>
      </c>
      <c r="AA132">
        <v>157484.63</v>
      </c>
      <c r="AB132">
        <v>158803.32769999999</v>
      </c>
      <c r="AC132">
        <v>160138.1758</v>
      </c>
      <c r="AD132">
        <v>161538.81510000001</v>
      </c>
      <c r="AE132">
        <v>163076.18410000001</v>
      </c>
      <c r="AF132">
        <v>164744.16959999999</v>
      </c>
      <c r="AG132">
        <v>166566.2175</v>
      </c>
      <c r="AH132">
        <v>168551.26310000001</v>
      </c>
      <c r="AI132">
        <v>170739.26809999999</v>
      </c>
      <c r="AJ132">
        <v>173115.69270000001</v>
      </c>
      <c r="AK132">
        <v>175693.69680000001</v>
      </c>
      <c r="AL132">
        <v>178339.91399999999</v>
      </c>
      <c r="AM132">
        <v>181078.74419999999</v>
      </c>
      <c r="AN132">
        <v>183878.85440000001</v>
      </c>
      <c r="AO132">
        <v>186732.5569</v>
      </c>
      <c r="AP132">
        <v>189632.29889999999</v>
      </c>
      <c r="AQ132">
        <v>192504.54810000001</v>
      </c>
      <c r="AR132">
        <v>195357.02619999999</v>
      </c>
      <c r="AS132">
        <v>198190.19029999999</v>
      </c>
      <c r="AT132">
        <v>201025.78649999999</v>
      </c>
      <c r="AU132">
        <v>203884.4803</v>
      </c>
      <c r="AV132">
        <v>206784.16459999999</v>
      </c>
      <c r="AW132">
        <v>209713.60829999999</v>
      </c>
      <c r="AX132">
        <v>212760.3481</v>
      </c>
    </row>
    <row r="133" spans="2:50" x14ac:dyDescent="0.25">
      <c r="B133" s="4"/>
      <c r="C133" s="25" t="s">
        <v>164</v>
      </c>
      <c r="D133">
        <v>0.96116878123798499</v>
      </c>
      <c r="E133">
        <v>0.98039215686274495</v>
      </c>
      <c r="F133">
        <v>0.97579872170000004</v>
      </c>
      <c r="G133">
        <v>0.96922966669999999</v>
      </c>
      <c r="H133">
        <v>1.01679575</v>
      </c>
      <c r="I133">
        <v>0.96537061810000002</v>
      </c>
      <c r="J133">
        <v>0.98679906539999995</v>
      </c>
      <c r="K133">
        <v>1.0369927370000001</v>
      </c>
      <c r="L133">
        <v>1.083024969</v>
      </c>
      <c r="M133">
        <v>1.0835506640000001</v>
      </c>
      <c r="N133">
        <v>1.0703967919999999</v>
      </c>
      <c r="O133">
        <v>1.0339060090000001</v>
      </c>
      <c r="P133">
        <v>1.014265808</v>
      </c>
      <c r="Q133">
        <v>1.0601220330000001</v>
      </c>
      <c r="R133">
        <v>1.1460073740000001</v>
      </c>
      <c r="S133">
        <v>1.182573951</v>
      </c>
      <c r="T133">
        <v>1.20891747</v>
      </c>
      <c r="U133">
        <v>1.234388193</v>
      </c>
      <c r="V133">
        <v>1.2613496200000001</v>
      </c>
      <c r="W133">
        <v>1.287053819</v>
      </c>
      <c r="X133">
        <v>1.3164112779999999</v>
      </c>
      <c r="Y133">
        <v>1.3399912119999999</v>
      </c>
      <c r="Z133">
        <v>1.3625281339999999</v>
      </c>
      <c r="AA133">
        <v>1.3858346969999999</v>
      </c>
      <c r="AB133">
        <v>1.4095925</v>
      </c>
      <c r="AC133">
        <v>1.4339928390000001</v>
      </c>
      <c r="AD133">
        <v>1.4586878430000001</v>
      </c>
      <c r="AE133">
        <v>1.483358658</v>
      </c>
      <c r="AF133">
        <v>1.50847373</v>
      </c>
      <c r="AG133">
        <v>1.5328129749999999</v>
      </c>
      <c r="AH133">
        <v>1.5586175120000001</v>
      </c>
      <c r="AI133">
        <v>1.5838619780000001</v>
      </c>
      <c r="AJ133">
        <v>1.610119034</v>
      </c>
      <c r="AK133">
        <v>1.6370984900000001</v>
      </c>
      <c r="AL133">
        <v>1.6648157800000001</v>
      </c>
      <c r="AM133">
        <v>1.693143324</v>
      </c>
      <c r="AN133">
        <v>1.7222592329999999</v>
      </c>
      <c r="AO133">
        <v>1.7523842460000001</v>
      </c>
      <c r="AP133">
        <v>1.7831934279999999</v>
      </c>
      <c r="AQ133">
        <v>1.814943835</v>
      </c>
      <c r="AR133">
        <v>1.847450051</v>
      </c>
      <c r="AS133">
        <v>1.8807101369999999</v>
      </c>
      <c r="AT133">
        <v>1.915243512</v>
      </c>
      <c r="AU133">
        <v>1.950709646</v>
      </c>
      <c r="AV133">
        <v>1.9877311529999999</v>
      </c>
      <c r="AW133">
        <v>2.0244724239999998</v>
      </c>
      <c r="AX133">
        <v>2.0618727090000002</v>
      </c>
    </row>
    <row r="134" spans="2:50" x14ac:dyDescent="0.25">
      <c r="B134" s="4"/>
      <c r="C134" s="25" t="s">
        <v>165</v>
      </c>
      <c r="D134">
        <v>6240.0203969263302</v>
      </c>
      <c r="E134">
        <v>6340.2059427907698</v>
      </c>
      <c r="F134">
        <v>6469.6179400000001</v>
      </c>
      <c r="G134">
        <v>6611.6570320000001</v>
      </c>
      <c r="H134">
        <v>6618.2921649999998</v>
      </c>
      <c r="I134">
        <v>6789.5942450000002</v>
      </c>
      <c r="J134">
        <v>6812.2372910000004</v>
      </c>
      <c r="K134">
        <v>6793.1647370000001</v>
      </c>
      <c r="L134">
        <v>6788.7557980000001</v>
      </c>
      <c r="M134">
        <v>6846.032698</v>
      </c>
      <c r="N134">
        <v>6893.5129550000001</v>
      </c>
      <c r="O134">
        <v>6994.3660490000002</v>
      </c>
      <c r="P134">
        <v>6735.5194309999997</v>
      </c>
      <c r="Q134">
        <v>6476.6728199999998</v>
      </c>
      <c r="R134">
        <v>6217.8262029999996</v>
      </c>
      <c r="S134">
        <v>5958.9795860000004</v>
      </c>
      <c r="T134">
        <v>5700.1329669999996</v>
      </c>
      <c r="U134">
        <v>5700.1329669999996</v>
      </c>
      <c r="V134">
        <v>5700.1329669999996</v>
      </c>
      <c r="W134">
        <v>5700.1329669999996</v>
      </c>
      <c r="X134">
        <v>5656.8979019999997</v>
      </c>
      <c r="Y134">
        <v>5613.6628380000002</v>
      </c>
      <c r="Z134">
        <v>5570.4277730000003</v>
      </c>
      <c r="AA134">
        <v>5527.1927089999999</v>
      </c>
      <c r="AB134">
        <v>5483.9576440000001</v>
      </c>
      <c r="AC134">
        <v>5440.7225799999997</v>
      </c>
      <c r="AD134">
        <v>5397.4875160000001</v>
      </c>
      <c r="AE134">
        <v>5354.2524510000003</v>
      </c>
      <c r="AF134">
        <v>5311.0173860000004</v>
      </c>
      <c r="AG134">
        <v>5267.782322</v>
      </c>
      <c r="AH134">
        <v>5224.5472570000002</v>
      </c>
      <c r="AI134">
        <v>5181.3121929999998</v>
      </c>
      <c r="AJ134">
        <v>5138.0771279999999</v>
      </c>
      <c r="AK134">
        <v>5094.8420630000001</v>
      </c>
      <c r="AL134">
        <v>5051.6069989999996</v>
      </c>
      <c r="AM134">
        <v>5008.3719339999998</v>
      </c>
      <c r="AN134">
        <v>4965.1368700000003</v>
      </c>
      <c r="AO134">
        <v>4921.9018050000004</v>
      </c>
      <c r="AP134">
        <v>4878.666741</v>
      </c>
      <c r="AQ134">
        <v>4835.4316760000002</v>
      </c>
      <c r="AR134">
        <v>4792.1966119999997</v>
      </c>
      <c r="AS134">
        <v>4748.9615469999999</v>
      </c>
      <c r="AT134">
        <v>4705.7264830000004</v>
      </c>
      <c r="AU134">
        <v>4662.491419</v>
      </c>
      <c r="AV134">
        <v>4619.2563540000001</v>
      </c>
      <c r="AW134">
        <v>4576.0212899999997</v>
      </c>
      <c r="AX134">
        <v>4532.7862249999998</v>
      </c>
    </row>
    <row r="135" spans="2:50" x14ac:dyDescent="0.25">
      <c r="B135" s="4"/>
      <c r="C135" s="25" t="s">
        <v>166</v>
      </c>
      <c r="D135">
        <v>0.96116878123798499</v>
      </c>
      <c r="E135">
        <v>0.98039215686274495</v>
      </c>
      <c r="F135">
        <v>0.98715589240000001</v>
      </c>
      <c r="G135">
        <v>0.98997305430000004</v>
      </c>
      <c r="H135">
        <v>0.99954962030000005</v>
      </c>
      <c r="I135">
        <v>1.009407875</v>
      </c>
      <c r="J135">
        <v>1.0168192949999999</v>
      </c>
      <c r="K135">
        <v>1.020895809</v>
      </c>
      <c r="L135">
        <v>1.0266590280000001</v>
      </c>
      <c r="M135">
        <v>1.0357765729999999</v>
      </c>
      <c r="N135">
        <v>1.046617527</v>
      </c>
      <c r="O135">
        <v>1.061177933</v>
      </c>
      <c r="P135">
        <v>1.071518553</v>
      </c>
      <c r="Q135">
        <v>1.0829610409999999</v>
      </c>
      <c r="R135">
        <v>1.0992964679999999</v>
      </c>
      <c r="S135">
        <v>1.1184686749999999</v>
      </c>
      <c r="T135">
        <v>1.141003472</v>
      </c>
      <c r="U135">
        <v>1.1638848959999999</v>
      </c>
      <c r="V135">
        <v>1.187309524</v>
      </c>
      <c r="W135">
        <v>1.211297002</v>
      </c>
      <c r="X135">
        <v>1.2357171549999999</v>
      </c>
      <c r="Y135">
        <v>1.2604903940000001</v>
      </c>
      <c r="Z135">
        <v>1.2856918660000001</v>
      </c>
      <c r="AA135">
        <v>1.3112988290000001</v>
      </c>
      <c r="AB135">
        <v>1.3372977960000001</v>
      </c>
      <c r="AC135">
        <v>1.3636944719999999</v>
      </c>
      <c r="AD135">
        <v>1.3905236400000001</v>
      </c>
      <c r="AE135">
        <v>1.4178158590000001</v>
      </c>
      <c r="AF135">
        <v>1.445693034</v>
      </c>
      <c r="AG135">
        <v>1.4741753479999999</v>
      </c>
      <c r="AH135">
        <v>1.5033382159999999</v>
      </c>
      <c r="AI135">
        <v>1.5332180790000001</v>
      </c>
      <c r="AJ135">
        <v>1.563761763</v>
      </c>
      <c r="AK135">
        <v>1.5949871040000001</v>
      </c>
      <c r="AL135">
        <v>1.6268505959999999</v>
      </c>
      <c r="AM135">
        <v>1.6593476540000001</v>
      </c>
      <c r="AN135">
        <v>1.692485496</v>
      </c>
      <c r="AO135">
        <v>1.7261906869999999</v>
      </c>
      <c r="AP135">
        <v>1.760483027</v>
      </c>
      <c r="AQ135">
        <v>1.795380336</v>
      </c>
      <c r="AR135">
        <v>1.8309004950000001</v>
      </c>
      <c r="AS135">
        <v>1.867065856</v>
      </c>
      <c r="AT135">
        <v>1.9039011400000001</v>
      </c>
      <c r="AU135">
        <v>1.941431444</v>
      </c>
      <c r="AV135">
        <v>1.9796889769999999</v>
      </c>
      <c r="AW135">
        <v>2.0186748799999998</v>
      </c>
      <c r="AX135">
        <v>2.05856504</v>
      </c>
    </row>
    <row r="136" spans="2:50" x14ac:dyDescent="0.25">
      <c r="B136" s="4"/>
      <c r="C136" s="25" t="s">
        <v>167</v>
      </c>
      <c r="D136">
        <v>82435.687031980502</v>
      </c>
      <c r="E136">
        <v>83759.218651857402</v>
      </c>
      <c r="F136">
        <v>85104</v>
      </c>
      <c r="G136">
        <v>87702.8505</v>
      </c>
      <c r="H136">
        <v>87347.402400000006</v>
      </c>
      <c r="I136">
        <v>81212.651859999998</v>
      </c>
      <c r="J136">
        <v>83689.452229999995</v>
      </c>
      <c r="K136">
        <v>84881.789090000006</v>
      </c>
      <c r="L136">
        <v>84374.317670000004</v>
      </c>
      <c r="M136">
        <v>84545.88751</v>
      </c>
      <c r="N136">
        <v>85552.174750000006</v>
      </c>
      <c r="O136">
        <v>87518.849199999997</v>
      </c>
      <c r="P136">
        <v>88546.005189999996</v>
      </c>
      <c r="Q136">
        <v>91888.629860000001</v>
      </c>
      <c r="R136">
        <v>93942.281839999996</v>
      </c>
      <c r="S136">
        <v>96689.981440000003</v>
      </c>
      <c r="T136">
        <v>98040.456200000001</v>
      </c>
      <c r="U136">
        <v>99373.416209999996</v>
      </c>
      <c r="V136">
        <v>100652.0243</v>
      </c>
      <c r="W136">
        <v>102227.7022</v>
      </c>
      <c r="X136">
        <v>103678.58900000001</v>
      </c>
      <c r="Y136">
        <v>104839.66710000001</v>
      </c>
      <c r="Z136">
        <v>105867.1109</v>
      </c>
      <c r="AA136">
        <v>106887.5031</v>
      </c>
      <c r="AB136">
        <v>107934.53879999999</v>
      </c>
      <c r="AC136">
        <v>108997.962</v>
      </c>
      <c r="AD136">
        <v>110092.2882</v>
      </c>
      <c r="AE136">
        <v>111177.4657</v>
      </c>
      <c r="AF136">
        <v>112316.64049999999</v>
      </c>
      <c r="AG136">
        <v>113509.011</v>
      </c>
      <c r="AH136">
        <v>114770.9654</v>
      </c>
      <c r="AI136">
        <v>116137.2044</v>
      </c>
      <c r="AJ136">
        <v>117605.6871</v>
      </c>
      <c r="AK136">
        <v>119200.2601</v>
      </c>
      <c r="AL136">
        <v>120888.3358</v>
      </c>
      <c r="AM136">
        <v>122656.29090000001</v>
      </c>
      <c r="AN136">
        <v>124483.76850000001</v>
      </c>
      <c r="AO136">
        <v>126372.7196</v>
      </c>
      <c r="AP136">
        <v>128323.4224</v>
      </c>
      <c r="AQ136">
        <v>130299.4103</v>
      </c>
      <c r="AR136">
        <v>132287.31479999999</v>
      </c>
      <c r="AS136">
        <v>134274.50159999999</v>
      </c>
      <c r="AT136">
        <v>136265.47229999999</v>
      </c>
      <c r="AU136">
        <v>138263.6894</v>
      </c>
      <c r="AV136">
        <v>140278.88149999999</v>
      </c>
      <c r="AW136">
        <v>142310.6531</v>
      </c>
      <c r="AX136">
        <v>144363.4264</v>
      </c>
    </row>
    <row r="137" spans="2:50" x14ac:dyDescent="0.25">
      <c r="B137" s="4"/>
      <c r="C137" s="25" t="s">
        <v>168</v>
      </c>
      <c r="D137">
        <v>0.96116878123798499</v>
      </c>
      <c r="E137">
        <v>0.98039215686274495</v>
      </c>
      <c r="F137">
        <v>0.97820824780000004</v>
      </c>
      <c r="G137">
        <v>0.98496723180000001</v>
      </c>
      <c r="H137">
        <v>0.99826355690000002</v>
      </c>
      <c r="I137">
        <v>0.99968759309999999</v>
      </c>
      <c r="J137">
        <v>0.99995771320000004</v>
      </c>
      <c r="K137">
        <v>0.99685740550000002</v>
      </c>
      <c r="L137">
        <v>0.9921762073</v>
      </c>
      <c r="M137">
        <v>0.99125017780000002</v>
      </c>
      <c r="N137">
        <v>0.99556701459999997</v>
      </c>
      <c r="O137">
        <v>1.004073148</v>
      </c>
      <c r="P137">
        <v>1.0108111129999999</v>
      </c>
      <c r="Q137">
        <v>1.021306815</v>
      </c>
      <c r="R137">
        <v>1.0377082790000001</v>
      </c>
      <c r="S137">
        <v>1.0617254279999999</v>
      </c>
      <c r="T137">
        <v>1.083178068</v>
      </c>
      <c r="U137">
        <v>1.1050454670000001</v>
      </c>
      <c r="V137">
        <v>1.127335679</v>
      </c>
      <c r="W137">
        <v>1.150068012</v>
      </c>
      <c r="X137">
        <v>1.1732575620000001</v>
      </c>
      <c r="Y137">
        <v>1.196888822</v>
      </c>
      <c r="Z137">
        <v>1.2209780960000001</v>
      </c>
      <c r="AA137">
        <v>1.2455055150000001</v>
      </c>
      <c r="AB137">
        <v>1.2704248899999999</v>
      </c>
      <c r="AC137">
        <v>1.295734691</v>
      </c>
      <c r="AD137">
        <v>1.3214492040000001</v>
      </c>
      <c r="AE137">
        <v>1.3475920130000001</v>
      </c>
      <c r="AF137">
        <v>1.374192984</v>
      </c>
      <c r="AG137">
        <v>1.4012930809999999</v>
      </c>
      <c r="AH137">
        <v>1.428944403</v>
      </c>
      <c r="AI137">
        <v>1.4571697320000001</v>
      </c>
      <c r="AJ137">
        <v>1.4859996049999999</v>
      </c>
      <c r="AK137">
        <v>1.515458838</v>
      </c>
      <c r="AL137">
        <v>1.545536161</v>
      </c>
      <c r="AM137">
        <v>1.5762338220000001</v>
      </c>
      <c r="AN137">
        <v>1.607561432</v>
      </c>
      <c r="AO137">
        <v>1.6395122090000001</v>
      </c>
      <c r="AP137">
        <v>1.6720769660000001</v>
      </c>
      <c r="AQ137">
        <v>1.705255325</v>
      </c>
      <c r="AR137">
        <v>1.7390509670000001</v>
      </c>
      <c r="AS137">
        <v>1.7734719640000001</v>
      </c>
      <c r="AT137">
        <v>1.808529928</v>
      </c>
      <c r="AU137">
        <v>1.8442368950000001</v>
      </c>
      <c r="AV137">
        <v>1.8806092729999999</v>
      </c>
      <c r="AW137">
        <v>1.9176609339999999</v>
      </c>
      <c r="AX137">
        <v>1.9554352399999999</v>
      </c>
    </row>
    <row r="138" spans="2:50" x14ac:dyDescent="0.25">
      <c r="B138" s="4"/>
      <c r="C138" s="25" t="s">
        <v>169</v>
      </c>
      <c r="D138">
        <v>7392.7096661505402</v>
      </c>
      <c r="E138">
        <v>7511.4020110802803</v>
      </c>
      <c r="F138">
        <v>7627.9475000000002</v>
      </c>
      <c r="G138">
        <v>7747.4082740000003</v>
      </c>
      <c r="H138">
        <v>7794.4038270000001</v>
      </c>
      <c r="I138">
        <v>7892.220421</v>
      </c>
      <c r="J138">
        <v>7985.1838600000001</v>
      </c>
      <c r="K138">
        <v>8098.6283439999997</v>
      </c>
      <c r="L138">
        <v>8230.1033939999998</v>
      </c>
      <c r="M138">
        <v>8357.3119229999902</v>
      </c>
      <c r="N138">
        <v>8433.5992970000007</v>
      </c>
      <c r="O138">
        <v>8524.0346379999901</v>
      </c>
      <c r="P138">
        <v>8629.0380359999999</v>
      </c>
      <c r="Q138">
        <v>8763.1096799999996</v>
      </c>
      <c r="R138">
        <v>8866.1803510000009</v>
      </c>
      <c r="S138">
        <v>8967.4405050000005</v>
      </c>
      <c r="T138">
        <v>9090.9174270000003</v>
      </c>
      <c r="U138">
        <v>9214.0421559999995</v>
      </c>
      <c r="V138">
        <v>9332.4876920000006</v>
      </c>
      <c r="W138">
        <v>9478.5167380000003</v>
      </c>
      <c r="X138">
        <v>9612.3213489999998</v>
      </c>
      <c r="Y138">
        <v>9719.0074490000006</v>
      </c>
      <c r="Z138">
        <v>9813.03223599999</v>
      </c>
      <c r="AA138">
        <v>9906.1033989999996</v>
      </c>
      <c r="AB138">
        <v>10001.312620000001</v>
      </c>
      <c r="AC138">
        <v>10097.67455</v>
      </c>
      <c r="AD138">
        <v>10196.49555</v>
      </c>
      <c r="AE138">
        <v>10297.30776</v>
      </c>
      <c r="AF138">
        <v>10403.126120000001</v>
      </c>
      <c r="AG138">
        <v>10513.87681</v>
      </c>
      <c r="AH138">
        <v>10631.078229999999</v>
      </c>
      <c r="AI138">
        <v>10757.94529</v>
      </c>
      <c r="AJ138">
        <v>10894.28974</v>
      </c>
      <c r="AK138">
        <v>11042.32144</v>
      </c>
      <c r="AL138">
        <v>11199.02245</v>
      </c>
      <c r="AM138">
        <v>11363.13141</v>
      </c>
      <c r="AN138">
        <v>11532.762909999999</v>
      </c>
      <c r="AO138">
        <v>11708.09816</v>
      </c>
      <c r="AP138">
        <v>11889.163339999999</v>
      </c>
      <c r="AQ138">
        <v>12072.580169999999</v>
      </c>
      <c r="AR138">
        <v>12257.110129999999</v>
      </c>
      <c r="AS138">
        <v>12441.5826</v>
      </c>
      <c r="AT138">
        <v>12626.41462</v>
      </c>
      <c r="AU138">
        <v>12811.927019999999</v>
      </c>
      <c r="AV138">
        <v>12999.02131</v>
      </c>
      <c r="AW138">
        <v>13187.660900000001</v>
      </c>
      <c r="AX138">
        <v>13378.25568</v>
      </c>
    </row>
    <row r="139" spans="2:50" x14ac:dyDescent="0.25">
      <c r="B139" s="4"/>
      <c r="C139" s="25" t="s">
        <v>136</v>
      </c>
      <c r="D139">
        <v>225891.81435188401</v>
      </c>
      <c r="E139">
        <v>234108.95210804199</v>
      </c>
      <c r="F139">
        <v>242473.938303237</v>
      </c>
      <c r="G139">
        <v>250402.08440805299</v>
      </c>
      <c r="H139">
        <v>256846.06168309599</v>
      </c>
      <c r="I139">
        <v>262566.57510194997</v>
      </c>
      <c r="J139">
        <v>263167.14271761</v>
      </c>
      <c r="K139">
        <v>263676.15311143798</v>
      </c>
      <c r="L139">
        <v>266631.638513499</v>
      </c>
      <c r="M139">
        <v>271219.49805156898</v>
      </c>
      <c r="N139">
        <v>274530.54164924502</v>
      </c>
      <c r="O139">
        <v>277636.50783186499</v>
      </c>
      <c r="P139">
        <v>281316.61818509299</v>
      </c>
      <c r="Q139">
        <v>286630.629226544</v>
      </c>
      <c r="R139">
        <v>294477.81583703199</v>
      </c>
      <c r="S139">
        <v>304804.23231272702</v>
      </c>
      <c r="T139">
        <v>315357.140039469</v>
      </c>
      <c r="U139">
        <v>325800.820331353</v>
      </c>
      <c r="V139">
        <v>336494.29697676701</v>
      </c>
      <c r="W139">
        <v>349298.69764229399</v>
      </c>
      <c r="X139">
        <v>361057.498878107</v>
      </c>
      <c r="Y139">
        <v>371493.16578367498</v>
      </c>
      <c r="Z139">
        <v>382345.67966991599</v>
      </c>
      <c r="AA139">
        <v>393507.52250071598</v>
      </c>
      <c r="AB139">
        <v>404975.84287306998</v>
      </c>
      <c r="AC139">
        <v>416650.50689188298</v>
      </c>
      <c r="AD139">
        <v>428687.47841030598</v>
      </c>
      <c r="AE139">
        <v>441273.82075742399</v>
      </c>
      <c r="AF139">
        <v>454423.90217164601</v>
      </c>
      <c r="AG139">
        <v>468306.159257475</v>
      </c>
      <c r="AH139">
        <v>483094.09412862902</v>
      </c>
      <c r="AI139">
        <v>498892.45059892198</v>
      </c>
      <c r="AJ139">
        <v>515802.519913166</v>
      </c>
      <c r="AK139">
        <v>533927.484961665</v>
      </c>
      <c r="AL139">
        <v>552830.23476399796</v>
      </c>
      <c r="AM139">
        <v>572566.72016896901</v>
      </c>
      <c r="AN139">
        <v>593050.89357127296</v>
      </c>
      <c r="AO139">
        <v>614387.83388623397</v>
      </c>
      <c r="AP139">
        <v>636528.73520771496</v>
      </c>
      <c r="AQ139">
        <v>659213.31323629897</v>
      </c>
      <c r="AR139">
        <v>682440.05491052102</v>
      </c>
      <c r="AS139">
        <v>706213.51349456795</v>
      </c>
      <c r="AT139">
        <v>730634.24225431099</v>
      </c>
      <c r="AU139">
        <v>755794.00607456104</v>
      </c>
      <c r="AV139">
        <v>781789.85860270006</v>
      </c>
      <c r="AW139">
        <v>808601.89145412995</v>
      </c>
      <c r="AX139">
        <v>836360.216769733</v>
      </c>
    </row>
    <row r="140" spans="2:50" x14ac:dyDescent="0.25">
      <c r="B140" s="4"/>
      <c r="C140" s="25" t="s">
        <v>186</v>
      </c>
      <c r="D140">
        <v>0.96116878123798499</v>
      </c>
      <c r="E140">
        <v>0.98039215686274495</v>
      </c>
      <c r="F140">
        <v>0.97820824780000004</v>
      </c>
      <c r="G140">
        <v>0.98496723180000001</v>
      </c>
      <c r="H140">
        <v>0.99826355690000002</v>
      </c>
      <c r="I140">
        <v>0.99968759309999999</v>
      </c>
      <c r="J140">
        <v>0.99995771320000004</v>
      </c>
      <c r="K140">
        <v>0.99685740550000002</v>
      </c>
      <c r="L140">
        <v>0.9921762073</v>
      </c>
      <c r="M140">
        <v>0.99125017780000002</v>
      </c>
      <c r="N140">
        <v>0.99556701459999997</v>
      </c>
      <c r="O140">
        <v>1.004073148</v>
      </c>
      <c r="P140">
        <v>1.0108111129999999</v>
      </c>
      <c r="Q140">
        <v>1.021306815</v>
      </c>
      <c r="R140">
        <v>1.0377082790000001</v>
      </c>
      <c r="S140">
        <v>1.0617254279999999</v>
      </c>
      <c r="T140">
        <v>1.083178068</v>
      </c>
      <c r="U140">
        <v>1.1050454670000001</v>
      </c>
      <c r="V140">
        <v>1.127335679</v>
      </c>
      <c r="W140">
        <v>1.150068012</v>
      </c>
      <c r="X140">
        <v>1.1732575620000001</v>
      </c>
      <c r="Y140">
        <v>1.196888822</v>
      </c>
      <c r="Z140">
        <v>1.2209780960000001</v>
      </c>
      <c r="AA140">
        <v>1.2455055150000001</v>
      </c>
      <c r="AB140">
        <v>1.2704248899999999</v>
      </c>
      <c r="AC140">
        <v>1.295734691</v>
      </c>
      <c r="AD140">
        <v>1.3214492040000001</v>
      </c>
      <c r="AE140">
        <v>1.3475920130000001</v>
      </c>
      <c r="AF140">
        <v>1.374192984</v>
      </c>
      <c r="AG140">
        <v>1.4012930809999999</v>
      </c>
      <c r="AH140">
        <v>1.428944403</v>
      </c>
      <c r="AI140">
        <v>1.4571697320000001</v>
      </c>
      <c r="AJ140">
        <v>1.4859996049999999</v>
      </c>
      <c r="AK140">
        <v>1.515458838</v>
      </c>
      <c r="AL140">
        <v>1.545536161</v>
      </c>
      <c r="AM140">
        <v>1.5762338220000001</v>
      </c>
      <c r="AN140">
        <v>1.607561432</v>
      </c>
      <c r="AO140">
        <v>1.6395122090000001</v>
      </c>
      <c r="AP140">
        <v>1.6720769660000001</v>
      </c>
      <c r="AQ140">
        <v>1.705255325</v>
      </c>
      <c r="AR140">
        <v>1.7390509670000001</v>
      </c>
      <c r="AS140">
        <v>1.7734719640000001</v>
      </c>
      <c r="AT140">
        <v>1.808529928</v>
      </c>
      <c r="AU140">
        <v>1.8442368950000001</v>
      </c>
      <c r="AV140">
        <v>1.8806092729999999</v>
      </c>
      <c r="AW140">
        <v>1.9176609339999999</v>
      </c>
      <c r="AX140">
        <v>1.9554352399999999</v>
      </c>
    </row>
    <row r="141" spans="2:50" x14ac:dyDescent="0.25">
      <c r="B141" s="4"/>
      <c r="C141" s="25" t="s">
        <v>187</v>
      </c>
      <c r="D141">
        <v>364929.79887904698</v>
      </c>
      <c r="E141">
        <v>370788.864839938</v>
      </c>
      <c r="F141">
        <v>376541.95449999999</v>
      </c>
      <c r="G141">
        <v>382438.95280000003</v>
      </c>
      <c r="H141">
        <v>384758.81640000001</v>
      </c>
      <c r="I141">
        <v>389587.38290000003</v>
      </c>
      <c r="J141">
        <v>394176.38069999998</v>
      </c>
      <c r="K141">
        <v>399776.39409999998</v>
      </c>
      <c r="L141">
        <v>406266.45870000002</v>
      </c>
      <c r="M141">
        <v>412545.91310000001</v>
      </c>
      <c r="N141">
        <v>416311.72249999997</v>
      </c>
      <c r="O141">
        <v>420775.92469999997</v>
      </c>
      <c r="P141">
        <v>425959.25679999997</v>
      </c>
      <c r="Q141">
        <v>432577.49829999998</v>
      </c>
      <c r="R141">
        <v>437665.42420000001</v>
      </c>
      <c r="S141">
        <v>442663.9768</v>
      </c>
      <c r="T141">
        <v>448759.22600000002</v>
      </c>
      <c r="U141">
        <v>454837.08990000002</v>
      </c>
      <c r="V141">
        <v>460683.97249999997</v>
      </c>
      <c r="W141">
        <v>467892.47289999999</v>
      </c>
      <c r="X141">
        <v>474497.53269999998</v>
      </c>
      <c r="Y141">
        <v>479763.92869999999</v>
      </c>
      <c r="Z141">
        <v>484405.31849999999</v>
      </c>
      <c r="AA141">
        <v>488999.63400000002</v>
      </c>
      <c r="AB141">
        <v>493699.49119999999</v>
      </c>
      <c r="AC141">
        <v>498456.25050000002</v>
      </c>
      <c r="AD141">
        <v>503334.3982</v>
      </c>
      <c r="AE141">
        <v>508310.83870000002</v>
      </c>
      <c r="AF141">
        <v>513534.40019999997</v>
      </c>
      <c r="AG141">
        <v>519001.43819999998</v>
      </c>
      <c r="AH141">
        <v>524786.90689999994</v>
      </c>
      <c r="AI141">
        <v>531049.50529999996</v>
      </c>
      <c r="AJ141">
        <v>537779.94039999996</v>
      </c>
      <c r="AK141">
        <v>545087.29870000004</v>
      </c>
      <c r="AL141">
        <v>552822.60439999995</v>
      </c>
      <c r="AM141">
        <v>560923.59180000005</v>
      </c>
      <c r="AN141">
        <v>569297.1912</v>
      </c>
      <c r="AO141">
        <v>577952.34739999997</v>
      </c>
      <c r="AP141">
        <v>586890.35309999995</v>
      </c>
      <c r="AQ141">
        <v>595944.44440000004</v>
      </c>
      <c r="AR141">
        <v>605053.48340000003</v>
      </c>
      <c r="AS141">
        <v>614159.68460000004</v>
      </c>
      <c r="AT141">
        <v>623283.63419999997</v>
      </c>
      <c r="AU141">
        <v>632441.17009999999</v>
      </c>
      <c r="AV141">
        <v>641676.79310000001</v>
      </c>
      <c r="AW141">
        <v>650988.69790000003</v>
      </c>
      <c r="AX141">
        <v>660397.1176</v>
      </c>
    </row>
    <row r="142" spans="2:50" x14ac:dyDescent="0.25">
      <c r="B142" s="4"/>
      <c r="C142" s="25" t="s">
        <v>152</v>
      </c>
      <c r="D142">
        <v>190620.570684056</v>
      </c>
      <c r="E142">
        <v>197554.66651644601</v>
      </c>
      <c r="F142">
        <v>201147.452085367</v>
      </c>
      <c r="G142">
        <v>206937.77960478899</v>
      </c>
      <c r="H142">
        <v>209327.17433109699</v>
      </c>
      <c r="I142">
        <v>205566.881905018</v>
      </c>
      <c r="J142">
        <v>210304.230833871</v>
      </c>
      <c r="K142">
        <v>214070.795620872</v>
      </c>
      <c r="L142">
        <v>214158.70690438701</v>
      </c>
      <c r="M142">
        <v>215210.807829058</v>
      </c>
      <c r="N142">
        <v>221745.640355376</v>
      </c>
      <c r="O142">
        <v>225341.82587469701</v>
      </c>
      <c r="P142">
        <v>228654.90066688199</v>
      </c>
      <c r="Q142">
        <v>236281.660246871</v>
      </c>
      <c r="R142">
        <v>243367.72957423201</v>
      </c>
      <c r="S142">
        <v>251221.57656675801</v>
      </c>
      <c r="T142">
        <v>256087.16417044101</v>
      </c>
      <c r="U142">
        <v>262341.10822563298</v>
      </c>
      <c r="V142">
        <v>269169.90962936397</v>
      </c>
      <c r="W142">
        <v>278849.90869602701</v>
      </c>
      <c r="X142">
        <v>286714.00603124301</v>
      </c>
      <c r="Y142">
        <v>293569.30495817802</v>
      </c>
      <c r="Z142">
        <v>300400.637592996</v>
      </c>
      <c r="AA142">
        <v>307295.61151265801</v>
      </c>
      <c r="AB142">
        <v>314686.82850762299</v>
      </c>
      <c r="AC142">
        <v>322299.67982702301</v>
      </c>
      <c r="AD142">
        <v>330207.74800772697</v>
      </c>
      <c r="AE142">
        <v>338463.04868380702</v>
      </c>
      <c r="AF142">
        <v>346663.58076354599</v>
      </c>
      <c r="AG142">
        <v>355563.59861354501</v>
      </c>
      <c r="AH142">
        <v>364970.75468110002</v>
      </c>
      <c r="AI142">
        <v>374655.36878309801</v>
      </c>
      <c r="AJ142">
        <v>385637.77641391201</v>
      </c>
      <c r="AK142">
        <v>396940.880337157</v>
      </c>
      <c r="AL142">
        <v>408791.54025359498</v>
      </c>
      <c r="AM142">
        <v>421112.691091582</v>
      </c>
      <c r="AN142">
        <v>433823.274403419</v>
      </c>
      <c r="AO142">
        <v>446797.09680873499</v>
      </c>
      <c r="AP142">
        <v>460299.79708494502</v>
      </c>
      <c r="AQ142">
        <v>474185.31614499999</v>
      </c>
      <c r="AR142">
        <v>488647.390009547</v>
      </c>
      <c r="AS142">
        <v>503408.90470890497</v>
      </c>
      <c r="AT142">
        <v>518614.92279658699</v>
      </c>
      <c r="AU142">
        <v>534392.16008223104</v>
      </c>
      <c r="AV142">
        <v>550649.67016428697</v>
      </c>
      <c r="AW142">
        <v>567404.95559628995</v>
      </c>
      <c r="AX142">
        <v>585574.01390652603</v>
      </c>
    </row>
    <row r="143" spans="2:50" x14ac:dyDescent="0.25">
      <c r="B143" s="4"/>
      <c r="C143" s="25" t="s">
        <v>153</v>
      </c>
      <c r="D143">
        <v>70157.970821169307</v>
      </c>
      <c r="E143">
        <v>72710.067330660706</v>
      </c>
      <c r="F143">
        <v>73838.982818707402</v>
      </c>
      <c r="G143">
        <v>76385.247680832807</v>
      </c>
      <c r="H143">
        <v>77177.741538875096</v>
      </c>
      <c r="I143">
        <v>73793.167055162106</v>
      </c>
      <c r="J143">
        <v>76150.9930435032</v>
      </c>
      <c r="K143">
        <v>77725.6440167111</v>
      </c>
      <c r="L143">
        <v>78078.9597924353</v>
      </c>
      <c r="M143">
        <v>78660.372433953002</v>
      </c>
      <c r="N143">
        <v>80171.835314081298</v>
      </c>
      <c r="O143">
        <v>82000.074835426203</v>
      </c>
      <c r="P143">
        <v>83462.602927969405</v>
      </c>
      <c r="Q143">
        <v>87053.346183581205</v>
      </c>
      <c r="R143">
        <v>90348.383931747099</v>
      </c>
      <c r="S143">
        <v>94366.063135754201</v>
      </c>
      <c r="T143">
        <v>97076.557985281994</v>
      </c>
      <c r="U143">
        <v>100479.772168546</v>
      </c>
      <c r="V143">
        <v>103649.76207316401</v>
      </c>
      <c r="W143">
        <v>107579.430695662</v>
      </c>
      <c r="X143">
        <v>111271.614485353</v>
      </c>
      <c r="Y143">
        <v>114639.809662871</v>
      </c>
      <c r="Z143">
        <v>117668.46645695899</v>
      </c>
      <c r="AA143">
        <v>121062.996081089</v>
      </c>
      <c r="AB143">
        <v>124700.712019649</v>
      </c>
      <c r="AC143">
        <v>128510.981475572</v>
      </c>
      <c r="AD143">
        <v>132539.43257044599</v>
      </c>
      <c r="AE143">
        <v>136297.449077514</v>
      </c>
      <c r="AF143">
        <v>140310.17730599601</v>
      </c>
      <c r="AG143">
        <v>144509.55078072299</v>
      </c>
      <c r="AH143">
        <v>148910.785591152</v>
      </c>
      <c r="AI143">
        <v>153641.09952536999</v>
      </c>
      <c r="AJ143">
        <v>158606.566528811</v>
      </c>
      <c r="AK143">
        <v>163826.062216121</v>
      </c>
      <c r="AL143">
        <v>169305.97454215499</v>
      </c>
      <c r="AM143">
        <v>175029.79575560501</v>
      </c>
      <c r="AN143">
        <v>180966.34883394599</v>
      </c>
      <c r="AO143">
        <v>187059.959772289</v>
      </c>
      <c r="AP143">
        <v>193437.87389453</v>
      </c>
      <c r="AQ143">
        <v>199989.15793599299</v>
      </c>
      <c r="AR143">
        <v>206755.11330160999</v>
      </c>
      <c r="AS143">
        <v>213684.594551991</v>
      </c>
      <c r="AT143">
        <v>220861.79855428499</v>
      </c>
      <c r="AU143">
        <v>228239.84442075301</v>
      </c>
      <c r="AV143">
        <v>235855.634955602</v>
      </c>
      <c r="AW143">
        <v>243709.41138670701</v>
      </c>
      <c r="AX143">
        <v>251945.00096425001</v>
      </c>
    </row>
    <row r="144" spans="2:50" x14ac:dyDescent="0.25">
      <c r="B144" s="4"/>
      <c r="C144" s="25" t="s">
        <v>154</v>
      </c>
      <c r="F144">
        <v>41720</v>
      </c>
      <c r="G144">
        <v>39457.604060770303</v>
      </c>
      <c r="H144">
        <v>40747.154222734804</v>
      </c>
      <c r="I144">
        <v>37985.351552319102</v>
      </c>
      <c r="J144">
        <v>35239.253081535498</v>
      </c>
      <c r="K144">
        <v>39462.880983829302</v>
      </c>
      <c r="L144">
        <v>41536.949125895197</v>
      </c>
      <c r="M144">
        <v>40347.045940018601</v>
      </c>
      <c r="N144">
        <v>40273.369014529497</v>
      </c>
      <c r="O144">
        <v>41738.572784920398</v>
      </c>
      <c r="P144">
        <v>42656.481889898401</v>
      </c>
      <c r="Q144">
        <v>43783.1532975347</v>
      </c>
      <c r="R144">
        <v>45752.2841877213</v>
      </c>
      <c r="S144">
        <v>46287.533683323403</v>
      </c>
      <c r="T144">
        <v>48729.5675364505</v>
      </c>
      <c r="U144">
        <v>49719.347587081997</v>
      </c>
      <c r="V144">
        <v>51548.731416038499</v>
      </c>
      <c r="W144">
        <v>51967.2468813862</v>
      </c>
      <c r="X144">
        <v>53691.618876131797</v>
      </c>
      <c r="Y144">
        <v>55095.2030023896</v>
      </c>
      <c r="Z144">
        <v>56197.890013641103</v>
      </c>
      <c r="AA144">
        <v>56866.112030549099</v>
      </c>
      <c r="AB144">
        <v>58321.593348494098</v>
      </c>
      <c r="AC144">
        <v>59445.2458294639</v>
      </c>
      <c r="AD144">
        <v>62057.102913314397</v>
      </c>
      <c r="AE144">
        <v>64165.634746895499</v>
      </c>
      <c r="AF144">
        <v>66016.768017934606</v>
      </c>
      <c r="AG144">
        <v>68051.159050478396</v>
      </c>
      <c r="AH144">
        <v>70321.818793267303</v>
      </c>
      <c r="AI144">
        <v>72540.278472170394</v>
      </c>
      <c r="AJ144">
        <v>75096.3439419926</v>
      </c>
      <c r="AK144">
        <v>77685.892540934699</v>
      </c>
      <c r="AL144">
        <v>80271.596695582994</v>
      </c>
      <c r="AM144">
        <v>83194.4139295286</v>
      </c>
      <c r="AN144">
        <v>86033.258090695905</v>
      </c>
      <c r="AO144">
        <v>89059.828731932706</v>
      </c>
      <c r="AP144">
        <v>91929.397296009294</v>
      </c>
      <c r="AQ144">
        <v>95062.383187501502</v>
      </c>
      <c r="AR144">
        <v>98299.989474267597</v>
      </c>
      <c r="AS144">
        <v>101731.56193172</v>
      </c>
      <c r="AT144">
        <v>105123.351460045</v>
      </c>
      <c r="AU144">
        <v>108721.561382404</v>
      </c>
      <c r="AV144">
        <v>112353.955280749</v>
      </c>
      <c r="AW144">
        <v>115945.191564179</v>
      </c>
      <c r="AX144">
        <v>119794.692783855</v>
      </c>
    </row>
    <row r="145" spans="2:50" x14ac:dyDescent="0.25">
      <c r="B145" s="4"/>
      <c r="C145" s="25" t="s">
        <v>198</v>
      </c>
      <c r="D145">
        <v>231895.11334803401</v>
      </c>
      <c r="E145">
        <v>240330.62968946499</v>
      </c>
      <c r="F145">
        <v>248324.11574706101</v>
      </c>
      <c r="G145">
        <v>259063.553662836</v>
      </c>
      <c r="H145">
        <v>266314.00009420002</v>
      </c>
      <c r="I145">
        <v>261127.11210602999</v>
      </c>
      <c r="J145">
        <v>258261.25233314</v>
      </c>
      <c r="K145">
        <v>259861.71715177601</v>
      </c>
      <c r="L145">
        <v>262343.60907992598</v>
      </c>
      <c r="M145">
        <v>264954.78133314801</v>
      </c>
      <c r="N145">
        <v>267696.45343493501</v>
      </c>
      <c r="O145">
        <v>271355.666595002</v>
      </c>
      <c r="P145">
        <v>276026.54104370798</v>
      </c>
      <c r="Q145">
        <v>285064.452201779</v>
      </c>
      <c r="R145">
        <v>296867.50363258203</v>
      </c>
      <c r="S145">
        <v>311495.18976535997</v>
      </c>
      <c r="T145">
        <v>322148.32783380803</v>
      </c>
      <c r="U145">
        <v>332685.37782582903</v>
      </c>
      <c r="V145">
        <v>343609.65762156801</v>
      </c>
      <c r="W145">
        <v>356791.22417451401</v>
      </c>
      <c r="X145">
        <v>368802.74613877601</v>
      </c>
      <c r="Y145">
        <v>379402.59435419302</v>
      </c>
      <c r="Z145">
        <v>390242.796128046</v>
      </c>
      <c r="AA145">
        <v>401253.47183897899</v>
      </c>
      <c r="AB145">
        <v>412591.24438124499</v>
      </c>
      <c r="AC145">
        <v>424219.18130964902</v>
      </c>
      <c r="AD145">
        <v>436291.19681364403</v>
      </c>
      <c r="AE145">
        <v>449058.19826933998</v>
      </c>
      <c r="AF145">
        <v>462547.48185291799</v>
      </c>
      <c r="AG145">
        <v>476863.215822645</v>
      </c>
      <c r="AH145">
        <v>492078.25649754697</v>
      </c>
      <c r="AI145">
        <v>508358.25081994099</v>
      </c>
      <c r="AJ145">
        <v>525695.68621470802</v>
      </c>
      <c r="AK145">
        <v>544171.40398477099</v>
      </c>
      <c r="AL145">
        <v>563397.16739975102</v>
      </c>
      <c r="AM145">
        <v>583464.48895766202</v>
      </c>
      <c r="AN145">
        <v>604301.59939145006</v>
      </c>
      <c r="AO145">
        <v>625845.85208668304</v>
      </c>
      <c r="AP145">
        <v>648104.85418593104</v>
      </c>
      <c r="AQ145">
        <v>670861.89220672601</v>
      </c>
      <c r="AR145">
        <v>694167.05645799194</v>
      </c>
      <c r="AS145">
        <v>718039.13957175403</v>
      </c>
      <c r="AT145">
        <v>742566.66837293305</v>
      </c>
      <c r="AU145">
        <v>767849.09523941705</v>
      </c>
      <c r="AV145">
        <v>793983.95831834804</v>
      </c>
      <c r="AW145">
        <v>820952.93650453596</v>
      </c>
      <c r="AX145">
        <v>849257.41673953005</v>
      </c>
    </row>
    <row r="146" spans="2:50" x14ac:dyDescent="0.25">
      <c r="B146" s="4"/>
      <c r="C146" s="25" t="s">
        <v>199</v>
      </c>
      <c r="D146">
        <v>112721.993806125</v>
      </c>
      <c r="E146">
        <v>116822.417515198</v>
      </c>
      <c r="F146">
        <v>120693.806324358</v>
      </c>
      <c r="G146">
        <v>126030.97927801</v>
      </c>
      <c r="H146">
        <v>129763.859565839</v>
      </c>
      <c r="I146">
        <v>127990.353464289</v>
      </c>
      <c r="J146">
        <v>126950.640515926</v>
      </c>
      <c r="K146">
        <v>127742.260838755</v>
      </c>
      <c r="L146">
        <v>129043.08954617901</v>
      </c>
      <c r="M146">
        <v>131081.05543631699</v>
      </c>
      <c r="N146">
        <v>132465.213014935</v>
      </c>
      <c r="O146">
        <v>134285.322615999</v>
      </c>
      <c r="P146">
        <v>136468.01700234701</v>
      </c>
      <c r="Q146">
        <v>140733.51486243101</v>
      </c>
      <c r="R146">
        <v>146411.64217600401</v>
      </c>
      <c r="S146">
        <v>153531.55243351799</v>
      </c>
      <c r="T146">
        <v>158800.19454217001</v>
      </c>
      <c r="U146">
        <v>163992.17092474</v>
      </c>
      <c r="V146">
        <v>169355.98566839899</v>
      </c>
      <c r="W146">
        <v>175824.07229827301</v>
      </c>
      <c r="X146">
        <v>181739.755564978</v>
      </c>
      <c r="Y146">
        <v>186975.42941519199</v>
      </c>
      <c r="Z146">
        <v>192329.36612263601</v>
      </c>
      <c r="AA146">
        <v>197770.54720985601</v>
      </c>
      <c r="AB146">
        <v>203371.75888961501</v>
      </c>
      <c r="AC146">
        <v>209113.42883293499</v>
      </c>
      <c r="AD146">
        <v>215072.202215186</v>
      </c>
      <c r="AE146">
        <v>221365.970637758</v>
      </c>
      <c r="AF146">
        <v>228016.23778062599</v>
      </c>
      <c r="AG146">
        <v>235073.74795416399</v>
      </c>
      <c r="AH146">
        <v>242576.602460569</v>
      </c>
      <c r="AI146">
        <v>250609.24417168499</v>
      </c>
      <c r="AJ146">
        <v>259161.670050477</v>
      </c>
      <c r="AK146">
        <v>268277.73218033102</v>
      </c>
      <c r="AL146">
        <v>277764.99262794101</v>
      </c>
      <c r="AM146">
        <v>287668.49199972802</v>
      </c>
      <c r="AN146">
        <v>297952.63213425397</v>
      </c>
      <c r="AO146">
        <v>308604.61109161499</v>
      </c>
      <c r="AP146">
        <v>319620.33988697798</v>
      </c>
      <c r="AQ146">
        <v>330888.02200150199</v>
      </c>
      <c r="AR146">
        <v>342427.70253376098</v>
      </c>
      <c r="AS146">
        <v>354247.95786644903</v>
      </c>
      <c r="AT146">
        <v>366396.10668473702</v>
      </c>
      <c r="AU146">
        <v>378920.82455750502</v>
      </c>
      <c r="AV146">
        <v>391869.81192307197</v>
      </c>
      <c r="AW146">
        <v>405234.35554103099</v>
      </c>
      <c r="AX146">
        <v>419225.93343565601</v>
      </c>
    </row>
    <row r="147" spans="2:50" x14ac:dyDescent="0.25">
      <c r="B147" s="4"/>
      <c r="C147" s="25" t="s">
        <v>138</v>
      </c>
      <c r="D147">
        <v>5997.7127998138503</v>
      </c>
      <c r="E147">
        <v>6215.8881792066404</v>
      </c>
      <c r="F147">
        <v>6313.0449157393796</v>
      </c>
      <c r="G147">
        <v>6408.2141414600701</v>
      </c>
      <c r="H147">
        <v>6729.4513456302902</v>
      </c>
      <c r="I147">
        <v>6554.4747929438499</v>
      </c>
      <c r="J147">
        <v>6722.3093920418196</v>
      </c>
      <c r="K147">
        <v>7044.4624935135098</v>
      </c>
      <c r="L147">
        <v>7352.3920376775204</v>
      </c>
      <c r="M147">
        <v>7418.0232756836103</v>
      </c>
      <c r="N147">
        <v>7378.7941526424402</v>
      </c>
      <c r="O147">
        <v>7231.5170872066801</v>
      </c>
      <c r="P147">
        <v>6831.6070579829102</v>
      </c>
      <c r="Q147">
        <v>6866.0635570142404</v>
      </c>
      <c r="R147">
        <v>7125.6746788884202</v>
      </c>
      <c r="S147">
        <v>7046.9340329443603</v>
      </c>
      <c r="T147">
        <v>6890.9903251292299</v>
      </c>
      <c r="U147">
        <v>7036.17683299485</v>
      </c>
      <c r="V147">
        <v>7189.86055187492</v>
      </c>
      <c r="W147">
        <v>7336.3779039851497</v>
      </c>
      <c r="X147">
        <v>7446.8041966873297</v>
      </c>
      <c r="Y147">
        <v>7522.2588700509796</v>
      </c>
      <c r="Z147">
        <v>7589.8645591274599</v>
      </c>
      <c r="AA147">
        <v>7659.77543313762</v>
      </c>
      <c r="AB147">
        <v>7730.1455653000703</v>
      </c>
      <c r="AC147">
        <v>7801.9572187056001</v>
      </c>
      <c r="AD147">
        <v>7873.2494223334597</v>
      </c>
      <c r="AE147">
        <v>7942.2767303085702</v>
      </c>
      <c r="AF147">
        <v>8011.5302063542704</v>
      </c>
      <c r="AG147">
        <v>8074.52509263722</v>
      </c>
      <c r="AH147">
        <v>8143.0708470317604</v>
      </c>
      <c r="AI147">
        <v>8206.4833786404906</v>
      </c>
      <c r="AJ147">
        <v>8272.91578195285</v>
      </c>
      <c r="AK147">
        <v>8340.7582481257796</v>
      </c>
      <c r="AL147">
        <v>8409.9950462936395</v>
      </c>
      <c r="AM147">
        <v>8479.8915041610599</v>
      </c>
      <c r="AN147">
        <v>8551.2528174662202</v>
      </c>
      <c r="AO147">
        <v>8625.0631834409596</v>
      </c>
      <c r="AP147">
        <v>8699.6064699533708</v>
      </c>
      <c r="AQ147">
        <v>8776.0369099199106</v>
      </c>
      <c r="AR147">
        <v>8853.3438752414204</v>
      </c>
      <c r="AS147">
        <v>8931.4201216661004</v>
      </c>
      <c r="AT147">
        <v>9012.6121158123296</v>
      </c>
      <c r="AU147">
        <v>9095.1669854355205</v>
      </c>
      <c r="AV147">
        <v>9181.8397585389903</v>
      </c>
      <c r="AW147">
        <v>9264.0289132419002</v>
      </c>
      <c r="AX147">
        <v>9346.0282130586293</v>
      </c>
    </row>
    <row r="148" spans="2:50" x14ac:dyDescent="0.25">
      <c r="B148" s="4"/>
      <c r="C148" s="25" t="s">
        <v>139</v>
      </c>
      <c r="D148">
        <v>79234.608835044695</v>
      </c>
      <c r="E148">
        <v>82116.881031232799</v>
      </c>
      <c r="F148">
        <v>84010.915066809597</v>
      </c>
      <c r="G148">
        <v>86823.458780301196</v>
      </c>
      <c r="H148">
        <v>87308.062903111306</v>
      </c>
      <c r="I148">
        <v>81976.690337117398</v>
      </c>
      <c r="J148">
        <v>85097.049815444698</v>
      </c>
      <c r="K148">
        <v>86655.462742402902</v>
      </c>
      <c r="L148">
        <v>86623.654967245398</v>
      </c>
      <c r="M148">
        <v>87570.649626351296</v>
      </c>
      <c r="N148">
        <v>89540.405566316796</v>
      </c>
      <c r="O148">
        <v>92873.071492594696</v>
      </c>
      <c r="P148">
        <v>94878.687355119197</v>
      </c>
      <c r="Q148">
        <v>99511.806249249203</v>
      </c>
      <c r="R148">
        <v>103270.418622572</v>
      </c>
      <c r="S148">
        <v>108144.715426971</v>
      </c>
      <c r="T148">
        <v>111864.50092066301</v>
      </c>
      <c r="U148">
        <v>115659.21819073999</v>
      </c>
      <c r="V148">
        <v>119505.10706126899</v>
      </c>
      <c r="W148">
        <v>123828.109196208</v>
      </c>
      <c r="X148">
        <v>128117.41103349401</v>
      </c>
      <c r="Y148">
        <v>132149.39328970699</v>
      </c>
      <c r="Z148">
        <v>136112.483361049</v>
      </c>
      <c r="AA148">
        <v>140161.457649763</v>
      </c>
      <c r="AB148">
        <v>144340.62084951601</v>
      </c>
      <c r="AC148">
        <v>148639.918238666</v>
      </c>
      <c r="AD148">
        <v>153085.92932379301</v>
      </c>
      <c r="AE148">
        <v>157629.174032888</v>
      </c>
      <c r="AF148">
        <v>162375.38477313201</v>
      </c>
      <c r="AG148">
        <v>167332.18579205999</v>
      </c>
      <c r="AH148">
        <v>172539.578373033</v>
      </c>
      <c r="AI148">
        <v>178063.661430598</v>
      </c>
      <c r="AJ148">
        <v>183907.276598322</v>
      </c>
      <c r="AK148">
        <v>190122.877652945</v>
      </c>
      <c r="AL148">
        <v>196667.261145678</v>
      </c>
      <c r="AM148">
        <v>203529.428553256</v>
      </c>
      <c r="AN148">
        <v>210686.972673671</v>
      </c>
      <c r="AO148">
        <v>218143.411664382</v>
      </c>
      <c r="AP148">
        <v>225911.207101751</v>
      </c>
      <c r="AQ148">
        <v>233936.99904501499</v>
      </c>
      <c r="AR148">
        <v>242204.91014954</v>
      </c>
      <c r="AS148">
        <v>250699.33726877699</v>
      </c>
      <c r="AT148">
        <v>259435.98805460799</v>
      </c>
      <c r="AU148">
        <v>268429.47416460898</v>
      </c>
      <c r="AV148">
        <v>277708.55541143898</v>
      </c>
      <c r="AW148">
        <v>287278.940569364</v>
      </c>
      <c r="AX148">
        <v>297181.502641653</v>
      </c>
    </row>
    <row r="149" spans="2:50" x14ac:dyDescent="0.25">
      <c r="B149" s="4"/>
      <c r="C149" s="25" t="s">
        <v>140</v>
      </c>
      <c r="D149">
        <v>7105.6417398601798</v>
      </c>
      <c r="E149">
        <v>7364.1196187061596</v>
      </c>
      <c r="F149">
        <v>7461.7211582853897</v>
      </c>
      <c r="G149">
        <v>7630.9432812661898</v>
      </c>
      <c r="H149">
        <v>7780.8692882559899</v>
      </c>
      <c r="I149">
        <v>7889.7548368841499</v>
      </c>
      <c r="J149">
        <v>7984.8461921271401</v>
      </c>
      <c r="K149">
        <v>8073.1776391085996</v>
      </c>
      <c r="L149">
        <v>8165.7127711457697</v>
      </c>
      <c r="M149">
        <v>8284.1869296038094</v>
      </c>
      <c r="N149">
        <v>8396.21327444694</v>
      </c>
      <c r="O149">
        <v>8558.75429263769</v>
      </c>
      <c r="P149">
        <v>8722.3275412884905</v>
      </c>
      <c r="Q149">
        <v>8949.8236367764603</v>
      </c>
      <c r="R149">
        <v>9200.50875333982</v>
      </c>
      <c r="S149">
        <v>9520.9596082356602</v>
      </c>
      <c r="T149">
        <v>9847.0823749253905</v>
      </c>
      <c r="U149">
        <v>10181.9355172347</v>
      </c>
      <c r="V149">
        <v>10520.846349019899</v>
      </c>
      <c r="W149">
        <v>10900.938901580301</v>
      </c>
      <c r="X149">
        <v>11277.728711088201</v>
      </c>
      <c r="Y149">
        <v>11632.5713766428</v>
      </c>
      <c r="Z149">
        <v>11981.497415497901</v>
      </c>
      <c r="AA149">
        <v>12338.1064156147</v>
      </c>
      <c r="AB149">
        <v>12705.9164851191</v>
      </c>
      <c r="AC149">
        <v>13083.907212862799</v>
      </c>
      <c r="AD149">
        <v>13474.150928137</v>
      </c>
      <c r="AE149">
        <v>13876.569692778899</v>
      </c>
      <c r="AF149">
        <v>14295.902925771101</v>
      </c>
      <c r="AG149">
        <v>14733.022828339301</v>
      </c>
      <c r="AH149">
        <v>15191.2197346136</v>
      </c>
      <c r="AI149">
        <v>15676.1522550999</v>
      </c>
      <c r="AJ149">
        <v>16188.9102503955</v>
      </c>
      <c r="AK149">
        <v>16734.183618284798</v>
      </c>
      <c r="AL149">
        <v>17308.494164325799</v>
      </c>
      <c r="AM149">
        <v>17910.9520522725</v>
      </c>
      <c r="AN149">
        <v>18539.624858515999</v>
      </c>
      <c r="AO149">
        <v>19195.569877490401</v>
      </c>
      <c r="AP149">
        <v>19879.596165825598</v>
      </c>
      <c r="AQ149">
        <v>20586.831621381902</v>
      </c>
      <c r="AR149">
        <v>21315.739224202</v>
      </c>
      <c r="AS149">
        <v>22064.797928890199</v>
      </c>
      <c r="AT149">
        <v>22835.248723606699</v>
      </c>
      <c r="AU149">
        <v>23628.228506331401</v>
      </c>
      <c r="AV149">
        <v>24446.080015510601</v>
      </c>
      <c r="AW149">
        <v>25289.462118769199</v>
      </c>
      <c r="AX149">
        <v>26160.312606402102</v>
      </c>
    </row>
    <row r="150" spans="2:50" x14ac:dyDescent="0.25">
      <c r="C150" s="25" t="s">
        <v>62</v>
      </c>
      <c r="F150">
        <v>46046.847899999899</v>
      </c>
      <c r="G150">
        <v>41515.083299999998</v>
      </c>
      <c r="H150">
        <v>39594.513199999899</v>
      </c>
      <c r="I150">
        <v>69718.510299999907</v>
      </c>
      <c r="J150">
        <v>87488.348599999998</v>
      </c>
      <c r="K150">
        <v>77038.754599999898</v>
      </c>
      <c r="L150">
        <v>81118.732499999998</v>
      </c>
      <c r="M150">
        <v>92939.120999999999</v>
      </c>
      <c r="N150">
        <v>101137.91099999999</v>
      </c>
      <c r="O150">
        <v>107539.250999999</v>
      </c>
      <c r="P150">
        <v>112002.027</v>
      </c>
      <c r="Q150">
        <v>106420.947999999</v>
      </c>
      <c r="R150">
        <v>102279.61599999999</v>
      </c>
      <c r="S150">
        <v>108345.105</v>
      </c>
      <c r="T150">
        <v>123607.720999999</v>
      </c>
      <c r="U150">
        <v>139142.73199999999</v>
      </c>
      <c r="V150">
        <v>148016.42099999901</v>
      </c>
      <c r="W150">
        <v>160126.872</v>
      </c>
      <c r="X150">
        <v>169040.22</v>
      </c>
      <c r="Y150">
        <v>180349.641</v>
      </c>
      <c r="Z150">
        <v>194109.44499999899</v>
      </c>
      <c r="AA150">
        <v>209638.351</v>
      </c>
      <c r="AB150">
        <v>224034.74299999999</v>
      </c>
      <c r="AC150">
        <v>238668.318</v>
      </c>
      <c r="AD150">
        <v>252209.16999999899</v>
      </c>
      <c r="AE150">
        <v>266381.90899999999</v>
      </c>
      <c r="AF150">
        <v>282234.75699999998</v>
      </c>
      <c r="AG150">
        <v>298025.00099999999</v>
      </c>
      <c r="AH150">
        <v>314918.26400000002</v>
      </c>
      <c r="AI150">
        <v>333068.071</v>
      </c>
      <c r="AJ150">
        <v>351738.04099999898</v>
      </c>
      <c r="AK150">
        <v>372926.83500000002</v>
      </c>
      <c r="AL150">
        <v>395367.136</v>
      </c>
      <c r="AM150">
        <v>418698.03499999898</v>
      </c>
      <c r="AN150">
        <v>443370.67799999902</v>
      </c>
      <c r="AO150">
        <v>469817.95099999901</v>
      </c>
      <c r="AP150">
        <v>498305.43099999998</v>
      </c>
      <c r="AQ150">
        <v>527843.59100000001</v>
      </c>
      <c r="AR150">
        <v>558361.52899999998</v>
      </c>
      <c r="AS150">
        <v>590045.17700000003</v>
      </c>
      <c r="AT150">
        <v>623173.86599999899</v>
      </c>
      <c r="AU150">
        <v>657605.478</v>
      </c>
      <c r="AV150">
        <v>693820.201</v>
      </c>
      <c r="AW150">
        <v>731741.25799999898</v>
      </c>
      <c r="AX150">
        <v>769923.52</v>
      </c>
    </row>
    <row r="151" spans="2:50" x14ac:dyDescent="0.25">
      <c r="C151" s="25" t="s">
        <v>63</v>
      </c>
      <c r="F151">
        <v>2.61247156255364E-2</v>
      </c>
      <c r="G151">
        <v>2.27444199723629E-2</v>
      </c>
      <c r="H151">
        <v>2.1522202252119298E-2</v>
      </c>
      <c r="I151">
        <v>3.8636076230315203E-2</v>
      </c>
      <c r="J151">
        <v>4.7502792740004601E-2</v>
      </c>
      <c r="K151">
        <v>4.1135130891583403E-2</v>
      </c>
      <c r="L151">
        <v>4.3197439475360498E-2</v>
      </c>
      <c r="M151">
        <v>4.9103404884988502E-2</v>
      </c>
      <c r="N151">
        <v>5.2446889523165202E-2</v>
      </c>
      <c r="O151">
        <v>5.4724876284302199E-2</v>
      </c>
      <c r="P151">
        <v>5.5834332859289001E-2</v>
      </c>
      <c r="Q151">
        <v>5.1298635188608298E-2</v>
      </c>
      <c r="R151">
        <v>4.76202381268769E-2</v>
      </c>
      <c r="S151">
        <v>4.8286177065300397E-2</v>
      </c>
      <c r="T151">
        <v>5.3494859461421101E-2</v>
      </c>
      <c r="U151">
        <v>5.8288537296657401E-2</v>
      </c>
      <c r="V151">
        <v>6.0211742749687602E-2</v>
      </c>
      <c r="W151">
        <v>6.2828808180089402E-2</v>
      </c>
      <c r="X151">
        <v>6.4302090647118795E-2</v>
      </c>
      <c r="Y151">
        <v>6.6781025666347402E-2</v>
      </c>
      <c r="Z151">
        <v>7.0064053691594505E-2</v>
      </c>
      <c r="AA151">
        <v>7.3621487575413397E-2</v>
      </c>
      <c r="AB151">
        <v>7.6485172456453504E-2</v>
      </c>
      <c r="AC151">
        <v>7.92071432887725E-2</v>
      </c>
      <c r="AD151">
        <v>8.1346987065981799E-2</v>
      </c>
      <c r="AE151">
        <v>8.3453501404376698E-2</v>
      </c>
      <c r="AF151">
        <v>8.58257942552378E-2</v>
      </c>
      <c r="AG151">
        <v>8.79238636006867E-2</v>
      </c>
      <c r="AH151">
        <v>9.0093613674313497E-2</v>
      </c>
      <c r="AI151">
        <v>9.2296793382980302E-2</v>
      </c>
      <c r="AJ151">
        <v>9.4347298860333495E-2</v>
      </c>
      <c r="AK151">
        <v>9.6778738439399103E-2</v>
      </c>
      <c r="AL151">
        <v>9.9214241708546896E-2</v>
      </c>
      <c r="AM151">
        <v>0.101567819063275</v>
      </c>
      <c r="AN151">
        <v>0.10396142034790599</v>
      </c>
      <c r="AO151">
        <v>0.10652452833640701</v>
      </c>
      <c r="AP151">
        <v>0.10921030334130701</v>
      </c>
      <c r="AQ151">
        <v>0.111843048329253</v>
      </c>
      <c r="AR151">
        <v>0.11438128051435199</v>
      </c>
      <c r="AS151">
        <v>0.11689909417111501</v>
      </c>
      <c r="AT151">
        <v>0.119405680173229</v>
      </c>
      <c r="AU151">
        <v>0.12187955082519</v>
      </c>
      <c r="AV151">
        <v>0.124390908340796</v>
      </c>
      <c r="AW151">
        <v>0.126913869041308</v>
      </c>
      <c r="AX151">
        <v>0.129093717548146</v>
      </c>
    </row>
    <row r="152" spans="2:50" x14ac:dyDescent="0.25">
      <c r="B152" s="3"/>
      <c r="C152" s="25" t="s">
        <v>36</v>
      </c>
      <c r="E152">
        <v>912128.34170305706</v>
      </c>
      <c r="F152">
        <v>937425.07259999996</v>
      </c>
      <c r="G152">
        <v>961862.00450000004</v>
      </c>
      <c r="H152">
        <v>986659.89729999995</v>
      </c>
      <c r="I152">
        <v>1008523.498</v>
      </c>
      <c r="J152">
        <v>1032902.336</v>
      </c>
      <c r="K152">
        <v>1047851.843</v>
      </c>
      <c r="L152">
        <v>1070612.0560000001</v>
      </c>
      <c r="M152">
        <v>1095908.192</v>
      </c>
      <c r="N152">
        <v>1121771.642</v>
      </c>
      <c r="O152">
        <v>1148883.034</v>
      </c>
      <c r="P152">
        <v>1175814.398</v>
      </c>
      <c r="Q152">
        <v>1206902.7879999999</v>
      </c>
      <c r="R152">
        <v>1245996.2320000001</v>
      </c>
      <c r="S152">
        <v>1296419.371</v>
      </c>
      <c r="T152">
        <v>1350708.45</v>
      </c>
      <c r="U152">
        <v>1402975.7320000001</v>
      </c>
      <c r="V152">
        <v>1451638.585</v>
      </c>
      <c r="W152">
        <v>1509929.6640000001</v>
      </c>
      <c r="X152">
        <v>1562504.7169999999</v>
      </c>
      <c r="Y152">
        <v>1613383.176</v>
      </c>
      <c r="Z152">
        <v>1665297.15</v>
      </c>
      <c r="AA152">
        <v>1719346.4350000001</v>
      </c>
      <c r="AB152">
        <v>1775567.466</v>
      </c>
      <c r="AC152">
        <v>1833395.2439999999</v>
      </c>
      <c r="AD152">
        <v>1893323.4509999999</v>
      </c>
      <c r="AE152">
        <v>1955899.78</v>
      </c>
      <c r="AF152">
        <v>2021046.4480000001</v>
      </c>
      <c r="AG152">
        <v>2089099.3859999999</v>
      </c>
      <c r="AH152">
        <v>2161002.7620000001</v>
      </c>
      <c r="AI152">
        <v>2237105.5180000002</v>
      </c>
      <c r="AJ152">
        <v>2318176.4929999998</v>
      </c>
      <c r="AK152">
        <v>2404908.96</v>
      </c>
      <c r="AL152">
        <v>2495727.6710000001</v>
      </c>
      <c r="AM152">
        <v>2590785.1519999998</v>
      </c>
      <c r="AN152">
        <v>2689784.253</v>
      </c>
      <c r="AO152">
        <v>2793482.5329999998</v>
      </c>
      <c r="AP152">
        <v>2901786.6090000002</v>
      </c>
      <c r="AQ152">
        <v>3013748.41</v>
      </c>
      <c r="AR152">
        <v>3129322.3459999999</v>
      </c>
      <c r="AS152">
        <v>3248464.4539999999</v>
      </c>
      <c r="AT152">
        <v>3371392.0389999999</v>
      </c>
      <c r="AU152">
        <v>3498694.602</v>
      </c>
      <c r="AV152">
        <v>3630730.4670000002</v>
      </c>
      <c r="AW152">
        <v>3767498.9040000001</v>
      </c>
      <c r="AX152">
        <v>3909429.0589999999</v>
      </c>
    </row>
    <row r="153" spans="2:50" x14ac:dyDescent="0.25">
      <c r="B153" s="3"/>
      <c r="C153" s="25" t="s">
        <v>6</v>
      </c>
      <c r="D153">
        <v>39.375694686332501</v>
      </c>
      <c r="E153">
        <v>40.163208580059099</v>
      </c>
      <c r="F153">
        <v>40.965571269999998</v>
      </c>
      <c r="G153">
        <v>41.668771829999997</v>
      </c>
      <c r="H153">
        <v>42.35136644</v>
      </c>
      <c r="I153">
        <v>42.869101749999999</v>
      </c>
      <c r="J153">
        <v>42.448831800000001</v>
      </c>
      <c r="K153">
        <v>41.869215029999999</v>
      </c>
      <c r="L153">
        <v>41.560260290000002</v>
      </c>
      <c r="M153">
        <v>41.492423899999999</v>
      </c>
      <c r="N153">
        <v>41.418084700000001</v>
      </c>
      <c r="O153">
        <v>41.395520490000003</v>
      </c>
      <c r="P153">
        <v>41.42978403</v>
      </c>
      <c r="Q153">
        <v>41.566799189999998</v>
      </c>
      <c r="R153">
        <v>42.090111530000001</v>
      </c>
      <c r="S153">
        <v>43.023861310000001</v>
      </c>
      <c r="T153">
        <v>43.891009769999997</v>
      </c>
      <c r="U153">
        <v>44.769848519999996</v>
      </c>
      <c r="V153">
        <v>45.663181270000003</v>
      </c>
      <c r="W153">
        <v>46.581190370000002</v>
      </c>
      <c r="X153">
        <v>47.515247260000002</v>
      </c>
      <c r="Y153">
        <v>48.46429973</v>
      </c>
      <c r="Z153">
        <v>49.447626409999998</v>
      </c>
      <c r="AA153">
        <v>50.444697189999999</v>
      </c>
      <c r="AB153">
        <v>51.43460425</v>
      </c>
      <c r="AC153">
        <v>52.436825769999999</v>
      </c>
      <c r="AD153">
        <v>53.460373390000001</v>
      </c>
      <c r="AE153">
        <v>54.51463957</v>
      </c>
      <c r="AF153">
        <v>55.596698080000003</v>
      </c>
      <c r="AG153">
        <v>56.706155039999999</v>
      </c>
      <c r="AH153">
        <v>57.854106600000001</v>
      </c>
      <c r="AI153">
        <v>59.029214150000001</v>
      </c>
      <c r="AJ153">
        <v>60.236388699999999</v>
      </c>
      <c r="AK153">
        <v>61.472595249999998</v>
      </c>
      <c r="AL153">
        <v>62.719283859999997</v>
      </c>
      <c r="AM153">
        <v>63.983528100000001</v>
      </c>
      <c r="AN153">
        <v>65.269246499999994</v>
      </c>
      <c r="AO153">
        <v>66.568825509999996</v>
      </c>
      <c r="AP153">
        <v>67.880428519999995</v>
      </c>
      <c r="AQ153">
        <v>69.208720339999999</v>
      </c>
      <c r="AR153">
        <v>70.555904420000005</v>
      </c>
      <c r="AS153">
        <v>71.924703309999998</v>
      </c>
      <c r="AT153">
        <v>73.318421240000006</v>
      </c>
      <c r="AU153">
        <v>74.73740463</v>
      </c>
      <c r="AV153">
        <v>76.183864529999994</v>
      </c>
      <c r="AW153">
        <v>77.658813609999996</v>
      </c>
      <c r="AX153">
        <v>79.176624610000005</v>
      </c>
    </row>
    <row r="154" spans="2:50" x14ac:dyDescent="0.25">
      <c r="B154" s="3"/>
      <c r="C154" s="25" t="s">
        <v>7</v>
      </c>
      <c r="D154">
        <v>5875.3438678479197</v>
      </c>
      <c r="E154">
        <v>5898.8877609486599</v>
      </c>
      <c r="F154">
        <v>5918.9688020000003</v>
      </c>
      <c r="G154">
        <v>5938.0893379999998</v>
      </c>
      <c r="H154">
        <v>5921.6735070000004</v>
      </c>
      <c r="I154">
        <v>5909.5378430000001</v>
      </c>
      <c r="J154">
        <v>5910.7674390000002</v>
      </c>
      <c r="K154">
        <v>5932.9880370000001</v>
      </c>
      <c r="L154">
        <v>5972.4200870000004</v>
      </c>
      <c r="M154">
        <v>6012.9627609999998</v>
      </c>
      <c r="N154">
        <v>6024.9931130000004</v>
      </c>
      <c r="O154">
        <v>6024.1893380000001</v>
      </c>
      <c r="P154">
        <v>6026.6725239999996</v>
      </c>
      <c r="Q154">
        <v>6047.7019030000001</v>
      </c>
      <c r="R154">
        <v>6063.2623039999999</v>
      </c>
      <c r="S154">
        <v>6066.8735820000002</v>
      </c>
      <c r="T154">
        <v>6079.9487829999998</v>
      </c>
      <c r="U154">
        <v>6090.9946470000004</v>
      </c>
      <c r="V154">
        <v>6100.7335430000003</v>
      </c>
      <c r="W154">
        <v>6113.4238139999998</v>
      </c>
      <c r="X154">
        <v>6127.3181409999997</v>
      </c>
      <c r="Y154">
        <v>6140.9379760000002</v>
      </c>
      <c r="Z154">
        <v>6152.5659390000001</v>
      </c>
      <c r="AA154">
        <v>6163.435418</v>
      </c>
      <c r="AB154">
        <v>6175.4442490000001</v>
      </c>
      <c r="AC154">
        <v>6186.7224459999998</v>
      </c>
      <c r="AD154">
        <v>6196.5331340000002</v>
      </c>
      <c r="AE154">
        <v>6205.2166029999998</v>
      </c>
      <c r="AF154">
        <v>6213.4827310000001</v>
      </c>
      <c r="AG154">
        <v>6221.4476029999996</v>
      </c>
      <c r="AH154">
        <v>6228.2329550000004</v>
      </c>
      <c r="AI154">
        <v>6235.247402</v>
      </c>
      <c r="AJ154">
        <v>6241.2799210000003</v>
      </c>
      <c r="AK154">
        <v>6246.0000399999999</v>
      </c>
      <c r="AL154">
        <v>6250.9310420000002</v>
      </c>
      <c r="AM154">
        <v>6255.384067</v>
      </c>
      <c r="AN154">
        <v>6258.8187820000003</v>
      </c>
      <c r="AO154">
        <v>6261.9917580000001</v>
      </c>
      <c r="AP154">
        <v>6264.5627160000004</v>
      </c>
      <c r="AQ154">
        <v>6266.2150330000004</v>
      </c>
      <c r="AR154">
        <v>6267.4484439999997</v>
      </c>
      <c r="AS154">
        <v>6267.9315740000002</v>
      </c>
      <c r="AT154">
        <v>6267.7657330000002</v>
      </c>
      <c r="AU154">
        <v>6267.340639</v>
      </c>
      <c r="AV154">
        <v>6266.4598889999997</v>
      </c>
      <c r="AW154">
        <v>6265.1348269999999</v>
      </c>
      <c r="AX154">
        <v>6262.9717570000003</v>
      </c>
    </row>
    <row r="155" spans="2:50" x14ac:dyDescent="0.25">
      <c r="B155" s="3"/>
      <c r="C155" s="25" t="s">
        <v>8</v>
      </c>
      <c r="D155">
        <v>0.97642519020762697</v>
      </c>
      <c r="E155">
        <v>0.98814229249011798</v>
      </c>
      <c r="F155">
        <v>1</v>
      </c>
      <c r="G155">
        <v>1.012</v>
      </c>
      <c r="H155">
        <v>1.0241439999999999</v>
      </c>
      <c r="I155">
        <v>1.036433728</v>
      </c>
      <c r="J155">
        <v>1.0488709329999999</v>
      </c>
      <c r="K155">
        <v>1.0614573839999999</v>
      </c>
      <c r="L155">
        <v>1.0741948729999999</v>
      </c>
      <c r="M155">
        <v>1.087085211</v>
      </c>
      <c r="N155">
        <v>1.1001302340000001</v>
      </c>
      <c r="O155">
        <v>1.113331796</v>
      </c>
      <c r="P155">
        <v>1.1266917780000001</v>
      </c>
      <c r="Q155">
        <v>1.1402120790000001</v>
      </c>
      <c r="R155">
        <v>1.1538946240000001</v>
      </c>
      <c r="S155">
        <v>1.16774136</v>
      </c>
      <c r="T155">
        <v>1.1817542560000001</v>
      </c>
      <c r="U155">
        <v>1.194753553</v>
      </c>
      <c r="V155">
        <v>1.2078958420000001</v>
      </c>
      <c r="W155">
        <v>1.226596947</v>
      </c>
      <c r="X155">
        <v>1.2401047249999999</v>
      </c>
      <c r="Y155">
        <v>1.248217986</v>
      </c>
      <c r="Z155">
        <v>1.257008237</v>
      </c>
      <c r="AA155">
        <v>1.2663833600000001</v>
      </c>
      <c r="AB155">
        <v>1.2764109889999999</v>
      </c>
      <c r="AC155">
        <v>1.286584102</v>
      </c>
      <c r="AD155">
        <v>1.297256237</v>
      </c>
      <c r="AE155">
        <v>1.3086671599999999</v>
      </c>
      <c r="AF155">
        <v>1.3206483760000001</v>
      </c>
      <c r="AG155">
        <v>1.333490431</v>
      </c>
      <c r="AH155">
        <v>1.3475322249999999</v>
      </c>
      <c r="AI155">
        <v>1.3629206810000001</v>
      </c>
      <c r="AJ155">
        <v>1.379979171</v>
      </c>
      <c r="AK155">
        <v>1.39901319</v>
      </c>
      <c r="AL155">
        <v>1.4188714659999999</v>
      </c>
      <c r="AM155">
        <v>1.439634981</v>
      </c>
      <c r="AN155">
        <v>1.46107075</v>
      </c>
      <c r="AO155">
        <v>1.483382451</v>
      </c>
      <c r="AP155">
        <v>1.5065307050000001</v>
      </c>
      <c r="AQ155">
        <v>1.5298493259999999</v>
      </c>
      <c r="AR155">
        <v>1.5531631290000001</v>
      </c>
      <c r="AS155">
        <v>1.5765024270000001</v>
      </c>
      <c r="AT155">
        <v>1.599996164</v>
      </c>
      <c r="AU155">
        <v>1.623719624</v>
      </c>
      <c r="AV155">
        <v>1.647851851</v>
      </c>
      <c r="AW155">
        <v>1.6722974500000001</v>
      </c>
      <c r="AX155">
        <v>1.697086356</v>
      </c>
    </row>
    <row r="156" spans="2:50" x14ac:dyDescent="0.25">
      <c r="B156" s="3"/>
      <c r="C156" s="25" t="s">
        <v>37</v>
      </c>
      <c r="E156">
        <v>4.0034451147056699E-2</v>
      </c>
      <c r="F156">
        <v>4.0034451147056699E-2</v>
      </c>
      <c r="G156">
        <v>3.8398621399999999E-2</v>
      </c>
      <c r="H156">
        <v>3.6515158200000002E-2</v>
      </c>
      <c r="I156">
        <v>3.6233179099999999E-2</v>
      </c>
      <c r="J156">
        <v>3.4419222300000003E-2</v>
      </c>
      <c r="K156">
        <v>3.3746022700000003E-2</v>
      </c>
      <c r="L156">
        <v>3.3148577399999997E-2</v>
      </c>
      <c r="M156">
        <v>3.2702068799999998E-2</v>
      </c>
      <c r="N156">
        <v>3.2060825799999998E-2</v>
      </c>
      <c r="O156">
        <v>3.1831813799999997E-2</v>
      </c>
      <c r="P156">
        <v>3.1290097199999999E-2</v>
      </c>
      <c r="Q156">
        <v>3.0808309799999999E-2</v>
      </c>
      <c r="R156">
        <v>3.1313187800000003E-2</v>
      </c>
      <c r="S156">
        <v>3.2522624E-2</v>
      </c>
      <c r="T156">
        <v>3.33114038E-2</v>
      </c>
      <c r="U156">
        <v>3.4145992999999999E-2</v>
      </c>
      <c r="V156">
        <v>3.4878735500000001E-2</v>
      </c>
      <c r="W156">
        <v>3.5579424700000001E-2</v>
      </c>
      <c r="X156">
        <v>3.6224814000000001E-2</v>
      </c>
      <c r="Y156">
        <v>3.6759682000000002E-2</v>
      </c>
      <c r="Z156">
        <v>3.7207434300000002E-2</v>
      </c>
      <c r="AA156">
        <v>3.7555651299999999E-2</v>
      </c>
      <c r="AB156">
        <v>3.7835799000000003E-2</v>
      </c>
      <c r="AC156">
        <v>3.8067003199999998E-2</v>
      </c>
      <c r="AD156">
        <v>3.8257635399999997E-2</v>
      </c>
      <c r="AE156">
        <v>3.8416330300000003E-2</v>
      </c>
      <c r="AF156">
        <v>3.8576881299999997E-2</v>
      </c>
      <c r="AG156">
        <v>3.86826885E-2</v>
      </c>
      <c r="AH156">
        <v>3.8788955399999998E-2</v>
      </c>
      <c r="AI156">
        <v>3.8894014300000002E-2</v>
      </c>
      <c r="AJ156">
        <v>3.89676828E-2</v>
      </c>
      <c r="AK156">
        <v>3.9080693800000003E-2</v>
      </c>
      <c r="AL156">
        <v>3.9174178800000001E-2</v>
      </c>
      <c r="AM156">
        <v>3.9254586899999999E-2</v>
      </c>
      <c r="AN156">
        <v>3.9321272900000002E-2</v>
      </c>
      <c r="AO156">
        <v>3.93764687E-2</v>
      </c>
      <c r="AP156">
        <v>3.9430357100000001E-2</v>
      </c>
      <c r="AQ156">
        <v>3.9473317000000001E-2</v>
      </c>
      <c r="AR156">
        <v>3.9507724100000002E-2</v>
      </c>
      <c r="AS156">
        <v>3.9534535900000001E-2</v>
      </c>
      <c r="AT156">
        <v>3.9553563299999997E-2</v>
      </c>
      <c r="AU156">
        <v>3.9571485500000003E-2</v>
      </c>
      <c r="AV156">
        <v>3.9587275900000003E-2</v>
      </c>
      <c r="AW156">
        <v>3.9599876700000002E-2</v>
      </c>
      <c r="AX156">
        <v>3.9608250900000003E-2</v>
      </c>
    </row>
    <row r="157" spans="2:50" x14ac:dyDescent="0.25">
      <c r="B157" s="3"/>
      <c r="C157" s="25" t="s">
        <v>38</v>
      </c>
      <c r="E157">
        <v>1040817.58910477</v>
      </c>
      <c r="F157">
        <v>1078678.81720303</v>
      </c>
      <c r="G157">
        <v>1124725.665</v>
      </c>
      <c r="H157">
        <v>1166240.7490000001</v>
      </c>
      <c r="I157">
        <v>1205835.257</v>
      </c>
      <c r="J157">
        <v>1275553.7660000001</v>
      </c>
      <c r="K157">
        <v>1363042.115</v>
      </c>
      <c r="L157">
        <v>1440080.87</v>
      </c>
      <c r="M157">
        <v>1521199.602</v>
      </c>
      <c r="N157">
        <v>1614138.7220000001</v>
      </c>
      <c r="O157">
        <v>1715276.6329999999</v>
      </c>
      <c r="P157">
        <v>1822815.8840000001</v>
      </c>
      <c r="Q157">
        <v>1934817.9110000001</v>
      </c>
      <c r="R157">
        <v>2041238.86</v>
      </c>
      <c r="S157">
        <v>2143518.4759999998</v>
      </c>
      <c r="T157">
        <v>2251863.58</v>
      </c>
      <c r="U157">
        <v>2375471.3050000002</v>
      </c>
      <c r="V157">
        <v>2514614.0380000002</v>
      </c>
      <c r="W157">
        <v>2662630.4559999998</v>
      </c>
      <c r="X157">
        <v>2822757.3280000002</v>
      </c>
      <c r="Y157">
        <v>2991797.554</v>
      </c>
      <c r="Z157">
        <v>3172147.196</v>
      </c>
      <c r="AA157">
        <v>3366256.642</v>
      </c>
      <c r="AB157">
        <v>3575894.9929999998</v>
      </c>
      <c r="AC157">
        <v>3799929.7379999999</v>
      </c>
      <c r="AD157">
        <v>4038598.0610000002</v>
      </c>
      <c r="AE157">
        <v>4290807.2340000002</v>
      </c>
      <c r="AF157">
        <v>4557189.1430000002</v>
      </c>
      <c r="AG157">
        <v>4839423.9009999996</v>
      </c>
      <c r="AH157">
        <v>5137448.9019999998</v>
      </c>
      <c r="AI157">
        <v>5452367.1660000002</v>
      </c>
      <c r="AJ157">
        <v>5785435.2379999999</v>
      </c>
      <c r="AK157">
        <v>6137173.2779999999</v>
      </c>
      <c r="AL157">
        <v>6510100.1129999999</v>
      </c>
      <c r="AM157">
        <v>6905467.2489999998</v>
      </c>
      <c r="AN157">
        <v>7324165.284</v>
      </c>
      <c r="AO157">
        <v>7767535.9620000003</v>
      </c>
      <c r="AP157">
        <v>8237353.9139999999</v>
      </c>
      <c r="AQ157">
        <v>8735659.3440000005</v>
      </c>
      <c r="AR157">
        <v>9263502.9350000005</v>
      </c>
      <c r="AS157">
        <v>9821864.4629999995</v>
      </c>
      <c r="AT157">
        <v>10411909.640000001</v>
      </c>
      <c r="AU157">
        <v>11035083.51</v>
      </c>
      <c r="AV157">
        <v>11692688.98</v>
      </c>
      <c r="AW157">
        <v>12386509.189999999</v>
      </c>
      <c r="AX157">
        <v>13118250.439999999</v>
      </c>
    </row>
    <row r="158" spans="2:50" x14ac:dyDescent="0.25">
      <c r="B158" s="3"/>
      <c r="C158" s="25" t="s">
        <v>39</v>
      </c>
      <c r="D158">
        <v>334613.16054844699</v>
      </c>
      <c r="E158">
        <v>346785.19273624098</v>
      </c>
      <c r="F158">
        <v>355569.93800000002</v>
      </c>
      <c r="G158">
        <v>362474.15049999999</v>
      </c>
      <c r="H158">
        <v>375166.89110000001</v>
      </c>
      <c r="I158">
        <v>389779.75660000002</v>
      </c>
      <c r="J158">
        <v>402784.48389999999</v>
      </c>
      <c r="K158">
        <v>413040.95329999999</v>
      </c>
      <c r="L158">
        <v>424174.07860000001</v>
      </c>
      <c r="M158">
        <v>435846.93920000002</v>
      </c>
      <c r="N158">
        <v>448624.69179999997</v>
      </c>
      <c r="O158">
        <v>460339.77340000001</v>
      </c>
      <c r="P158">
        <v>470567.91450000001</v>
      </c>
      <c r="Q158">
        <v>482243.94400000002</v>
      </c>
      <c r="R158">
        <v>497227.38870000001</v>
      </c>
      <c r="S158">
        <v>511861.13459999999</v>
      </c>
      <c r="T158">
        <v>538863.15529999998</v>
      </c>
      <c r="U158">
        <v>556795.1973</v>
      </c>
      <c r="V158">
        <v>575163.65060000005</v>
      </c>
      <c r="W158">
        <v>596984.80830000003</v>
      </c>
      <c r="X158">
        <v>616974.23380000005</v>
      </c>
      <c r="Y158">
        <v>634679.92779999995</v>
      </c>
      <c r="Z158">
        <v>653454.95449999999</v>
      </c>
      <c r="AA158">
        <v>673062.18149999995</v>
      </c>
      <c r="AB158">
        <v>693389.22710000002</v>
      </c>
      <c r="AC158">
        <v>714103.46499999997</v>
      </c>
      <c r="AD158">
        <v>735453.21470000001</v>
      </c>
      <c r="AE158">
        <v>757778.37509999995</v>
      </c>
      <c r="AF158">
        <v>780812.15009999997</v>
      </c>
      <c r="AG158">
        <v>804843.18429999996</v>
      </c>
      <c r="AH158">
        <v>830262.72230000002</v>
      </c>
      <c r="AI158">
        <v>857164.69220000005</v>
      </c>
      <c r="AJ158">
        <v>886008.83929999999</v>
      </c>
      <c r="AK158">
        <v>916985.61609999998</v>
      </c>
      <c r="AL158">
        <v>949377.62329999998</v>
      </c>
      <c r="AM158">
        <v>983215.05</v>
      </c>
      <c r="AN158">
        <v>1018350.6139999999</v>
      </c>
      <c r="AO158">
        <v>1055003.878</v>
      </c>
      <c r="AP158">
        <v>1093209.6029999999</v>
      </c>
      <c r="AQ158">
        <v>1132492.2960000001</v>
      </c>
      <c r="AR158">
        <v>1172796.622</v>
      </c>
      <c r="AS158">
        <v>1214082.8910000001</v>
      </c>
      <c r="AT158">
        <v>1256510.675</v>
      </c>
      <c r="AU158">
        <v>1300223.3700000001</v>
      </c>
      <c r="AV158">
        <v>1345362.882</v>
      </c>
      <c r="AW158">
        <v>1391885.459</v>
      </c>
      <c r="AX158">
        <v>1439837.9609999999</v>
      </c>
    </row>
    <row r="159" spans="2:50" x14ac:dyDescent="0.25">
      <c r="B159" s="3"/>
      <c r="C159" s="25" t="s">
        <v>87</v>
      </c>
      <c r="D159">
        <v>0</v>
      </c>
      <c r="E159">
        <v>0</v>
      </c>
      <c r="F159">
        <v>0</v>
      </c>
      <c r="G159">
        <v>981.71740569999997</v>
      </c>
      <c r="H159">
        <v>1275.764584</v>
      </c>
      <c r="I159">
        <v>1256.1846029999999</v>
      </c>
      <c r="J159">
        <v>962.83366820000003</v>
      </c>
      <c r="K159">
        <v>907.83579120344098</v>
      </c>
      <c r="L159">
        <v>730.04443793057101</v>
      </c>
      <c r="M159">
        <v>1046.0338633136</v>
      </c>
      <c r="N159">
        <v>1478.0555924535399</v>
      </c>
      <c r="O159">
        <v>2067.93911695003</v>
      </c>
      <c r="P159">
        <v>1560.2962204850101</v>
      </c>
      <c r="Q159">
        <v>1611.5249479286499</v>
      </c>
      <c r="R159">
        <v>1227.2902218648501</v>
      </c>
      <c r="S159">
        <v>1845.61561109695</v>
      </c>
      <c r="T159">
        <v>1829.2329825458601</v>
      </c>
      <c r="U159">
        <v>3502.7992083540598</v>
      </c>
      <c r="V159">
        <v>2632.5167987611399</v>
      </c>
      <c r="W159">
        <v>2779.9115992563702</v>
      </c>
      <c r="X159" s="24">
        <v>1.4974830264691199E-9</v>
      </c>
      <c r="Y159" s="24">
        <v>-3.3847254599095301E-7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2:50" x14ac:dyDescent="0.25">
      <c r="B160" s="3"/>
      <c r="C160" s="25" t="s">
        <v>40</v>
      </c>
      <c r="D160">
        <v>0</v>
      </c>
      <c r="E160">
        <v>0</v>
      </c>
      <c r="F160">
        <v>0</v>
      </c>
      <c r="G160">
        <v>0</v>
      </c>
      <c r="H160">
        <v>-146.1568862</v>
      </c>
      <c r="I160">
        <v>-138.40401420000001</v>
      </c>
      <c r="J160">
        <v>-122.1721342</v>
      </c>
      <c r="K160">
        <v>-60.537773860000001</v>
      </c>
      <c r="L160">
        <v>30.85194285</v>
      </c>
      <c r="M160">
        <v>248.6645532</v>
      </c>
      <c r="N160">
        <v>291.27212850000001</v>
      </c>
      <c r="O160">
        <v>-1159.066388</v>
      </c>
      <c r="P160">
        <v>-1100.111682</v>
      </c>
      <c r="Q160">
        <v>-1744.0667120000001</v>
      </c>
      <c r="R160">
        <v>-2367.1233390000002</v>
      </c>
      <c r="S160">
        <v>-1949.7674239999999</v>
      </c>
      <c r="T160">
        <v>-3557.2983020000001</v>
      </c>
      <c r="U160">
        <v>-1245.6667669999999</v>
      </c>
      <c r="V160">
        <v>-1567.860815</v>
      </c>
      <c r="W160">
        <v>-1318.5096900000001</v>
      </c>
      <c r="X160">
        <v>-1089.096569</v>
      </c>
      <c r="Y160">
        <v>-834.97631230000002</v>
      </c>
      <c r="Z160">
        <v>-654.10895619999997</v>
      </c>
      <c r="AA160">
        <v>-385.80999250000002</v>
      </c>
      <c r="AB160">
        <v>-87.32238203</v>
      </c>
      <c r="AC160">
        <v>220.50949660000001</v>
      </c>
      <c r="AD160">
        <v>523.98179540000001</v>
      </c>
      <c r="AE160">
        <v>816.38039040000001</v>
      </c>
      <c r="AF160">
        <v>1045.0485229999999</v>
      </c>
      <c r="AG160">
        <v>1266.758088</v>
      </c>
      <c r="AH160">
        <v>1478.854904</v>
      </c>
      <c r="AI160">
        <v>1599.7516350000001</v>
      </c>
      <c r="AJ160">
        <v>1825.8886729999999</v>
      </c>
      <c r="AK160">
        <v>2021.743737</v>
      </c>
      <c r="AL160">
        <v>2193.8385119999998</v>
      </c>
      <c r="AM160">
        <v>2349.5787909999999</v>
      </c>
      <c r="AN160">
        <v>2490.13177</v>
      </c>
      <c r="AO160">
        <v>2607.5032820000001</v>
      </c>
      <c r="AP160">
        <v>2726.8899099999999</v>
      </c>
      <c r="AQ160">
        <v>2844.577777</v>
      </c>
      <c r="AR160">
        <v>2957.4706160000001</v>
      </c>
      <c r="AS160">
        <v>3064.872167</v>
      </c>
      <c r="AT160">
        <v>3152.5613060000001</v>
      </c>
      <c r="AU160">
        <v>3242.7209619999999</v>
      </c>
      <c r="AV160">
        <v>3331.0838290000002</v>
      </c>
      <c r="AW160">
        <v>3414.7951560000001</v>
      </c>
      <c r="AX160">
        <v>3498.0361670000002</v>
      </c>
    </row>
    <row r="161" spans="2:50" x14ac:dyDescent="0.25">
      <c r="B161" s="3"/>
      <c r="C161" s="25" t="s">
        <v>21</v>
      </c>
      <c r="D161">
        <v>0.96116878123798499</v>
      </c>
      <c r="E161">
        <v>0.98039215686274495</v>
      </c>
      <c r="F161">
        <v>0.97579872170000004</v>
      </c>
      <c r="G161">
        <v>0.96922966669999999</v>
      </c>
      <c r="H161">
        <v>1.01679575</v>
      </c>
      <c r="I161">
        <v>0.96537061810000002</v>
      </c>
      <c r="J161">
        <v>0.98679906539999995</v>
      </c>
      <c r="K161">
        <v>1.0369927370000001</v>
      </c>
      <c r="L161">
        <v>1.083024969</v>
      </c>
      <c r="M161">
        <v>1.0835506640000001</v>
      </c>
      <c r="N161">
        <v>1.0703967919999999</v>
      </c>
      <c r="O161">
        <v>1.0339060090000001</v>
      </c>
      <c r="P161">
        <v>1.014265808</v>
      </c>
      <c r="Q161">
        <v>1.0601220330000001</v>
      </c>
      <c r="R161">
        <v>1.1460073740000001</v>
      </c>
      <c r="S161">
        <v>1.182573951</v>
      </c>
      <c r="T161">
        <v>1.20891747</v>
      </c>
      <c r="U161">
        <v>1.234388193</v>
      </c>
      <c r="V161">
        <v>1.2613496200000001</v>
      </c>
      <c r="W161">
        <v>1.287053819</v>
      </c>
      <c r="X161">
        <v>1.316645719</v>
      </c>
      <c r="Y161">
        <v>1.340716655</v>
      </c>
      <c r="Z161">
        <v>1.3621166689999999</v>
      </c>
      <c r="AA161">
        <v>1.3852648270000001</v>
      </c>
      <c r="AB161">
        <v>1.4090122309999999</v>
      </c>
      <c r="AC161">
        <v>1.4335115270000001</v>
      </c>
      <c r="AD161">
        <v>1.458387181</v>
      </c>
      <c r="AE161">
        <v>1.4833603660000001</v>
      </c>
      <c r="AF161">
        <v>1.5089702620000001</v>
      </c>
      <c r="AG161">
        <v>1.5342322100000001</v>
      </c>
      <c r="AH161">
        <v>1.5599684840000001</v>
      </c>
      <c r="AI161">
        <v>1.5861141080000001</v>
      </c>
      <c r="AJ161">
        <v>1.6127242289999999</v>
      </c>
      <c r="AK161">
        <v>1.63963525</v>
      </c>
      <c r="AL161">
        <v>1.6676490930000001</v>
      </c>
      <c r="AM161">
        <v>1.69626462</v>
      </c>
      <c r="AN161">
        <v>1.7256489559999999</v>
      </c>
      <c r="AO161">
        <v>1.7560280239999999</v>
      </c>
      <c r="AP161">
        <v>1.7870391539999999</v>
      </c>
      <c r="AQ161">
        <v>1.818998431</v>
      </c>
      <c r="AR161">
        <v>1.8517064400000001</v>
      </c>
      <c r="AS161">
        <v>1.8851708469999999</v>
      </c>
      <c r="AT161">
        <v>1.9199185139999999</v>
      </c>
      <c r="AU161">
        <v>1.9555548629999999</v>
      </c>
      <c r="AV161">
        <v>1.992720818</v>
      </c>
      <c r="AW161">
        <v>2.0296192</v>
      </c>
      <c r="AX161">
        <v>2.0671640619999998</v>
      </c>
    </row>
    <row r="162" spans="2:50" x14ac:dyDescent="0.25">
      <c r="B162" s="3"/>
      <c r="C162" s="25" t="s">
        <v>22</v>
      </c>
      <c r="D162">
        <v>6240.0203969263302</v>
      </c>
      <c r="E162">
        <v>6340.2059427907698</v>
      </c>
      <c r="F162">
        <v>6469.6179400000001</v>
      </c>
      <c r="G162">
        <v>6611.6570320000001</v>
      </c>
      <c r="H162">
        <v>6618.2921649999998</v>
      </c>
      <c r="I162">
        <v>6789.5942450000002</v>
      </c>
      <c r="J162">
        <v>6812.2372910000004</v>
      </c>
      <c r="K162">
        <v>6793.1647370000001</v>
      </c>
      <c r="L162">
        <v>6788.7557980000001</v>
      </c>
      <c r="M162">
        <v>6846.032698</v>
      </c>
      <c r="N162">
        <v>6893.5129550000001</v>
      </c>
      <c r="O162">
        <v>6994.3660490000002</v>
      </c>
      <c r="P162">
        <v>6735.5194309999997</v>
      </c>
      <c r="Q162">
        <v>6476.6728199999998</v>
      </c>
      <c r="R162">
        <v>6217.8262029999996</v>
      </c>
      <c r="S162">
        <v>5958.9795860000004</v>
      </c>
      <c r="T162">
        <v>5700.1329669999996</v>
      </c>
      <c r="U162">
        <v>5700.1329669999996</v>
      </c>
      <c r="V162">
        <v>5700.1329669999996</v>
      </c>
      <c r="W162">
        <v>5700.1329669999996</v>
      </c>
      <c r="X162">
        <v>5656.8979019999997</v>
      </c>
      <c r="Y162">
        <v>5613.6628380000002</v>
      </c>
      <c r="Z162">
        <v>5570.4277730000003</v>
      </c>
      <c r="AA162">
        <v>5527.1927089999999</v>
      </c>
      <c r="AB162">
        <v>5483.9576440000001</v>
      </c>
      <c r="AC162">
        <v>5440.7225799999997</v>
      </c>
      <c r="AD162">
        <v>5397.4875160000001</v>
      </c>
      <c r="AE162">
        <v>5354.2524510000003</v>
      </c>
      <c r="AF162">
        <v>5311.0173860000004</v>
      </c>
      <c r="AG162">
        <v>5267.782322</v>
      </c>
      <c r="AH162">
        <v>5224.5472570000002</v>
      </c>
      <c r="AI162">
        <v>5181.3121929999998</v>
      </c>
      <c r="AJ162">
        <v>5138.0771279999999</v>
      </c>
      <c r="AK162">
        <v>5094.8420630000001</v>
      </c>
      <c r="AL162">
        <v>5051.6069989999996</v>
      </c>
      <c r="AM162">
        <v>5008.3719339999998</v>
      </c>
      <c r="AN162">
        <v>4965.1368700000003</v>
      </c>
      <c r="AO162">
        <v>4921.9018050000004</v>
      </c>
      <c r="AP162">
        <v>4878.666741</v>
      </c>
      <c r="AQ162">
        <v>4835.4316760000002</v>
      </c>
      <c r="AR162">
        <v>4792.1966119999997</v>
      </c>
      <c r="AS162">
        <v>4748.9615469999999</v>
      </c>
      <c r="AT162">
        <v>4705.7264830000004</v>
      </c>
      <c r="AU162">
        <v>4662.491419</v>
      </c>
      <c r="AV162">
        <v>4619.2563540000001</v>
      </c>
      <c r="AW162">
        <v>4576.0212899999997</v>
      </c>
      <c r="AX162">
        <v>4532.7862249999998</v>
      </c>
    </row>
    <row r="163" spans="2:50" x14ac:dyDescent="0.25">
      <c r="B163" s="3"/>
      <c r="C163" s="25" t="s">
        <v>23</v>
      </c>
      <c r="D163">
        <v>0.96116878123798499</v>
      </c>
      <c r="E163">
        <v>0.98039215686274495</v>
      </c>
      <c r="F163">
        <v>0.98715589240000001</v>
      </c>
      <c r="G163">
        <v>0.98997305430000004</v>
      </c>
      <c r="H163">
        <v>0.99954962030000005</v>
      </c>
      <c r="I163">
        <v>1.009407875</v>
      </c>
      <c r="J163">
        <v>1.0168192949999999</v>
      </c>
      <c r="K163">
        <v>1.020895809</v>
      </c>
      <c r="L163">
        <v>1.0266590280000001</v>
      </c>
      <c r="M163">
        <v>1.0357765729999999</v>
      </c>
      <c r="N163">
        <v>1.046617527</v>
      </c>
      <c r="O163">
        <v>1.061177933</v>
      </c>
      <c r="P163">
        <v>1.071518553</v>
      </c>
      <c r="Q163">
        <v>1.0829610409999999</v>
      </c>
      <c r="R163">
        <v>1.0992964679999999</v>
      </c>
      <c r="S163">
        <v>1.1184686749999999</v>
      </c>
      <c r="T163">
        <v>1.141003472</v>
      </c>
      <c r="U163">
        <v>1.1638848959999999</v>
      </c>
      <c r="V163">
        <v>1.187309524</v>
      </c>
      <c r="W163">
        <v>1.211297002</v>
      </c>
      <c r="X163">
        <v>1.2356155710000001</v>
      </c>
      <c r="Y163">
        <v>1.260280504</v>
      </c>
      <c r="Z163">
        <v>1.2854539899999999</v>
      </c>
      <c r="AA163">
        <v>1.3111097540000001</v>
      </c>
      <c r="AB163">
        <v>1.337239608</v>
      </c>
      <c r="AC163">
        <v>1.3638350779999999</v>
      </c>
      <c r="AD163">
        <v>1.390936011</v>
      </c>
      <c r="AE163">
        <v>1.4187342869999999</v>
      </c>
      <c r="AF163">
        <v>1.4470869500000001</v>
      </c>
      <c r="AG163">
        <v>1.4760299400000001</v>
      </c>
      <c r="AH163">
        <v>1.5056244990000001</v>
      </c>
      <c r="AI163">
        <v>1.535918766</v>
      </c>
      <c r="AJ163">
        <v>1.566859217</v>
      </c>
      <c r="AK163">
        <v>1.598461618</v>
      </c>
      <c r="AL163">
        <v>1.6306852510000001</v>
      </c>
      <c r="AM163">
        <v>1.663528404</v>
      </c>
      <c r="AN163">
        <v>1.696998483</v>
      </c>
      <c r="AO163">
        <v>1.7310007430000001</v>
      </c>
      <c r="AP163">
        <v>1.765573874</v>
      </c>
      <c r="AQ163">
        <v>1.800739036</v>
      </c>
      <c r="AR163">
        <v>1.836515103</v>
      </c>
      <c r="AS163">
        <v>1.872926418</v>
      </c>
      <c r="AT163">
        <v>1.9100113860000001</v>
      </c>
      <c r="AU163">
        <v>1.9477888809999999</v>
      </c>
      <c r="AV163">
        <v>1.9862885749999999</v>
      </c>
      <c r="AW163">
        <v>2.0255274499999998</v>
      </c>
      <c r="AX163">
        <v>2.0656628430000001</v>
      </c>
    </row>
    <row r="164" spans="2:50" x14ac:dyDescent="0.25">
      <c r="B164" s="3"/>
      <c r="C164" s="25" t="s">
        <v>24</v>
      </c>
      <c r="D164">
        <v>82435.687031980502</v>
      </c>
      <c r="E164">
        <v>83759.218651857402</v>
      </c>
      <c r="F164">
        <v>85104</v>
      </c>
      <c r="G164">
        <v>87702.8505</v>
      </c>
      <c r="H164">
        <v>87347.402400000006</v>
      </c>
      <c r="I164">
        <v>81212.651859999998</v>
      </c>
      <c r="J164">
        <v>83689.452229999995</v>
      </c>
      <c r="K164">
        <v>84881.789090000006</v>
      </c>
      <c r="L164">
        <v>84374.317670000004</v>
      </c>
      <c r="M164">
        <v>84545.88751</v>
      </c>
      <c r="N164">
        <v>85552.174750000006</v>
      </c>
      <c r="O164">
        <v>87518.849199999997</v>
      </c>
      <c r="P164">
        <v>88546.005189999996</v>
      </c>
      <c r="Q164">
        <v>91888.629860000001</v>
      </c>
      <c r="R164">
        <v>93942.281839999996</v>
      </c>
      <c r="S164">
        <v>96689.981440000003</v>
      </c>
      <c r="T164">
        <v>98040.456200000001</v>
      </c>
      <c r="U164">
        <v>99373.416209999996</v>
      </c>
      <c r="V164">
        <v>100652.0243</v>
      </c>
      <c r="W164">
        <v>102227.7022</v>
      </c>
      <c r="X164">
        <v>103679.95</v>
      </c>
      <c r="Y164">
        <v>104846.1249</v>
      </c>
      <c r="Z164">
        <v>105880.2236</v>
      </c>
      <c r="AA164">
        <v>106906.63989999999</v>
      </c>
      <c r="AB164">
        <v>107958.9134</v>
      </c>
      <c r="AC164">
        <v>109027.0266</v>
      </c>
      <c r="AD164">
        <v>110125.3269</v>
      </c>
      <c r="AE164">
        <v>111211.06170000001</v>
      </c>
      <c r="AF164">
        <v>112349.66160000001</v>
      </c>
      <c r="AG164">
        <v>113541.27009999999</v>
      </c>
      <c r="AH164">
        <v>114802.3406</v>
      </c>
      <c r="AI164">
        <v>116166.9953</v>
      </c>
      <c r="AJ164">
        <v>117633.59789999999</v>
      </c>
      <c r="AK164">
        <v>119226.3688</v>
      </c>
      <c r="AL164">
        <v>120912.3425</v>
      </c>
      <c r="AM164">
        <v>122678.0047</v>
      </c>
      <c r="AN164">
        <v>124503.162</v>
      </c>
      <c r="AO164">
        <v>126389.8633</v>
      </c>
      <c r="AP164">
        <v>128338.5082</v>
      </c>
      <c r="AQ164">
        <v>130312.5086</v>
      </c>
      <c r="AR164">
        <v>132298.47</v>
      </c>
      <c r="AS164">
        <v>134283.83059999999</v>
      </c>
      <c r="AT164">
        <v>136272.99830000001</v>
      </c>
      <c r="AU164">
        <v>138269.57990000001</v>
      </c>
      <c r="AV164">
        <v>140283.33730000001</v>
      </c>
      <c r="AW164">
        <v>142313.46679999999</v>
      </c>
      <c r="AX164">
        <v>144365.15479999999</v>
      </c>
    </row>
    <row r="165" spans="2:50" x14ac:dyDescent="0.25">
      <c r="B165" s="3"/>
      <c r="C165" s="25" t="s">
        <v>25</v>
      </c>
      <c r="D165">
        <v>0.96116878123798499</v>
      </c>
      <c r="E165">
        <v>0.98039215686274495</v>
      </c>
      <c r="F165">
        <v>0.97820824780000004</v>
      </c>
      <c r="G165">
        <v>0.98496723180000001</v>
      </c>
      <c r="H165">
        <v>0.99826355690000002</v>
      </c>
      <c r="I165">
        <v>0.99968759309999999</v>
      </c>
      <c r="J165">
        <v>0.99995771320000004</v>
      </c>
      <c r="K165">
        <v>0.99685740550000002</v>
      </c>
      <c r="L165">
        <v>0.9921762073</v>
      </c>
      <c r="M165">
        <v>0.99125017780000002</v>
      </c>
      <c r="N165">
        <v>0.99556701459999997</v>
      </c>
      <c r="O165">
        <v>1.004073148</v>
      </c>
      <c r="P165">
        <v>1.0108111129999999</v>
      </c>
      <c r="Q165">
        <v>1.021306815</v>
      </c>
      <c r="R165">
        <v>1.0377082790000001</v>
      </c>
      <c r="S165">
        <v>1.0617254279999999</v>
      </c>
      <c r="T165">
        <v>1.083178068</v>
      </c>
      <c r="U165">
        <v>1.1050454670000001</v>
      </c>
      <c r="V165">
        <v>1.127335679</v>
      </c>
      <c r="W165">
        <v>1.150068012</v>
      </c>
      <c r="X165">
        <v>1.1732496429999999</v>
      </c>
      <c r="Y165">
        <v>1.1968737709999999</v>
      </c>
      <c r="Z165">
        <v>1.2209797330000001</v>
      </c>
      <c r="AA165">
        <v>1.245565942</v>
      </c>
      <c r="AB165">
        <v>1.2705952490000001</v>
      </c>
      <c r="AC165">
        <v>1.2960693219999999</v>
      </c>
      <c r="AD165">
        <v>1.3220045250000001</v>
      </c>
      <c r="AE165">
        <v>1.348436148</v>
      </c>
      <c r="AF165">
        <v>1.375386564</v>
      </c>
      <c r="AG165">
        <v>1.4028751859999999</v>
      </c>
      <c r="AH165">
        <v>1.430941003</v>
      </c>
      <c r="AI165">
        <v>1.459600794</v>
      </c>
      <c r="AJ165">
        <v>1.488877762</v>
      </c>
      <c r="AK165">
        <v>1.5187882660000001</v>
      </c>
      <c r="AL165">
        <v>1.5493166519999999</v>
      </c>
      <c r="AM165">
        <v>1.5804617759999999</v>
      </c>
      <c r="AN165">
        <v>1.612229849</v>
      </c>
      <c r="AO165">
        <v>1.644609709</v>
      </c>
      <c r="AP165">
        <v>1.677590924</v>
      </c>
      <c r="AQ165">
        <v>1.7111732740000001</v>
      </c>
      <c r="AR165">
        <v>1.745360223</v>
      </c>
      <c r="AS165">
        <v>1.7801598240000001</v>
      </c>
      <c r="AT165">
        <v>1.8155854330000001</v>
      </c>
      <c r="AU165">
        <v>1.8516501759999999</v>
      </c>
      <c r="AV165">
        <v>1.8883709479999999</v>
      </c>
      <c r="AW165">
        <v>1.9257638459999999</v>
      </c>
      <c r="AX165">
        <v>1.9638729699999999</v>
      </c>
    </row>
    <row r="166" spans="2:50" x14ac:dyDescent="0.25">
      <c r="B166" s="3"/>
      <c r="C166" s="25" t="s">
        <v>26</v>
      </c>
      <c r="D166">
        <v>7392.7096661505402</v>
      </c>
      <c r="E166">
        <v>7511.4020110802803</v>
      </c>
      <c r="F166">
        <v>7627.9475000000002</v>
      </c>
      <c r="G166">
        <v>7747.4082740000003</v>
      </c>
      <c r="H166">
        <v>7794.4038270000001</v>
      </c>
      <c r="I166">
        <v>7892.220421</v>
      </c>
      <c r="J166">
        <v>7985.1838600000001</v>
      </c>
      <c r="K166">
        <v>8098.6283439999997</v>
      </c>
      <c r="L166">
        <v>8230.1033939999998</v>
      </c>
      <c r="M166">
        <v>8357.3119229999902</v>
      </c>
      <c r="N166">
        <v>8433.5992970000007</v>
      </c>
      <c r="O166">
        <v>8524.0346379999901</v>
      </c>
      <c r="P166">
        <v>8629.0380359999999</v>
      </c>
      <c r="Q166">
        <v>8763.1096799999996</v>
      </c>
      <c r="R166">
        <v>8866.1803510000009</v>
      </c>
      <c r="S166">
        <v>8967.4405050000005</v>
      </c>
      <c r="T166">
        <v>9090.9174270000003</v>
      </c>
      <c r="U166">
        <v>9214.0421559999995</v>
      </c>
      <c r="V166">
        <v>9332.4876920000006</v>
      </c>
      <c r="W166">
        <v>9478.5167380000003</v>
      </c>
      <c r="X166">
        <v>9612.4475340000008</v>
      </c>
      <c r="Y166">
        <v>9719.6061160000008</v>
      </c>
      <c r="Z166">
        <v>9814.2476729999998</v>
      </c>
      <c r="AA166">
        <v>9907.87696399999</v>
      </c>
      <c r="AB166">
        <v>10003.5712</v>
      </c>
      <c r="AC166">
        <v>10100.367120000001</v>
      </c>
      <c r="AD166">
        <v>10199.55553</v>
      </c>
      <c r="AE166">
        <v>10300.41944</v>
      </c>
      <c r="AF166">
        <v>10406.184649999999</v>
      </c>
      <c r="AG166">
        <v>10516.86484</v>
      </c>
      <c r="AH166">
        <v>10633.984469999999</v>
      </c>
      <c r="AI166">
        <v>10760.70486</v>
      </c>
      <c r="AJ166">
        <v>10896.87523</v>
      </c>
      <c r="AK166">
        <v>11044.74006</v>
      </c>
      <c r="AL166">
        <v>11201.246429999999</v>
      </c>
      <c r="AM166">
        <v>11365.14302</v>
      </c>
      <c r="AN166">
        <v>11534.55961</v>
      </c>
      <c r="AO166">
        <v>11709.686470000001</v>
      </c>
      <c r="AP166">
        <v>11890.561040000001</v>
      </c>
      <c r="AQ166">
        <v>12073.79376</v>
      </c>
      <c r="AR166">
        <v>12258.14373</v>
      </c>
      <c r="AS166">
        <v>12442.44701</v>
      </c>
      <c r="AT166">
        <v>12627.11198</v>
      </c>
      <c r="AU166">
        <v>12812.47285</v>
      </c>
      <c r="AV166">
        <v>12999.434209999999</v>
      </c>
      <c r="AW166">
        <v>13187.92164</v>
      </c>
      <c r="AX166">
        <v>13378.415849999999</v>
      </c>
    </row>
    <row r="167" spans="2:50" x14ac:dyDescent="0.25">
      <c r="B167" s="3"/>
      <c r="C167" s="25" t="s">
        <v>41</v>
      </c>
      <c r="D167">
        <v>0.96116878123798499</v>
      </c>
      <c r="E167">
        <v>0.98039215686274495</v>
      </c>
      <c r="F167">
        <v>0.99126324099999996</v>
      </c>
      <c r="G167">
        <v>0.99095385329999996</v>
      </c>
      <c r="H167">
        <v>0.99273778499999998</v>
      </c>
      <c r="I167">
        <v>1.004719991</v>
      </c>
      <c r="J167">
        <v>1.022615375</v>
      </c>
      <c r="K167">
        <v>1.035848364</v>
      </c>
      <c r="L167">
        <v>1.046621829</v>
      </c>
      <c r="M167">
        <v>1.0573679549999999</v>
      </c>
      <c r="N167">
        <v>1.0755292949999999</v>
      </c>
      <c r="O167">
        <v>1.105994363</v>
      </c>
      <c r="P167">
        <v>1.126706751</v>
      </c>
      <c r="Q167">
        <v>1.139826432</v>
      </c>
      <c r="R167">
        <v>1.1500562620000001</v>
      </c>
      <c r="S167">
        <v>1.159953102</v>
      </c>
      <c r="T167">
        <v>1.183317827</v>
      </c>
      <c r="U167">
        <v>1.207110594</v>
      </c>
      <c r="V167">
        <v>1.231469033</v>
      </c>
      <c r="W167">
        <v>1.2563099769999999</v>
      </c>
      <c r="X167">
        <v>1.281507942</v>
      </c>
      <c r="Y167">
        <v>1.3072037270000001</v>
      </c>
      <c r="Z167">
        <v>1.3333736709999999</v>
      </c>
      <c r="AA167">
        <v>1.3600832839999999</v>
      </c>
      <c r="AB167">
        <v>1.387313738</v>
      </c>
      <c r="AC167">
        <v>1.4150310589999999</v>
      </c>
      <c r="AD167">
        <v>1.4432551090000001</v>
      </c>
      <c r="AE167">
        <v>1.472163149</v>
      </c>
      <c r="AF167">
        <v>1.5016058859999999</v>
      </c>
      <c r="AG167">
        <v>1.531591213</v>
      </c>
      <c r="AH167">
        <v>1.5621840069999999</v>
      </c>
      <c r="AI167">
        <v>1.5934537339999999</v>
      </c>
      <c r="AJ167">
        <v>1.62535538</v>
      </c>
      <c r="AK167">
        <v>1.657925753</v>
      </c>
      <c r="AL167">
        <v>1.6911728829999999</v>
      </c>
      <c r="AM167">
        <v>1.725091025</v>
      </c>
      <c r="AN167">
        <v>1.7596844030000001</v>
      </c>
      <c r="AO167">
        <v>1.7948170649999999</v>
      </c>
      <c r="AP167">
        <v>1.8306644489999999</v>
      </c>
      <c r="AQ167">
        <v>1.867226909</v>
      </c>
      <c r="AR167">
        <v>1.904472173</v>
      </c>
      <c r="AS167">
        <v>1.9423948390000001</v>
      </c>
      <c r="AT167">
        <v>1.981023599</v>
      </c>
      <c r="AU167">
        <v>2.0203798929999999</v>
      </c>
      <c r="AV167">
        <v>2.0604748389999998</v>
      </c>
      <c r="AW167">
        <v>2.1013198960000001</v>
      </c>
      <c r="AX167">
        <v>2.1432451229999998</v>
      </c>
    </row>
    <row r="168" spans="2:50" x14ac:dyDescent="0.25">
      <c r="B168" s="3"/>
      <c r="C168" s="25" t="s">
        <v>42</v>
      </c>
      <c r="D168">
        <v>58700.943196853899</v>
      </c>
      <c r="E168">
        <v>59643.405827237402</v>
      </c>
      <c r="F168">
        <v>60601</v>
      </c>
      <c r="G168">
        <v>61569.98173</v>
      </c>
      <c r="H168">
        <v>60512.820480000002</v>
      </c>
      <c r="I168">
        <v>62405.892359999998</v>
      </c>
      <c r="J168">
        <v>62046.793799999999</v>
      </c>
      <c r="K168">
        <v>58826.593690000002</v>
      </c>
      <c r="L168">
        <v>60454.486790000003</v>
      </c>
      <c r="M168">
        <v>59410.93404</v>
      </c>
      <c r="N168">
        <v>56766.535320000003</v>
      </c>
      <c r="O168">
        <v>54970.175810000001</v>
      </c>
      <c r="P168">
        <v>55748.46441</v>
      </c>
      <c r="Q168">
        <v>54942.252399999998</v>
      </c>
      <c r="R168">
        <v>56537.157769999998</v>
      </c>
      <c r="S168">
        <v>61577.143539999997</v>
      </c>
      <c r="T168">
        <v>62443.353410000003</v>
      </c>
      <c r="U168">
        <v>63232.599629999997</v>
      </c>
      <c r="V168">
        <v>64025.374369999998</v>
      </c>
      <c r="W168">
        <v>65158.279739999998</v>
      </c>
      <c r="X168">
        <v>66028.2736</v>
      </c>
      <c r="Y168">
        <v>66613.166140000001</v>
      </c>
      <c r="Z168">
        <v>67212.70362</v>
      </c>
      <c r="AA168">
        <v>67835.279569999999</v>
      </c>
      <c r="AB168">
        <v>68491.574609999996</v>
      </c>
      <c r="AC168">
        <v>69151.86825</v>
      </c>
      <c r="AD168">
        <v>69834.74987</v>
      </c>
      <c r="AE168">
        <v>70559.586379999906</v>
      </c>
      <c r="AF168">
        <v>71325.373850000004</v>
      </c>
      <c r="AG168">
        <v>72132.761199999906</v>
      </c>
      <c r="AH168">
        <v>72997.927859999996</v>
      </c>
      <c r="AI168">
        <v>73946.504910000003</v>
      </c>
      <c r="AJ168">
        <v>74965.771280000001</v>
      </c>
      <c r="AK168">
        <v>76078.86593</v>
      </c>
      <c r="AL168">
        <v>77229.195860000007</v>
      </c>
      <c r="AM168">
        <v>78420.094620000003</v>
      </c>
      <c r="AN168">
        <v>79637.399730000005</v>
      </c>
      <c r="AO168">
        <v>80893.151599999997</v>
      </c>
      <c r="AP168">
        <v>82179.260840000003</v>
      </c>
      <c r="AQ168">
        <v>83460.568710000007</v>
      </c>
      <c r="AR168">
        <v>84736.094949999999</v>
      </c>
      <c r="AS168">
        <v>86003.483300000007</v>
      </c>
      <c r="AT168">
        <v>87271.886320000005</v>
      </c>
      <c r="AU168">
        <v>88548.972469999906</v>
      </c>
      <c r="AV168">
        <v>89841.940059999906</v>
      </c>
      <c r="AW168">
        <v>91145.61305</v>
      </c>
      <c r="AX168">
        <v>92469.683229999995</v>
      </c>
    </row>
    <row r="169" spans="2:50" x14ac:dyDescent="0.25">
      <c r="B169" s="3"/>
      <c r="C169" s="25" t="s">
        <v>43</v>
      </c>
      <c r="D169">
        <v>0.96116878123798499</v>
      </c>
      <c r="E169">
        <v>0.98039215686274495</v>
      </c>
      <c r="F169">
        <v>0.98015895099999994</v>
      </c>
      <c r="G169">
        <v>0.985781931</v>
      </c>
      <c r="H169">
        <v>0.99781248730000005</v>
      </c>
      <c r="I169">
        <v>1.000915016</v>
      </c>
      <c r="J169">
        <v>1.0025584190000001</v>
      </c>
      <c r="K169">
        <v>1.0007129969999999</v>
      </c>
      <c r="L169">
        <v>0.99826620619999995</v>
      </c>
      <c r="M169">
        <v>0.99956909199999999</v>
      </c>
      <c r="N169">
        <v>1.005140074</v>
      </c>
      <c r="O169">
        <v>1.014634158</v>
      </c>
      <c r="P169">
        <v>1.0218053309999999</v>
      </c>
      <c r="Q169">
        <v>1.0324123810000001</v>
      </c>
      <c r="R169">
        <v>1.048461318</v>
      </c>
      <c r="S169">
        <v>1.0711913879999999</v>
      </c>
      <c r="T169">
        <v>1.0928092810000001</v>
      </c>
      <c r="U169">
        <v>1.1148277170000001</v>
      </c>
      <c r="V169">
        <v>1.137297158</v>
      </c>
      <c r="W169">
        <v>1.160234765</v>
      </c>
      <c r="X169">
        <v>1.1835942260000001</v>
      </c>
      <c r="Y169">
        <v>1.2073766109999999</v>
      </c>
      <c r="Z169">
        <v>1.231636798</v>
      </c>
      <c r="AA169">
        <v>1.2563793219999999</v>
      </c>
      <c r="AB169">
        <v>1.281566129</v>
      </c>
      <c r="AC169">
        <v>1.307195962</v>
      </c>
      <c r="AD169">
        <v>1.333290259</v>
      </c>
      <c r="AE169">
        <v>1.359943476</v>
      </c>
      <c r="AF169">
        <v>1.3871269289999999</v>
      </c>
      <c r="AG169">
        <v>1.414860834</v>
      </c>
      <c r="AH169">
        <v>1.4431887000000001</v>
      </c>
      <c r="AI169">
        <v>1.4721390489999999</v>
      </c>
      <c r="AJ169">
        <v>1.5017099460000001</v>
      </c>
      <c r="AK169">
        <v>1.531919279</v>
      </c>
      <c r="AL169">
        <v>1.562743988</v>
      </c>
      <c r="AM169">
        <v>1.5941795439999999</v>
      </c>
      <c r="AN169">
        <v>1.6262329760000001</v>
      </c>
      <c r="AO169">
        <v>1.658875739</v>
      </c>
      <c r="AP169">
        <v>1.692103065</v>
      </c>
      <c r="AQ169">
        <v>1.7259227370000001</v>
      </c>
      <c r="AR169">
        <v>1.7603440749999999</v>
      </c>
      <c r="AS169">
        <v>1.795380185</v>
      </c>
      <c r="AT169">
        <v>1.831049452</v>
      </c>
      <c r="AU169">
        <v>1.8673679190000001</v>
      </c>
      <c r="AV169">
        <v>1.9043557579999999</v>
      </c>
      <c r="AW169">
        <v>1.9420290899999999</v>
      </c>
      <c r="AX169">
        <v>1.9804596320000001</v>
      </c>
    </row>
    <row r="170" spans="2:50" x14ac:dyDescent="0.25">
      <c r="B170" s="3"/>
      <c r="C170" s="25" t="s">
        <v>44</v>
      </c>
      <c r="D170">
        <v>432309.81422064803</v>
      </c>
      <c r="E170">
        <v>439250.68812253198</v>
      </c>
      <c r="F170">
        <v>446302.99939999997</v>
      </c>
      <c r="G170">
        <v>454327.62469999999</v>
      </c>
      <c r="H170">
        <v>461568.8763</v>
      </c>
      <c r="I170">
        <v>472025.23910000001</v>
      </c>
      <c r="J170">
        <v>479410.90340000001</v>
      </c>
      <c r="K170">
        <v>484429.54639999999</v>
      </c>
      <c r="L170">
        <v>493272.29950000002</v>
      </c>
      <c r="M170">
        <v>501790.3469</v>
      </c>
      <c r="N170">
        <v>508319.33880000003</v>
      </c>
      <c r="O170">
        <v>514184.99219999998</v>
      </c>
      <c r="P170">
        <v>521629.54950000002</v>
      </c>
      <c r="Q170">
        <v>528221.47609999997</v>
      </c>
      <c r="R170">
        <v>531053.25749999995</v>
      </c>
      <c r="S170">
        <v>537401.37399999995</v>
      </c>
      <c r="T170">
        <v>545029.05630000005</v>
      </c>
      <c r="U170">
        <v>552358.74120000005</v>
      </c>
      <c r="V170">
        <v>559529.2794</v>
      </c>
      <c r="W170">
        <v>568077.74100000004</v>
      </c>
      <c r="X170">
        <v>576165.80390000006</v>
      </c>
      <c r="Y170">
        <v>582732.58470000001</v>
      </c>
      <c r="Z170">
        <v>588669.0159</v>
      </c>
      <c r="AA170">
        <v>594396.20680000004</v>
      </c>
      <c r="AB170">
        <v>600158.3345</v>
      </c>
      <c r="AC170">
        <v>605945.13300000003</v>
      </c>
      <c r="AD170">
        <v>611829.71329999994</v>
      </c>
      <c r="AE170">
        <v>617927.26879999996</v>
      </c>
      <c r="AF170">
        <v>624242.16890000005</v>
      </c>
      <c r="AG170">
        <v>630840.3946</v>
      </c>
      <c r="AH170">
        <v>637834.7524</v>
      </c>
      <c r="AI170">
        <v>645344.09290000005</v>
      </c>
      <c r="AJ170">
        <v>653471.70920000004</v>
      </c>
      <c r="AK170">
        <v>662326.3602</v>
      </c>
      <c r="AL170">
        <v>671717.36170000001</v>
      </c>
      <c r="AM170">
        <v>681562.82369999995</v>
      </c>
      <c r="AN170">
        <v>691755.49199999997</v>
      </c>
      <c r="AO170">
        <v>702308.47629999998</v>
      </c>
      <c r="AP170">
        <v>713197.44140000001</v>
      </c>
      <c r="AQ170">
        <v>724250.52069999999</v>
      </c>
      <c r="AR170">
        <v>735370.03390000004</v>
      </c>
      <c r="AS170">
        <v>746492.04460000002</v>
      </c>
      <c r="AT170">
        <v>757618.89359999995</v>
      </c>
      <c r="AU170">
        <v>768784.76639999996</v>
      </c>
      <c r="AV170">
        <v>780037.12329999998</v>
      </c>
      <c r="AW170">
        <v>791375.82570000004</v>
      </c>
      <c r="AX170">
        <v>802806.56669999997</v>
      </c>
    </row>
    <row r="171" spans="2:50" x14ac:dyDescent="0.25">
      <c r="B171" s="3"/>
      <c r="C171" s="25" t="s">
        <v>45</v>
      </c>
      <c r="D171">
        <v>0.96116878123798499</v>
      </c>
      <c r="E171">
        <v>0.98039215686274495</v>
      </c>
      <c r="F171">
        <v>0.97820824780000004</v>
      </c>
      <c r="G171">
        <v>0.98496723180000001</v>
      </c>
      <c r="H171">
        <v>0.99826355690000002</v>
      </c>
      <c r="I171">
        <v>0.99968759309999999</v>
      </c>
      <c r="J171">
        <v>0.99995771320000004</v>
      </c>
      <c r="K171">
        <v>0.99685740550000002</v>
      </c>
      <c r="L171">
        <v>0.9921762073</v>
      </c>
      <c r="M171">
        <v>0.99125017780000002</v>
      </c>
      <c r="N171">
        <v>0.99556701459999997</v>
      </c>
      <c r="O171">
        <v>1.004073148</v>
      </c>
      <c r="P171">
        <v>1.0108111129999999</v>
      </c>
      <c r="Q171">
        <v>1.021306815</v>
      </c>
      <c r="R171">
        <v>1.0377082790000001</v>
      </c>
      <c r="S171">
        <v>1.0617254279999999</v>
      </c>
      <c r="T171">
        <v>1.083178068</v>
      </c>
      <c r="U171">
        <v>1.1050454670000001</v>
      </c>
      <c r="V171">
        <v>1.127335679</v>
      </c>
      <c r="W171">
        <v>1.150068012</v>
      </c>
      <c r="X171">
        <v>1.1732496429999999</v>
      </c>
      <c r="Y171">
        <v>1.1968737709999999</v>
      </c>
      <c r="Z171">
        <v>1.2209797330000001</v>
      </c>
      <c r="AA171">
        <v>1.245565942</v>
      </c>
      <c r="AB171">
        <v>1.2705952490000001</v>
      </c>
      <c r="AC171">
        <v>1.2960693219999999</v>
      </c>
      <c r="AD171">
        <v>1.3220045250000001</v>
      </c>
      <c r="AE171">
        <v>1.348436148</v>
      </c>
      <c r="AF171">
        <v>1.375386564</v>
      </c>
      <c r="AG171">
        <v>1.4028751859999999</v>
      </c>
      <c r="AH171">
        <v>1.430941003</v>
      </c>
      <c r="AI171">
        <v>1.459600794</v>
      </c>
      <c r="AJ171">
        <v>1.488877762</v>
      </c>
      <c r="AK171">
        <v>1.5187882660000001</v>
      </c>
      <c r="AL171">
        <v>1.5493166519999999</v>
      </c>
      <c r="AM171">
        <v>1.5804617759999999</v>
      </c>
      <c r="AN171">
        <v>1.612229849</v>
      </c>
      <c r="AO171">
        <v>1.644609709</v>
      </c>
      <c r="AP171">
        <v>1.677590924</v>
      </c>
      <c r="AQ171">
        <v>1.7111732740000001</v>
      </c>
      <c r="AR171">
        <v>1.745360223</v>
      </c>
      <c r="AS171">
        <v>1.7801598240000001</v>
      </c>
      <c r="AT171">
        <v>1.8155854330000001</v>
      </c>
      <c r="AU171">
        <v>1.8516501759999999</v>
      </c>
      <c r="AV171">
        <v>1.8883709479999999</v>
      </c>
      <c r="AW171">
        <v>1.9257638459999999</v>
      </c>
      <c r="AX171">
        <v>1.9638729699999999</v>
      </c>
    </row>
    <row r="172" spans="2:50" x14ac:dyDescent="0.25">
      <c r="B172" s="3"/>
      <c r="C172" s="25" t="s">
        <v>46</v>
      </c>
      <c r="D172">
        <v>320343.00302829902</v>
      </c>
      <c r="E172">
        <v>325486.21355979802</v>
      </c>
      <c r="F172">
        <v>330712</v>
      </c>
      <c r="G172">
        <v>335468.30839999998</v>
      </c>
      <c r="H172">
        <v>337987.03269999998</v>
      </c>
      <c r="I172">
        <v>345276.8518</v>
      </c>
      <c r="J172">
        <v>348299.16149999999</v>
      </c>
      <c r="K172">
        <v>351467.7218</v>
      </c>
      <c r="L172">
        <v>356821.99829999998</v>
      </c>
      <c r="M172">
        <v>360955.39929999999</v>
      </c>
      <c r="N172">
        <v>364086.23330000002</v>
      </c>
      <c r="O172">
        <v>366903.66200000001</v>
      </c>
      <c r="P172">
        <v>370990.73009999999</v>
      </c>
      <c r="Q172">
        <v>375330.04070000001</v>
      </c>
      <c r="R172">
        <v>378271.10769999999</v>
      </c>
      <c r="S172">
        <v>382084.7268</v>
      </c>
      <c r="T172">
        <v>387507.9008</v>
      </c>
      <c r="U172">
        <v>392719.20280000003</v>
      </c>
      <c r="V172">
        <v>397817.35369999998</v>
      </c>
      <c r="W172">
        <v>403895.1888</v>
      </c>
      <c r="X172">
        <v>409645.68689999997</v>
      </c>
      <c r="Y172">
        <v>414314.57490000001</v>
      </c>
      <c r="Z172">
        <v>418535.29310000001</v>
      </c>
      <c r="AA172">
        <v>422607.24459999998</v>
      </c>
      <c r="AB172">
        <v>426704.03570000001</v>
      </c>
      <c r="AC172">
        <v>430818.36729999998</v>
      </c>
      <c r="AD172">
        <v>435002.22029999999</v>
      </c>
      <c r="AE172">
        <v>439337.49579999998</v>
      </c>
      <c r="AF172">
        <v>443827.30009999999</v>
      </c>
      <c r="AG172">
        <v>448518.54499999998</v>
      </c>
      <c r="AH172">
        <v>453491.43420000002</v>
      </c>
      <c r="AI172">
        <v>458830.46879999997</v>
      </c>
      <c r="AJ172">
        <v>464609.08880000003</v>
      </c>
      <c r="AK172">
        <v>470904.6201</v>
      </c>
      <c r="AL172">
        <v>477581.48910000001</v>
      </c>
      <c r="AM172">
        <v>484581.4731</v>
      </c>
      <c r="AN172">
        <v>491828.31589999999</v>
      </c>
      <c r="AO172">
        <v>499331.3383</v>
      </c>
      <c r="AP172">
        <v>507073.23830000003</v>
      </c>
      <c r="AQ172">
        <v>514931.82120000001</v>
      </c>
      <c r="AR172">
        <v>522837.63760000002</v>
      </c>
      <c r="AS172">
        <v>530745.22970000003</v>
      </c>
      <c r="AT172">
        <v>538656.26179999998</v>
      </c>
      <c r="AU172">
        <v>546595.03929999995</v>
      </c>
      <c r="AV172">
        <v>554595.30570000003</v>
      </c>
      <c r="AW172">
        <v>562656.96250000002</v>
      </c>
      <c r="AX172">
        <v>570784.0575</v>
      </c>
    </row>
    <row r="173" spans="2:50" x14ac:dyDescent="0.25">
      <c r="B173" s="3"/>
      <c r="C173" s="25" t="s">
        <v>47</v>
      </c>
      <c r="D173">
        <v>0.96116878123798499</v>
      </c>
      <c r="E173">
        <v>0.98039215686274495</v>
      </c>
      <c r="F173">
        <v>1</v>
      </c>
      <c r="G173">
        <v>1.02</v>
      </c>
      <c r="H173">
        <v>1.0404</v>
      </c>
      <c r="I173">
        <v>1.0612079999999999</v>
      </c>
      <c r="J173">
        <v>1.08243216</v>
      </c>
      <c r="K173">
        <v>1.104080803</v>
      </c>
      <c r="L173">
        <v>1.1261624189999999</v>
      </c>
      <c r="M173">
        <v>1.1486856679999999</v>
      </c>
      <c r="N173">
        <v>1.171659381</v>
      </c>
      <c r="O173">
        <v>1.195092569</v>
      </c>
      <c r="P173">
        <v>1.21899442</v>
      </c>
      <c r="Q173">
        <v>1.2433743079999999</v>
      </c>
      <c r="R173">
        <v>1.268241795</v>
      </c>
      <c r="S173">
        <v>1.29360663</v>
      </c>
      <c r="T173">
        <v>1.319478763</v>
      </c>
      <c r="U173">
        <v>1.3458683380000001</v>
      </c>
      <c r="V173">
        <v>1.3727857050000001</v>
      </c>
      <c r="W173">
        <v>1.4002414190000001</v>
      </c>
      <c r="X173">
        <v>1.428246248</v>
      </c>
      <c r="Y173">
        <v>1.456811173</v>
      </c>
      <c r="Z173">
        <v>1.485947396</v>
      </c>
      <c r="AA173">
        <v>1.515666344</v>
      </c>
      <c r="AB173">
        <v>1.545979671</v>
      </c>
      <c r="AC173">
        <v>1.5768992639999999</v>
      </c>
      <c r="AD173">
        <v>1.6084372490000001</v>
      </c>
      <c r="AE173">
        <v>1.640605994</v>
      </c>
      <c r="AF173">
        <v>1.673418114</v>
      </c>
      <c r="AG173">
        <v>1.7068864770000001</v>
      </c>
      <c r="AH173">
        <v>1.7410242060000001</v>
      </c>
      <c r="AI173">
        <v>1.77584469</v>
      </c>
      <c r="AJ173">
        <v>1.8113615839999999</v>
      </c>
      <c r="AK173">
        <v>1.847588816</v>
      </c>
      <c r="AL173">
        <v>1.884540592</v>
      </c>
      <c r="AM173">
        <v>1.9222314039999999</v>
      </c>
      <c r="AN173">
        <v>1.9606760320000001</v>
      </c>
      <c r="AO173">
        <v>1.999889553</v>
      </c>
      <c r="AP173">
        <v>2.0398873439999998</v>
      </c>
      <c r="AQ173">
        <v>2.0806850909999999</v>
      </c>
      <c r="AR173">
        <v>2.122298792</v>
      </c>
      <c r="AS173">
        <v>2.1647447679999998</v>
      </c>
      <c r="AT173">
        <v>2.2080396640000002</v>
      </c>
      <c r="AU173">
        <v>2.2522004569999998</v>
      </c>
      <c r="AV173">
        <v>2.297244466</v>
      </c>
      <c r="AW173">
        <v>2.3431893549999998</v>
      </c>
      <c r="AX173">
        <v>2.3900531420000002</v>
      </c>
    </row>
    <row r="174" spans="2:50" x14ac:dyDescent="0.25">
      <c r="B174" s="3"/>
      <c r="C174" s="25" t="s">
        <v>48</v>
      </c>
      <c r="D174">
        <v>-11606.321700709599</v>
      </c>
      <c r="E174">
        <v>-11792.6649497856</v>
      </c>
      <c r="F174">
        <v>-11973.902969999999</v>
      </c>
      <c r="G174">
        <v>-12315.81597</v>
      </c>
      <c r="H174">
        <v>-12146.3928</v>
      </c>
      <c r="I174">
        <v>-11569.73668</v>
      </c>
      <c r="J174">
        <v>-11978.69843</v>
      </c>
      <c r="K174">
        <v>-12026.62715</v>
      </c>
      <c r="L174">
        <v>-12027.167810000001</v>
      </c>
      <c r="M174">
        <v>-11959.944390000001</v>
      </c>
      <c r="N174">
        <v>-12145.391079999999</v>
      </c>
      <c r="O174">
        <v>-12164.89235</v>
      </c>
      <c r="P174">
        <v>-12138.466259999999</v>
      </c>
      <c r="Q174">
        <v>-12531.68931</v>
      </c>
      <c r="R174">
        <v>-12554.7814</v>
      </c>
      <c r="S174">
        <v>-12782.98394</v>
      </c>
      <c r="T174">
        <v>-12824.85816</v>
      </c>
      <c r="U174">
        <v>-12880.72091</v>
      </c>
      <c r="V174">
        <v>-12976.029560000001</v>
      </c>
      <c r="W174">
        <v>-13138.772279999999</v>
      </c>
      <c r="X174">
        <v>-13338.99114</v>
      </c>
      <c r="Y174">
        <v>-13505.8871</v>
      </c>
      <c r="Z174">
        <v>-13641.02181</v>
      </c>
      <c r="AA174">
        <v>-13769.182940000001</v>
      </c>
      <c r="AB174">
        <v>-13902.911410000001</v>
      </c>
      <c r="AC174">
        <v>-14034.112580000001</v>
      </c>
      <c r="AD174">
        <v>-14167.955739999999</v>
      </c>
      <c r="AE174">
        <v>-14265.53218</v>
      </c>
      <c r="AF174">
        <v>-14355.79998</v>
      </c>
      <c r="AG174">
        <v>-14457.83865</v>
      </c>
      <c r="AH174">
        <v>-14567.146339999999</v>
      </c>
      <c r="AI174">
        <v>-14675.124900000001</v>
      </c>
      <c r="AJ174">
        <v>-14812.46623</v>
      </c>
      <c r="AK174">
        <v>-14954.591210000001</v>
      </c>
      <c r="AL174">
        <v>-15101.20628</v>
      </c>
      <c r="AM174">
        <v>-15253.0602</v>
      </c>
      <c r="AN174">
        <v>-15407.279500000001</v>
      </c>
      <c r="AO174">
        <v>-15561.59669</v>
      </c>
      <c r="AP174">
        <v>-15722.19939</v>
      </c>
      <c r="AQ174">
        <v>-15883.153920000001</v>
      </c>
      <c r="AR174">
        <v>-16045.32445</v>
      </c>
      <c r="AS174">
        <v>-16206.49509</v>
      </c>
      <c r="AT174">
        <v>-16373.66051</v>
      </c>
      <c r="AU174">
        <v>-16542.445510000001</v>
      </c>
      <c r="AV174">
        <v>-16713.509569999998</v>
      </c>
      <c r="AW174">
        <v>-16885.395919999999</v>
      </c>
      <c r="AX174">
        <v>-17063.07847</v>
      </c>
    </row>
    <row r="175" spans="2:50" x14ac:dyDescent="0.25">
      <c r="B175" s="3"/>
      <c r="C175" s="25" t="s">
        <v>49</v>
      </c>
      <c r="D175">
        <v>0.96116878123798499</v>
      </c>
      <c r="E175">
        <v>0.98039215686274495</v>
      </c>
      <c r="F175">
        <v>1</v>
      </c>
      <c r="G175">
        <v>1.02</v>
      </c>
      <c r="H175">
        <v>1.0404</v>
      </c>
      <c r="I175">
        <v>1.0612079999999999</v>
      </c>
      <c r="J175">
        <v>1.08243216</v>
      </c>
      <c r="K175">
        <v>1.104080803</v>
      </c>
      <c r="L175">
        <v>1.1261624189999999</v>
      </c>
      <c r="M175">
        <v>1.1486856679999999</v>
      </c>
      <c r="N175">
        <v>1.171659381</v>
      </c>
      <c r="O175">
        <v>1.195092569</v>
      </c>
      <c r="P175">
        <v>1.21899442</v>
      </c>
      <c r="Q175">
        <v>1.2433743079999999</v>
      </c>
      <c r="R175">
        <v>1.268241795</v>
      </c>
      <c r="S175">
        <v>1.29360663</v>
      </c>
      <c r="T175">
        <v>1.319478763</v>
      </c>
      <c r="U175">
        <v>1.3458683380000001</v>
      </c>
      <c r="V175">
        <v>1.3727857050000001</v>
      </c>
      <c r="W175">
        <v>1.4002414190000001</v>
      </c>
      <c r="X175">
        <v>1.428246248</v>
      </c>
      <c r="Y175">
        <v>1.456811173</v>
      </c>
      <c r="Z175">
        <v>1.485947396</v>
      </c>
      <c r="AA175">
        <v>1.515666344</v>
      </c>
      <c r="AB175">
        <v>1.545979671</v>
      </c>
      <c r="AC175">
        <v>1.5768992639999999</v>
      </c>
      <c r="AD175">
        <v>1.6084372490000001</v>
      </c>
      <c r="AE175">
        <v>1.640605994</v>
      </c>
      <c r="AF175">
        <v>1.673418114</v>
      </c>
      <c r="AG175">
        <v>1.7068864770000001</v>
      </c>
      <c r="AH175">
        <v>1.7410242060000001</v>
      </c>
      <c r="AI175">
        <v>1.77584469</v>
      </c>
      <c r="AJ175">
        <v>1.8113615839999999</v>
      </c>
      <c r="AK175">
        <v>1.847588816</v>
      </c>
      <c r="AL175">
        <v>1.884540592</v>
      </c>
      <c r="AM175">
        <v>1.9222314039999999</v>
      </c>
      <c r="AN175">
        <v>1.9606760320000001</v>
      </c>
      <c r="AO175">
        <v>1.999889553</v>
      </c>
      <c r="AP175">
        <v>2.0398873439999998</v>
      </c>
      <c r="AQ175">
        <v>2.0806850909999999</v>
      </c>
      <c r="AR175">
        <v>2.122298792</v>
      </c>
      <c r="AS175">
        <v>2.1647447679999998</v>
      </c>
      <c r="AT175">
        <v>2.2080396640000002</v>
      </c>
      <c r="AU175">
        <v>2.2522004569999998</v>
      </c>
      <c r="AV175">
        <v>2.297244466</v>
      </c>
      <c r="AW175">
        <v>2.3431893549999998</v>
      </c>
      <c r="AX175">
        <v>2.3900531420000002</v>
      </c>
    </row>
    <row r="176" spans="2:50" x14ac:dyDescent="0.25">
      <c r="B176" s="3"/>
      <c r="C176" s="25" t="s">
        <v>50</v>
      </c>
      <c r="D176">
        <v>-2830.3849114900199</v>
      </c>
      <c r="E176">
        <v>-2875.8276567579301</v>
      </c>
      <c r="F176">
        <v>-2921.8353729999999</v>
      </c>
      <c r="G176">
        <v>-2987.8023309999999</v>
      </c>
      <c r="H176">
        <v>-2938.6027450000001</v>
      </c>
      <c r="I176">
        <v>-2913.7828509999999</v>
      </c>
      <c r="J176">
        <v>-3046.4926009999999</v>
      </c>
      <c r="K176">
        <v>-3006.9382380000002</v>
      </c>
      <c r="L176">
        <v>-3024.0578369999998</v>
      </c>
      <c r="M176">
        <v>-2923.3762419999998</v>
      </c>
      <c r="N176">
        <v>-3049.6082630000001</v>
      </c>
      <c r="O176">
        <v>-3035.842478</v>
      </c>
      <c r="P176">
        <v>-2959.1675869999999</v>
      </c>
      <c r="Q176">
        <v>-3013.1431870000001</v>
      </c>
      <c r="R176">
        <v>-2976.8723340000001</v>
      </c>
      <c r="S176">
        <v>-2994.037433</v>
      </c>
      <c r="T176">
        <v>-3032.1792919999998</v>
      </c>
      <c r="U176">
        <v>-3072.9697740000001</v>
      </c>
      <c r="V176">
        <v>-3110.531524</v>
      </c>
      <c r="W176">
        <v>-3166.8789320000001</v>
      </c>
      <c r="X176">
        <v>-3214.1195130000001</v>
      </c>
      <c r="Y176">
        <v>-3248.6055350000001</v>
      </c>
      <c r="Z176">
        <v>-3275.6904290000002</v>
      </c>
      <c r="AA176">
        <v>-3306.7461360000002</v>
      </c>
      <c r="AB176">
        <v>-3342.1279450000002</v>
      </c>
      <c r="AC176">
        <v>-3379.216347</v>
      </c>
      <c r="AD176">
        <v>-3418.2694280000001</v>
      </c>
      <c r="AE176">
        <v>-3451.7243469999999</v>
      </c>
      <c r="AF176">
        <v>-3489.4589430000001</v>
      </c>
      <c r="AG176">
        <v>-3528.415649</v>
      </c>
      <c r="AH176">
        <v>-3568.8184249999999</v>
      </c>
      <c r="AI176">
        <v>-3614.8837210000002</v>
      </c>
      <c r="AJ176">
        <v>-3661.1192780000001</v>
      </c>
      <c r="AK176">
        <v>-3711.1855959999998</v>
      </c>
      <c r="AL176">
        <v>-3763.8699379999998</v>
      </c>
      <c r="AM176">
        <v>-3818.8407259999999</v>
      </c>
      <c r="AN176">
        <v>-3875.1969840000002</v>
      </c>
      <c r="AO176">
        <v>-3933.3876620000001</v>
      </c>
      <c r="AP176">
        <v>-3993.2717870000001</v>
      </c>
      <c r="AQ176">
        <v>-4053.0266879999999</v>
      </c>
      <c r="AR176">
        <v>-4113.0197920000001</v>
      </c>
      <c r="AS176">
        <v>-4172.6861980000003</v>
      </c>
      <c r="AT176">
        <v>-4232.8156339999996</v>
      </c>
      <c r="AU176">
        <v>-4293.3233039999996</v>
      </c>
      <c r="AV176">
        <v>-4354.5897020000002</v>
      </c>
      <c r="AW176">
        <v>-4416.443902</v>
      </c>
      <c r="AX176">
        <v>-4479.5476429999999</v>
      </c>
    </row>
    <row r="177" spans="2:50" x14ac:dyDescent="0.25">
      <c r="B177" s="3"/>
      <c r="C177" s="25" t="s">
        <v>51</v>
      </c>
      <c r="D177">
        <v>0.96116878123798499</v>
      </c>
      <c r="E177">
        <v>0.98039215686274495</v>
      </c>
      <c r="F177">
        <v>0.98184865929999998</v>
      </c>
      <c r="G177">
        <v>0.98911085430000001</v>
      </c>
      <c r="H177">
        <v>1.0091387730000001</v>
      </c>
      <c r="I177">
        <v>1.0146242130000001</v>
      </c>
      <c r="J177">
        <v>1.0131293509999999</v>
      </c>
      <c r="K177">
        <v>1.016307302</v>
      </c>
      <c r="L177">
        <v>1.0238952750000001</v>
      </c>
      <c r="M177">
        <v>1.0348077979999999</v>
      </c>
      <c r="N177">
        <v>1.0417932759999999</v>
      </c>
      <c r="O177">
        <v>1.0491370609999999</v>
      </c>
      <c r="P177">
        <v>1.060135198</v>
      </c>
      <c r="Q177">
        <v>1.0745404089999999</v>
      </c>
      <c r="R177">
        <v>1.0962890110000001</v>
      </c>
      <c r="S177">
        <v>1.1220348</v>
      </c>
      <c r="T177">
        <v>1.1443479670000001</v>
      </c>
      <c r="U177">
        <v>1.1669495510000001</v>
      </c>
      <c r="V177">
        <v>1.1902388719999999</v>
      </c>
      <c r="W177">
        <v>1.2140009409999999</v>
      </c>
      <c r="X177">
        <v>1.2381715419999999</v>
      </c>
      <c r="Y177">
        <v>1.262763699</v>
      </c>
      <c r="Z177">
        <v>1.2880509149999999</v>
      </c>
      <c r="AA177">
        <v>1.3137269499999999</v>
      </c>
      <c r="AB177">
        <v>1.339808739</v>
      </c>
      <c r="AC177">
        <v>1.366325864</v>
      </c>
      <c r="AD177">
        <v>1.393308972</v>
      </c>
      <c r="AE177">
        <v>1.420935971</v>
      </c>
      <c r="AF177">
        <v>1.449031972</v>
      </c>
      <c r="AG177">
        <v>1.4777412510000001</v>
      </c>
      <c r="AH177">
        <v>1.5071072350000001</v>
      </c>
      <c r="AI177">
        <v>1.5370487399999999</v>
      </c>
      <c r="AJ177">
        <v>1.5677677210000001</v>
      </c>
      <c r="AK177">
        <v>1.5991112110000001</v>
      </c>
      <c r="AL177">
        <v>1.6310554349999999</v>
      </c>
      <c r="AM177">
        <v>1.6636026799999999</v>
      </c>
      <c r="AN177">
        <v>1.696762281</v>
      </c>
      <c r="AO177">
        <v>1.7304458840000001</v>
      </c>
      <c r="AP177">
        <v>1.7646904080000001</v>
      </c>
      <c r="AQ177">
        <v>1.79953407</v>
      </c>
      <c r="AR177">
        <v>1.834988343</v>
      </c>
      <c r="AS177">
        <v>1.8710767909999999</v>
      </c>
      <c r="AT177">
        <v>1.9078164609999999</v>
      </c>
      <c r="AU177">
        <v>1.9452388599999999</v>
      </c>
      <c r="AV177">
        <v>1.9833696949999999</v>
      </c>
      <c r="AW177">
        <v>2.022222653</v>
      </c>
      <c r="AX177">
        <v>2.0619303160000002</v>
      </c>
    </row>
    <row r="178" spans="2:50" x14ac:dyDescent="0.25">
      <c r="B178" s="3"/>
      <c r="C178" s="25" t="s">
        <v>52</v>
      </c>
      <c r="D178">
        <v>-22288.5546931504</v>
      </c>
      <c r="E178">
        <v>-22646.404648186199</v>
      </c>
      <c r="F178">
        <v>-22936.490880000001</v>
      </c>
      <c r="G178">
        <v>-23599.041450000001</v>
      </c>
      <c r="H178">
        <v>-23500.34388</v>
      </c>
      <c r="I178">
        <v>-22764.90612</v>
      </c>
      <c r="J178">
        <v>-23462.370129999999</v>
      </c>
      <c r="K178">
        <v>-23678.851259999999</v>
      </c>
      <c r="L178">
        <v>-23763.474579999998</v>
      </c>
      <c r="M178">
        <v>-23606.65914</v>
      </c>
      <c r="N178">
        <v>-24098.0056</v>
      </c>
      <c r="O178">
        <v>-24311.50979</v>
      </c>
      <c r="P178">
        <v>-24360.739890000001</v>
      </c>
      <c r="Q178">
        <v>-25028.24235</v>
      </c>
      <c r="R178">
        <v>-25322.377899999999</v>
      </c>
      <c r="S178">
        <v>-25798.761399999999</v>
      </c>
      <c r="T178">
        <v>-26069.775860000002</v>
      </c>
      <c r="U178">
        <v>-26438.55487</v>
      </c>
      <c r="V178">
        <v>-26748.820530000001</v>
      </c>
      <c r="W178">
        <v>-27216.7094</v>
      </c>
      <c r="X178">
        <v>-27585.301009999999</v>
      </c>
      <c r="Y178">
        <v>-27857.750789999998</v>
      </c>
      <c r="Z178">
        <v>-28054.45176</v>
      </c>
      <c r="AA178">
        <v>-28299.813979999999</v>
      </c>
      <c r="AB178">
        <v>-28577.111990000001</v>
      </c>
      <c r="AC178">
        <v>-28868.833879999998</v>
      </c>
      <c r="AD178">
        <v>-29179.430270000001</v>
      </c>
      <c r="AE178">
        <v>-29448.03469</v>
      </c>
      <c r="AF178">
        <v>-29746.977999999999</v>
      </c>
      <c r="AG178">
        <v>-30061.17684</v>
      </c>
      <c r="AH178">
        <v>-30390.467219999999</v>
      </c>
      <c r="AI178">
        <v>-30759.553980000001</v>
      </c>
      <c r="AJ178">
        <v>-31144.71672</v>
      </c>
      <c r="AK178">
        <v>-31555.348600000001</v>
      </c>
      <c r="AL178">
        <v>-31987.19499</v>
      </c>
      <c r="AM178">
        <v>-32436.996920000001</v>
      </c>
      <c r="AN178">
        <v>-32897.734279999997</v>
      </c>
      <c r="AO178">
        <v>-33364.329980000002</v>
      </c>
      <c r="AP178">
        <v>-33850.216009999996</v>
      </c>
      <c r="AQ178">
        <v>-34336.851719999999</v>
      </c>
      <c r="AR178">
        <v>-34827.960910000002</v>
      </c>
      <c r="AS178">
        <v>-35316.649389999999</v>
      </c>
      <c r="AT178">
        <v>-35811.01369</v>
      </c>
      <c r="AU178">
        <v>-36307.13278</v>
      </c>
      <c r="AV178">
        <v>-36809.161500000002</v>
      </c>
      <c r="AW178">
        <v>-37316.152629999997</v>
      </c>
      <c r="AX178">
        <v>-37840.109550000001</v>
      </c>
    </row>
    <row r="179" spans="2:50" x14ac:dyDescent="0.25">
      <c r="B179" s="3"/>
      <c r="C179" s="25" t="s">
        <v>53</v>
      </c>
      <c r="D179">
        <v>-21423.0629499715</v>
      </c>
      <c r="E179">
        <v>-22202.3574982217</v>
      </c>
      <c r="F179">
        <v>-22520.162819574602</v>
      </c>
      <c r="G179">
        <v>-23342.068049270601</v>
      </c>
      <c r="H179">
        <v>-23715.108188141199</v>
      </c>
      <c r="I179">
        <v>-23097.8249560238</v>
      </c>
      <c r="J179">
        <v>-23770.415822728599</v>
      </c>
      <c r="K179">
        <v>-24064.9894385099</v>
      </c>
      <c r="L179">
        <v>-24331.309340044601</v>
      </c>
      <c r="M179">
        <v>-24428.354962799898</v>
      </c>
      <c r="N179">
        <v>-25105.1401990903</v>
      </c>
      <c r="O179">
        <v>-25506.105929553301</v>
      </c>
      <c r="P179">
        <v>-25825.677806711599</v>
      </c>
      <c r="Q179">
        <v>-26893.857771320101</v>
      </c>
      <c r="R179">
        <v>-27760.644624159198</v>
      </c>
      <c r="S179">
        <v>-28947.108087696699</v>
      </c>
      <c r="T179">
        <v>-29832.8950055366</v>
      </c>
      <c r="U179">
        <v>-30852.4597346353</v>
      </c>
      <c r="V179">
        <v>-31837.485974957599</v>
      </c>
      <c r="W179">
        <v>-33041.1108225235</v>
      </c>
      <c r="X179">
        <v>-34155.334688085801</v>
      </c>
      <c r="Y179">
        <v>-35177.7564334005</v>
      </c>
      <c r="Z179">
        <v>-36135.562259291299</v>
      </c>
      <c r="AA179">
        <v>-37178.228305512697</v>
      </c>
      <c r="AB179">
        <v>-38287.864379583603</v>
      </c>
      <c r="AC179">
        <v>-39444.2343937634</v>
      </c>
      <c r="AD179">
        <v>-40655.961993039302</v>
      </c>
      <c r="AE179">
        <v>-41843.771766276797</v>
      </c>
      <c r="AF179">
        <v>-43104.322192380598</v>
      </c>
      <c r="AG179">
        <v>-44422.641070073798</v>
      </c>
      <c r="AH179">
        <v>-45801.693022292297</v>
      </c>
      <c r="AI179">
        <v>-47278.9336879209</v>
      </c>
      <c r="AJ179">
        <v>-48827.681553305003</v>
      </c>
      <c r="AK179">
        <v>-50460.511713273103</v>
      </c>
      <c r="AL179">
        <v>-52172.8882388442</v>
      </c>
      <c r="AM179">
        <v>-53962.275007263699</v>
      </c>
      <c r="AN179">
        <v>-55819.634656664603</v>
      </c>
      <c r="AO179">
        <v>-57735.167486308797</v>
      </c>
      <c r="AP179">
        <v>-59735.151501574997</v>
      </c>
      <c r="AQ179">
        <v>-61790.334526678103</v>
      </c>
      <c r="AR179">
        <v>-63908.902280309601</v>
      </c>
      <c r="AS179">
        <v>-66080.1630095133</v>
      </c>
      <c r="AT179">
        <v>-68320.841402878301</v>
      </c>
      <c r="AU179">
        <v>-70626.045578835794</v>
      </c>
      <c r="AV179">
        <v>-73006.175417460705</v>
      </c>
      <c r="AW179">
        <v>-75461.569171191499</v>
      </c>
      <c r="AX179">
        <v>-78023.669041906105</v>
      </c>
    </row>
    <row r="180" spans="2:50" x14ac:dyDescent="0.25">
      <c r="B180" s="3"/>
      <c r="C180" s="25" t="s">
        <v>54</v>
      </c>
      <c r="D180">
        <v>0.96116878123798499</v>
      </c>
      <c r="E180">
        <v>0.98039215686274495</v>
      </c>
      <c r="F180">
        <v>0.97847229120000001</v>
      </c>
      <c r="G180">
        <v>0.98066948669999998</v>
      </c>
      <c r="H180">
        <v>1.0042795120000001</v>
      </c>
      <c r="I180">
        <v>1.000950953</v>
      </c>
      <c r="J180">
        <v>0.98783407860000005</v>
      </c>
      <c r="K180">
        <v>0.99848691580000004</v>
      </c>
      <c r="L180">
        <v>1.0044400309999999</v>
      </c>
      <c r="M180">
        <v>1.0230760240000001</v>
      </c>
      <c r="N180">
        <v>1.023198896</v>
      </c>
      <c r="O180">
        <v>1.025174842</v>
      </c>
      <c r="P180">
        <v>1.0454590859999999</v>
      </c>
      <c r="Q180">
        <v>1.0694618250000001</v>
      </c>
      <c r="R180">
        <v>1.106400305</v>
      </c>
      <c r="S180">
        <v>1.142976048</v>
      </c>
      <c r="T180">
        <v>1.166034279</v>
      </c>
      <c r="U180">
        <v>1.1894459399999999</v>
      </c>
      <c r="V180">
        <v>1.213342403</v>
      </c>
      <c r="W180">
        <v>1.2377156010000001</v>
      </c>
      <c r="X180">
        <v>1.262499499</v>
      </c>
      <c r="Y180">
        <v>1.2876413360000001</v>
      </c>
      <c r="Z180">
        <v>1.3133141909999999</v>
      </c>
      <c r="AA180">
        <v>1.3394683679999999</v>
      </c>
      <c r="AB180">
        <v>1.366058523</v>
      </c>
      <c r="AC180">
        <v>1.393098723</v>
      </c>
      <c r="AD180">
        <v>1.4206111450000001</v>
      </c>
      <c r="AE180">
        <v>1.4488323759999999</v>
      </c>
      <c r="AF180">
        <v>1.4776693590000001</v>
      </c>
      <c r="AG180">
        <v>1.5070917749999999</v>
      </c>
      <c r="AH180">
        <v>1.5371746500000001</v>
      </c>
      <c r="AI180">
        <v>1.567971142</v>
      </c>
      <c r="AJ180">
        <v>1.599410762</v>
      </c>
      <c r="AK180">
        <v>1.6315250100000001</v>
      </c>
      <c r="AL180">
        <v>1.664287455</v>
      </c>
      <c r="AM180">
        <v>1.6976864119999999</v>
      </c>
      <c r="AN180">
        <v>1.7317141760000001</v>
      </c>
      <c r="AO180">
        <v>1.766290779</v>
      </c>
      <c r="AP180">
        <v>1.801440012</v>
      </c>
      <c r="AQ180">
        <v>1.83720062</v>
      </c>
      <c r="AR180">
        <v>1.8735859509999999</v>
      </c>
      <c r="AS180">
        <v>1.9106272980000001</v>
      </c>
      <c r="AT180">
        <v>1.948352759</v>
      </c>
      <c r="AU180">
        <v>1.986770701</v>
      </c>
      <c r="AV180">
        <v>2.0259117340000001</v>
      </c>
      <c r="AW180">
        <v>2.065785022</v>
      </c>
      <c r="AX180">
        <v>2.1065343250000002</v>
      </c>
    </row>
    <row r="181" spans="2:50" x14ac:dyDescent="0.25">
      <c r="B181" s="3"/>
      <c r="C181" s="25" t="s">
        <v>55</v>
      </c>
      <c r="D181">
        <v>-7110.8335507352103</v>
      </c>
      <c r="E181">
        <v>-7225.0002834565403</v>
      </c>
      <c r="F181">
        <v>-7333.1121789999997</v>
      </c>
      <c r="G181">
        <v>-7503.8570730000001</v>
      </c>
      <c r="H181">
        <v>-7382.2271940000001</v>
      </c>
      <c r="I181">
        <v>-7318.0252479999999</v>
      </c>
      <c r="J181">
        <v>-7628.9877880000004</v>
      </c>
      <c r="K181">
        <v>-7553.6114459999999</v>
      </c>
      <c r="L181">
        <v>-7580.9604639999998</v>
      </c>
      <c r="M181">
        <v>-7347.7106180000001</v>
      </c>
      <c r="N181">
        <v>-7645.9385279999997</v>
      </c>
      <c r="O181">
        <v>-7618.3493980000003</v>
      </c>
      <c r="P181">
        <v>-7446.3105560000004</v>
      </c>
      <c r="Q181">
        <v>-7580.9808750000002</v>
      </c>
      <c r="R181">
        <v>-7495.9158209999996</v>
      </c>
      <c r="S181">
        <v>-7524.2473620000001</v>
      </c>
      <c r="T181">
        <v>-7614.6462780000002</v>
      </c>
      <c r="U181">
        <v>-7713.1910230000003</v>
      </c>
      <c r="V181">
        <v>-7804.4999209999996</v>
      </c>
      <c r="W181">
        <v>-7942.0281080000004</v>
      </c>
      <c r="X181">
        <v>-8054.4460849999996</v>
      </c>
      <c r="Y181">
        <v>-8137.0167039999997</v>
      </c>
      <c r="Z181">
        <v>-8201.9169860000002</v>
      </c>
      <c r="AA181">
        <v>-8277.4027380000007</v>
      </c>
      <c r="AB181">
        <v>-8364.0724809999901</v>
      </c>
      <c r="AC181">
        <v>-8455.3658209999994</v>
      </c>
      <c r="AD181">
        <v>-8551.8651059999902</v>
      </c>
      <c r="AE181">
        <v>-8635.8965160000007</v>
      </c>
      <c r="AF181">
        <v>-8730.7778350000008</v>
      </c>
      <c r="AG181">
        <v>-8828.8762769999994</v>
      </c>
      <c r="AH181">
        <v>-8930.66073399999</v>
      </c>
      <c r="AI181">
        <v>-9046.5255099999995</v>
      </c>
      <c r="AJ181">
        <v>-9162.5811709999998</v>
      </c>
      <c r="AK181">
        <v>-9288.0290380000006</v>
      </c>
      <c r="AL181">
        <v>-9419.8914339999901</v>
      </c>
      <c r="AM181">
        <v>-9557.4207600000009</v>
      </c>
      <c r="AN181">
        <v>-9698.4109840000001</v>
      </c>
      <c r="AO181">
        <v>-9842.5889210000005</v>
      </c>
      <c r="AP181">
        <v>-9990.9231369999998</v>
      </c>
      <c r="AQ181">
        <v>-10138.96297</v>
      </c>
      <c r="AR181">
        <v>-10287.704760000001</v>
      </c>
      <c r="AS181">
        <v>-10435.79076</v>
      </c>
      <c r="AT181">
        <v>-10584.84217</v>
      </c>
      <c r="AU181">
        <v>-10734.882310000001</v>
      </c>
      <c r="AV181">
        <v>-10886.78306</v>
      </c>
      <c r="AW181">
        <v>-11040.194530000001</v>
      </c>
      <c r="AX181">
        <v>-11196.655150000001</v>
      </c>
    </row>
    <row r="182" spans="2:50" x14ac:dyDescent="0.25">
      <c r="B182" s="3"/>
      <c r="C182" s="25" t="s">
        <v>56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2:50" x14ac:dyDescent="0.25">
      <c r="B183" s="3"/>
      <c r="C183" s="25" t="s">
        <v>27</v>
      </c>
      <c r="D183">
        <v>225891.81435188401</v>
      </c>
      <c r="E183">
        <v>234108.95210804199</v>
      </c>
      <c r="F183">
        <v>242473.938303237</v>
      </c>
      <c r="G183">
        <v>250402.08440805299</v>
      </c>
      <c r="H183">
        <v>256846.06168309599</v>
      </c>
      <c r="I183">
        <v>262566.57510194997</v>
      </c>
      <c r="J183">
        <v>263167.14271761</v>
      </c>
      <c r="K183">
        <v>263676.15311143798</v>
      </c>
      <c r="L183">
        <v>266631.638513499</v>
      </c>
      <c r="M183">
        <v>271219.49805156898</v>
      </c>
      <c r="N183">
        <v>274530.54164924502</v>
      </c>
      <c r="O183">
        <v>277636.50783186499</v>
      </c>
      <c r="P183">
        <v>281316.61818509299</v>
      </c>
      <c r="Q183">
        <v>286630.629226544</v>
      </c>
      <c r="R183">
        <v>294477.81583703199</v>
      </c>
      <c r="S183">
        <v>304804.23231272702</v>
      </c>
      <c r="T183">
        <v>315357.140039469</v>
      </c>
      <c r="U183">
        <v>325800.820331353</v>
      </c>
      <c r="V183">
        <v>336494.29697676701</v>
      </c>
      <c r="W183">
        <v>349298.69764229399</v>
      </c>
      <c r="X183">
        <v>361045.37501781801</v>
      </c>
      <c r="Y183">
        <v>371489.96702563699</v>
      </c>
      <c r="Z183">
        <v>382419.34193301998</v>
      </c>
      <c r="AA183">
        <v>393734.585238998</v>
      </c>
      <c r="AB183">
        <v>405428.37664076302</v>
      </c>
      <c r="AC183">
        <v>417383.43361572298</v>
      </c>
      <c r="AD183">
        <v>429740.74403045297</v>
      </c>
      <c r="AE183">
        <v>442689.57535553601</v>
      </c>
      <c r="AF183">
        <v>456216.823836172</v>
      </c>
      <c r="AG183">
        <v>470447.91963798099</v>
      </c>
      <c r="AH183">
        <v>485554.74143010098</v>
      </c>
      <c r="AI183">
        <v>501638.97664464201</v>
      </c>
      <c r="AJ183">
        <v>518806.15465585899</v>
      </c>
      <c r="AK183">
        <v>537162.07191798405</v>
      </c>
      <c r="AL183">
        <v>556274.11796896497</v>
      </c>
      <c r="AM183">
        <v>576201.72503964603</v>
      </c>
      <c r="AN183">
        <v>596859.65374071605</v>
      </c>
      <c r="AO183">
        <v>618353.07261513604</v>
      </c>
      <c r="AP183">
        <v>640638.92732058</v>
      </c>
      <c r="AQ183">
        <v>663460.04362139397</v>
      </c>
      <c r="AR183">
        <v>686817.267746864</v>
      </c>
      <c r="AS183">
        <v>710717.434969289</v>
      </c>
      <c r="AT183">
        <v>735266.53838741803</v>
      </c>
      <c r="AU183">
        <v>760558.02236784401</v>
      </c>
      <c r="AV183">
        <v>786689.63353029301</v>
      </c>
      <c r="AW183">
        <v>813644.51415080903</v>
      </c>
      <c r="AX183">
        <v>841552.8177752</v>
      </c>
    </row>
    <row r="184" spans="2:50" x14ac:dyDescent="0.25">
      <c r="B184" s="3"/>
      <c r="C184" s="25" t="s">
        <v>57</v>
      </c>
      <c r="E184">
        <v>41668.560924012403</v>
      </c>
      <c r="F184">
        <v>43184.314410679799</v>
      </c>
      <c r="G184">
        <v>43187.914989198202</v>
      </c>
      <c r="H184">
        <v>42585.465449021503</v>
      </c>
      <c r="I184">
        <v>43691.244831975499</v>
      </c>
      <c r="J184">
        <v>43903.568627556102</v>
      </c>
      <c r="K184">
        <v>45997.250153845998</v>
      </c>
      <c r="L184">
        <v>47736.632181454297</v>
      </c>
      <c r="M184">
        <v>49746.374043136602</v>
      </c>
      <c r="N184">
        <v>51750.620383076603</v>
      </c>
      <c r="O184">
        <v>54600.3663971469</v>
      </c>
      <c r="P184">
        <v>57036.086188063899</v>
      </c>
      <c r="Q184">
        <v>59608.469608676802</v>
      </c>
      <c r="R184">
        <v>63917.695767837897</v>
      </c>
      <c r="S184">
        <v>69712.845432001006</v>
      </c>
      <c r="T184">
        <v>75012.737015893596</v>
      </c>
      <c r="U184">
        <v>81112.826552230807</v>
      </c>
      <c r="V184">
        <v>87706.557915988902</v>
      </c>
      <c r="W184">
        <v>94734.859813178598</v>
      </c>
      <c r="X184">
        <v>102253.859173937</v>
      </c>
      <c r="Y184">
        <v>109977.52669341701</v>
      </c>
      <c r="Z184">
        <v>118027.458385099</v>
      </c>
      <c r="AA184">
        <v>126421.96063325999</v>
      </c>
      <c r="AB184">
        <v>135296.84420025401</v>
      </c>
      <c r="AC184">
        <v>144651.93749622101</v>
      </c>
      <c r="AD184">
        <v>154507.21214488399</v>
      </c>
      <c r="AE184">
        <v>164837.067954973</v>
      </c>
      <c r="AF184">
        <v>175802.144631159</v>
      </c>
      <c r="AG184">
        <v>187201.92728183701</v>
      </c>
      <c r="AH184">
        <v>199276.27632945601</v>
      </c>
      <c r="AI184">
        <v>212064.44652325401</v>
      </c>
      <c r="AJ184">
        <v>225445.005214326</v>
      </c>
      <c r="AK184">
        <v>239844.98967506</v>
      </c>
      <c r="AL184">
        <v>255027.825832562</v>
      </c>
      <c r="AM184">
        <v>271071.26421097398</v>
      </c>
      <c r="AN184">
        <v>287995.50189686997</v>
      </c>
      <c r="AO184">
        <v>305858.13668381702</v>
      </c>
      <c r="AP184">
        <v>324801.80638810201</v>
      </c>
      <c r="AQ184">
        <v>344825.450489724</v>
      </c>
      <c r="AR184">
        <v>365979.91815551999</v>
      </c>
      <c r="AS184">
        <v>388302.85321740701</v>
      </c>
      <c r="AT184">
        <v>411828.12701961998</v>
      </c>
      <c r="AU184">
        <v>436674.64710725402</v>
      </c>
      <c r="AV184">
        <v>462881.70466414897</v>
      </c>
      <c r="AW184">
        <v>490504.236667416</v>
      </c>
      <c r="AX184">
        <v>519590.95479655499</v>
      </c>
    </row>
    <row r="185" spans="2:50" x14ac:dyDescent="0.25">
      <c r="B185" s="3"/>
      <c r="C185" s="25" t="s">
        <v>33</v>
      </c>
      <c r="D185">
        <v>5997.7127998138503</v>
      </c>
      <c r="E185">
        <v>6215.8881792066404</v>
      </c>
      <c r="F185">
        <v>6313.0449157393796</v>
      </c>
      <c r="G185">
        <v>6408.2141414600701</v>
      </c>
      <c r="H185">
        <v>6729.4513456302902</v>
      </c>
      <c r="I185">
        <v>6554.4747929438499</v>
      </c>
      <c r="J185">
        <v>6722.3093920418196</v>
      </c>
      <c r="K185">
        <v>7044.4624935135098</v>
      </c>
      <c r="L185">
        <v>7352.3920376775204</v>
      </c>
      <c r="M185">
        <v>7418.0232756836103</v>
      </c>
      <c r="N185">
        <v>7378.7941526424402</v>
      </c>
      <c r="O185">
        <v>7231.5170872066801</v>
      </c>
      <c r="P185">
        <v>6831.6070579829102</v>
      </c>
      <c r="Q185">
        <v>6866.0635570142404</v>
      </c>
      <c r="R185">
        <v>7125.6746788884202</v>
      </c>
      <c r="S185">
        <v>7046.9340329443603</v>
      </c>
      <c r="T185">
        <v>6890.9903251292299</v>
      </c>
      <c r="U185">
        <v>7036.17683299485</v>
      </c>
      <c r="V185">
        <v>7189.86055187492</v>
      </c>
      <c r="W185">
        <v>7336.3779039851497</v>
      </c>
      <c r="X185">
        <v>7448.1304054883803</v>
      </c>
      <c r="Y185">
        <v>7526.3312624611599</v>
      </c>
      <c r="Z185">
        <v>7587.57252306384</v>
      </c>
      <c r="AA185">
        <v>7656.62565182854</v>
      </c>
      <c r="AB185">
        <v>7726.9633946819404</v>
      </c>
      <c r="AC185">
        <v>7799.3385336391702</v>
      </c>
      <c r="AD185">
        <v>7871.6266029419303</v>
      </c>
      <c r="AE185">
        <v>7942.2858753717501</v>
      </c>
      <c r="AF185">
        <v>8014.16729643897</v>
      </c>
      <c r="AG185">
        <v>8082.0013136809903</v>
      </c>
      <c r="AH185">
        <v>8150.12906408864</v>
      </c>
      <c r="AI185">
        <v>8218.1523672697094</v>
      </c>
      <c r="AJ185">
        <v>8286.3014747963298</v>
      </c>
      <c r="AK185">
        <v>8353.6826396775195</v>
      </c>
      <c r="AL185">
        <v>8424.3078300748002</v>
      </c>
      <c r="AM185">
        <v>8495.5241154451705</v>
      </c>
      <c r="AN185">
        <v>8568.0832561126008</v>
      </c>
      <c r="AO185">
        <v>8642.9975009561804</v>
      </c>
      <c r="AP185">
        <v>8718.3684854845706</v>
      </c>
      <c r="AQ185">
        <v>8795.6426318517006</v>
      </c>
      <c r="AR185">
        <v>8873.7413281865793</v>
      </c>
      <c r="AS185">
        <v>8952.60386192841</v>
      </c>
      <c r="AT185">
        <v>9034.6113965318</v>
      </c>
      <c r="AU185">
        <v>9117.7577681212206</v>
      </c>
      <c r="AV185">
        <v>9204.8883002945695</v>
      </c>
      <c r="AW185">
        <v>9287.5806697927601</v>
      </c>
      <c r="AX185">
        <v>9370.0127850486406</v>
      </c>
    </row>
    <row r="186" spans="2:50" x14ac:dyDescent="0.25">
      <c r="B186" s="3"/>
      <c r="C186" s="25" t="s">
        <v>34</v>
      </c>
      <c r="D186">
        <v>79234.608835044695</v>
      </c>
      <c r="E186">
        <v>82116.881031232799</v>
      </c>
      <c r="F186">
        <v>84010.915066809597</v>
      </c>
      <c r="G186">
        <v>86823.458780301196</v>
      </c>
      <c r="H186">
        <v>87308.062903111306</v>
      </c>
      <c r="I186">
        <v>81976.690337117398</v>
      </c>
      <c r="J186">
        <v>85097.049815444698</v>
      </c>
      <c r="K186">
        <v>86655.462742402902</v>
      </c>
      <c r="L186">
        <v>86623.654967245398</v>
      </c>
      <c r="M186">
        <v>87570.649626351296</v>
      </c>
      <c r="N186">
        <v>89540.405566316796</v>
      </c>
      <c r="O186">
        <v>92873.071492594696</v>
      </c>
      <c r="P186">
        <v>94878.687355119197</v>
      </c>
      <c r="Q186">
        <v>99511.806249249203</v>
      </c>
      <c r="R186">
        <v>103270.418622572</v>
      </c>
      <c r="S186">
        <v>108144.715426971</v>
      </c>
      <c r="T186">
        <v>111864.50092066301</v>
      </c>
      <c r="U186">
        <v>115659.21819073999</v>
      </c>
      <c r="V186">
        <v>119505.10706126899</v>
      </c>
      <c r="W186">
        <v>123828.109196208</v>
      </c>
      <c r="X186">
        <v>128108.560620501</v>
      </c>
      <c r="Y186">
        <v>132135.527131418</v>
      </c>
      <c r="Z186">
        <v>136104.155888712</v>
      </c>
      <c r="AA186">
        <v>140166.338340255</v>
      </c>
      <c r="AB186">
        <v>144366.93503512099</v>
      </c>
      <c r="AC186">
        <v>148694.88332711899</v>
      </c>
      <c r="AD186">
        <v>153177.28290835701</v>
      </c>
      <c r="AE186">
        <v>157778.94632746201</v>
      </c>
      <c r="AF186">
        <v>162579.72913827599</v>
      </c>
      <c r="AG186">
        <v>167590.31409322601</v>
      </c>
      <c r="AH186">
        <v>172849.21654990199</v>
      </c>
      <c r="AI186">
        <v>178423.06807110301</v>
      </c>
      <c r="AJ186">
        <v>184315.28709848601</v>
      </c>
      <c r="AK186">
        <v>190578.77438031201</v>
      </c>
      <c r="AL186">
        <v>197169.97357860999</v>
      </c>
      <c r="AM186">
        <v>204078.34536449501</v>
      </c>
      <c r="AN186">
        <v>211281.677042703</v>
      </c>
      <c r="AO186">
        <v>218780.94727996801</v>
      </c>
      <c r="AP186">
        <v>226591.11710605401</v>
      </c>
      <c r="AQ186">
        <v>234658.82111510501</v>
      </c>
      <c r="AR186">
        <v>242968.13825879199</v>
      </c>
      <c r="AS186">
        <v>251503.733840976</v>
      </c>
      <c r="AT186">
        <v>260282.97835735799</v>
      </c>
      <c r="AU186">
        <v>269319.95030976098</v>
      </c>
      <c r="AV186">
        <v>278643.19014186098</v>
      </c>
      <c r="AW186">
        <v>288259.83350806299</v>
      </c>
      <c r="AX186">
        <v>298209.73609430302</v>
      </c>
    </row>
    <row r="187" spans="2:50" x14ac:dyDescent="0.25">
      <c r="B187" s="3"/>
      <c r="C187" s="25" t="s">
        <v>35</v>
      </c>
      <c r="D187">
        <v>7105.6417398601798</v>
      </c>
      <c r="E187">
        <v>7364.1196187061596</v>
      </c>
      <c r="F187">
        <v>7461.7211582853897</v>
      </c>
      <c r="G187">
        <v>7630.9432812661898</v>
      </c>
      <c r="H187">
        <v>7780.8692882559899</v>
      </c>
      <c r="I187">
        <v>7889.7548368841499</v>
      </c>
      <c r="J187">
        <v>7984.8461921271401</v>
      </c>
      <c r="K187">
        <v>8073.1776391085996</v>
      </c>
      <c r="L187">
        <v>8165.7127711457697</v>
      </c>
      <c r="M187">
        <v>8284.1869296038094</v>
      </c>
      <c r="N187">
        <v>8396.21327444694</v>
      </c>
      <c r="O187">
        <v>8558.75429263769</v>
      </c>
      <c r="P187">
        <v>8722.3275412884905</v>
      </c>
      <c r="Q187">
        <v>8949.8236367764603</v>
      </c>
      <c r="R187">
        <v>9200.50875333982</v>
      </c>
      <c r="S187">
        <v>9520.9596082356602</v>
      </c>
      <c r="T187">
        <v>9847.0823749253905</v>
      </c>
      <c r="U187">
        <v>10181.9355172347</v>
      </c>
      <c r="V187">
        <v>10520.846349019899</v>
      </c>
      <c r="W187">
        <v>10900.938901580301</v>
      </c>
      <c r="X187">
        <v>11277.8006376217</v>
      </c>
      <c r="Y187">
        <v>11633.1416246915</v>
      </c>
      <c r="Z187">
        <v>11982.9975033754</v>
      </c>
      <c r="AA187">
        <v>12340.914103884699</v>
      </c>
      <c r="AB187">
        <v>12710.4900397532</v>
      </c>
      <c r="AC187">
        <v>13090.7759651694</v>
      </c>
      <c r="AD187">
        <v>13483.858563648701</v>
      </c>
      <c r="AE187">
        <v>13889.4579124579</v>
      </c>
      <c r="AF187">
        <v>14312.526550113</v>
      </c>
      <c r="AG187">
        <v>14753.848718551801</v>
      </c>
      <c r="AH187">
        <v>15216.604403388201</v>
      </c>
      <c r="AI187">
        <v>15706.3333576556</v>
      </c>
      <c r="AJ187">
        <v>16224.115205235599</v>
      </c>
      <c r="AK187">
        <v>16774.621604148098</v>
      </c>
      <c r="AL187">
        <v>17354.277617154501</v>
      </c>
      <c r="AM187">
        <v>17962.174121883199</v>
      </c>
      <c r="AN187">
        <v>18596.3612983118</v>
      </c>
      <c r="AO187">
        <v>19257.8640579079</v>
      </c>
      <c r="AP187">
        <v>19947.497281971999</v>
      </c>
      <c r="AQ187">
        <v>20660.353197899902</v>
      </c>
      <c r="AR187">
        <v>21394.876474158798</v>
      </c>
      <c r="AS187">
        <v>22149.5442794509</v>
      </c>
      <c r="AT187">
        <v>22925.600571747698</v>
      </c>
      <c r="AU187">
        <v>23724.217607697701</v>
      </c>
      <c r="AV187">
        <v>24547.7539026013</v>
      </c>
      <c r="AW187">
        <v>25396.822698192998</v>
      </c>
      <c r="AX187">
        <v>26273.509269234499</v>
      </c>
    </row>
    <row r="188" spans="2:50" x14ac:dyDescent="0.25">
      <c r="B188" s="3"/>
      <c r="C188" s="25" t="s">
        <v>58</v>
      </c>
      <c r="D188">
        <v>56421.514030040198</v>
      </c>
      <c r="E188">
        <v>58473.927281605298</v>
      </c>
      <c r="F188">
        <v>60071.543667840997</v>
      </c>
      <c r="G188">
        <v>61013.010642954097</v>
      </c>
      <c r="H188">
        <v>60073.363367417798</v>
      </c>
      <c r="I188">
        <v>62700.447610286101</v>
      </c>
      <c r="J188">
        <v>63450.0053093346</v>
      </c>
      <c r="K188">
        <v>60935.4308334792</v>
      </c>
      <c r="L188">
        <v>63272.9855354061</v>
      </c>
      <c r="M188">
        <v>62819.217830514601</v>
      </c>
      <c r="N188">
        <v>61054.071712312201</v>
      </c>
      <c r="O188">
        <v>60796.704578978897</v>
      </c>
      <c r="P188">
        <v>62812.1712086302</v>
      </c>
      <c r="Q188">
        <v>62624.631519135401</v>
      </c>
      <c r="R188">
        <v>65020.912329070401</v>
      </c>
      <c r="S188">
        <v>71426.598661522206</v>
      </c>
      <c r="T188">
        <v>73890.333267714203</v>
      </c>
      <c r="U188">
        <v>76328.740899533397</v>
      </c>
      <c r="V188">
        <v>78845.265862886794</v>
      </c>
      <c r="W188">
        <v>81858.996921518905</v>
      </c>
      <c r="X188">
        <v>84615.757014948904</v>
      </c>
      <c r="Y188">
        <v>87076.979045478205</v>
      </c>
      <c r="Z188">
        <v>89619.649363634293</v>
      </c>
      <c r="AA188">
        <v>92261.629808623606</v>
      </c>
      <c r="AB188">
        <v>95019.3023937049</v>
      </c>
      <c r="AC188">
        <v>97852.041361625903</v>
      </c>
      <c r="AD188">
        <v>100789.359535614</v>
      </c>
      <c r="AE188">
        <v>103875.222877318</v>
      </c>
      <c r="AF188">
        <v>107102.60119431</v>
      </c>
      <c r="AG188">
        <v>110477.90322334701</v>
      </c>
      <c r="AH188">
        <v>114036.195447031</v>
      </c>
      <c r="AI188">
        <v>117830.334365088</v>
      </c>
      <c r="AJ188">
        <v>121846.01966579699</v>
      </c>
      <c r="AK188">
        <v>126133.111084381</v>
      </c>
      <c r="AL188">
        <v>130607.921814327</v>
      </c>
      <c r="AM188">
        <v>135281.80140861199</v>
      </c>
      <c r="AN188">
        <v>140136.690200357</v>
      </c>
      <c r="AO188">
        <v>145188.40893331199</v>
      </c>
      <c r="AP188">
        <v>150442.651264885</v>
      </c>
      <c r="AQ188">
        <v>155839.81973575501</v>
      </c>
      <c r="AR188">
        <v>161377.53488096001</v>
      </c>
      <c r="AS188">
        <v>167052.72209794199</v>
      </c>
      <c r="AT188">
        <v>172887.66632916499</v>
      </c>
      <c r="AU188">
        <v>178902.56352419799</v>
      </c>
      <c r="AV188">
        <v>185117.05698057599</v>
      </c>
      <c r="AW188">
        <v>191526.09013508199</v>
      </c>
      <c r="AX188">
        <v>198185.197608052</v>
      </c>
    </row>
    <row r="189" spans="2:50" x14ac:dyDescent="0.25">
      <c r="B189" s="3"/>
      <c r="C189" s="25" t="s">
        <v>59</v>
      </c>
      <c r="D189">
        <v>107619.00345285299</v>
      </c>
      <c r="E189">
        <v>111533.798590915</v>
      </c>
      <c r="F189">
        <v>113942.673673624</v>
      </c>
      <c r="G189">
        <v>117442.672102032</v>
      </c>
      <c r="H189">
        <v>123159.05107199</v>
      </c>
      <c r="I189">
        <v>127288.16481709199</v>
      </c>
      <c r="J189">
        <v>132353.00432104801</v>
      </c>
      <c r="K189">
        <v>134411.74194275</v>
      </c>
      <c r="L189">
        <v>138386.77009091401</v>
      </c>
      <c r="M189">
        <v>143777.01769120299</v>
      </c>
      <c r="N189">
        <v>148459.893473623</v>
      </c>
      <c r="O189">
        <v>153311.54170001499</v>
      </c>
      <c r="P189">
        <v>158002.30168116401</v>
      </c>
      <c r="Q189">
        <v>162015.26339459801</v>
      </c>
      <c r="R189">
        <v>164253.738119852</v>
      </c>
      <c r="S189">
        <v>169990.653634174</v>
      </c>
      <c r="T189">
        <v>175872.75181603199</v>
      </c>
      <c r="U189">
        <v>181812.25955899601</v>
      </c>
      <c r="V189">
        <v>187877.36272803499</v>
      </c>
      <c r="W189">
        <v>194596.60749128499</v>
      </c>
      <c r="X189">
        <v>201329.86280277299</v>
      </c>
      <c r="Y189">
        <v>207695.44559353101</v>
      </c>
      <c r="Z189">
        <v>214003.31140457201</v>
      </c>
      <c r="AA189">
        <v>220401.91258253201</v>
      </c>
      <c r="AB189">
        <v>226974.47304270501</v>
      </c>
      <c r="AC189">
        <v>233718.561839495</v>
      </c>
      <c r="AD189">
        <v>240671.69328800499</v>
      </c>
      <c r="AE189">
        <v>247927.59733854001</v>
      </c>
      <c r="AF189">
        <v>255469.01740462001</v>
      </c>
      <c r="AG189">
        <v>263335.82958332001</v>
      </c>
      <c r="AH189">
        <v>271596.41942492098</v>
      </c>
      <c r="AI189">
        <v>280326.92262770102</v>
      </c>
      <c r="AJ189">
        <v>289578.82479785598</v>
      </c>
      <c r="AK189">
        <v>299426.10876720998</v>
      </c>
      <c r="AL189">
        <v>309797.31488230999</v>
      </c>
      <c r="AM189">
        <v>320671.01590109599</v>
      </c>
      <c r="AN189">
        <v>332015.30094212299</v>
      </c>
      <c r="AO189">
        <v>343837.32565198198</v>
      </c>
      <c r="AP189">
        <v>356142.114167728</v>
      </c>
      <c r="AQ189">
        <v>368862.87059063202</v>
      </c>
      <c r="AR189">
        <v>381964.266354085</v>
      </c>
      <c r="AS189">
        <v>395425.690443384</v>
      </c>
      <c r="AT189">
        <v>409261.19763281097</v>
      </c>
      <c r="AU189">
        <v>423501.208670697</v>
      </c>
      <c r="AV189">
        <v>438186.524029052</v>
      </c>
      <c r="AW189">
        <v>453330.43854949198</v>
      </c>
      <c r="AX189">
        <v>468978.61542268901</v>
      </c>
    </row>
    <row r="190" spans="2:50" x14ac:dyDescent="0.25">
      <c r="B190" s="3"/>
      <c r="C190" s="25" t="s">
        <v>60</v>
      </c>
      <c r="D190">
        <v>-11155.634083727</v>
      </c>
      <c r="E190">
        <v>-11561.43622528</v>
      </c>
      <c r="F190">
        <v>-11973.902969999999</v>
      </c>
      <c r="G190">
        <v>-12562.1322894</v>
      </c>
      <c r="H190">
        <v>-12637.10706912</v>
      </c>
      <c r="I190">
        <v>-12277.897122709401</v>
      </c>
      <c r="J190">
        <v>-12966.128415573499</v>
      </c>
      <c r="K190">
        <v>-13278.368161153599</v>
      </c>
      <c r="L190">
        <v>-13544.5443946285</v>
      </c>
      <c r="M190">
        <v>-13738.21671087</v>
      </c>
      <c r="N190">
        <v>-14230.2613947957</v>
      </c>
      <c r="O190">
        <v>-14538.172450169899</v>
      </c>
      <c r="P190">
        <v>-14796.722638298201</v>
      </c>
      <c r="Q190">
        <v>-15581.5805238922</v>
      </c>
      <c r="R190">
        <v>-15922.498498568601</v>
      </c>
      <c r="S190">
        <v>-16536.152775967501</v>
      </c>
      <c r="T190">
        <v>-16922.127980607202</v>
      </c>
      <c r="U190">
        <v>-17335.754443383499</v>
      </c>
      <c r="V190">
        <v>-17813.3078876254</v>
      </c>
      <c r="W190">
        <v>-18397.453141264999</v>
      </c>
      <c r="X190">
        <v>-19051.364047810199</v>
      </c>
      <c r="Y190">
        <v>-19675.527228556501</v>
      </c>
      <c r="Z190">
        <v>-20269.8408373487</v>
      </c>
      <c r="AA190">
        <v>-20869.487166536899</v>
      </c>
      <c r="AB190">
        <v>-21493.6184075739</v>
      </c>
      <c r="AC190">
        <v>-22130.3817982951</v>
      </c>
      <c r="AD190">
        <v>-22788.267754399301</v>
      </c>
      <c r="AE190">
        <v>-23404.117602107799</v>
      </c>
      <c r="AF190">
        <v>-24023.2557274928</v>
      </c>
      <c r="AG190">
        <v>-24677.889278332899</v>
      </c>
      <c r="AH190">
        <v>-25361.754390284299</v>
      </c>
      <c r="AI190">
        <v>-26060.742628751701</v>
      </c>
      <c r="AJ190">
        <v>-26830.732293319299</v>
      </c>
      <c r="AK190">
        <v>-27629.9354674479</v>
      </c>
      <c r="AL190">
        <v>-28458.836222825299</v>
      </c>
      <c r="AM190">
        <v>-29319.911323542499</v>
      </c>
      <c r="AN190">
        <v>-30208.683633974899</v>
      </c>
      <c r="AO190">
        <v>-31121.474648330299</v>
      </c>
      <c r="AP190">
        <v>-32071.515555505499</v>
      </c>
      <c r="AQ190">
        <v>-33047.841559402201</v>
      </c>
      <c r="AR190">
        <v>-34052.972697482997</v>
      </c>
      <c r="AS190">
        <v>-35082.925453695098</v>
      </c>
      <c r="AT190">
        <v>-36153.691850950403</v>
      </c>
      <c r="AU190">
        <v>-37256.903337519601</v>
      </c>
      <c r="AV190">
        <v>-38395.017367120498</v>
      </c>
      <c r="AW190">
        <v>-39565.679974704399</v>
      </c>
      <c r="AX190">
        <v>-40781.664309416003</v>
      </c>
    </row>
    <row r="191" spans="2:50" x14ac:dyDescent="0.25">
      <c r="B191" s="3"/>
      <c r="C191" s="25" t="s">
        <v>61</v>
      </c>
      <c r="D191">
        <v>-18291.068870714498</v>
      </c>
      <c r="E191">
        <v>-18956.432655804601</v>
      </c>
      <c r="F191">
        <v>-19231.217591610599</v>
      </c>
      <c r="G191">
        <v>-19978.533824801201</v>
      </c>
      <c r="H191">
        <v>-20285.490226676899</v>
      </c>
      <c r="I191">
        <v>-19620.2128915426</v>
      </c>
      <c r="J191">
        <v>-20250.889802515299</v>
      </c>
      <c r="K191">
        <v>-20506.5290642982</v>
      </c>
      <c r="L191">
        <v>-20732.061729705099</v>
      </c>
      <c r="M191">
        <v>-20776.8868245868</v>
      </c>
      <c r="N191">
        <v>-21404.293572652499</v>
      </c>
      <c r="O191">
        <v>-21733.6151751258</v>
      </c>
      <c r="P191">
        <v>-21981.087941452199</v>
      </c>
      <c r="Q191">
        <v>-22948.993159803202</v>
      </c>
      <c r="R191">
        <v>-23705.284109830201</v>
      </c>
      <c r="S191">
        <v>-24750.500628800401</v>
      </c>
      <c r="T191">
        <v>-25492.540562400402</v>
      </c>
      <c r="U191">
        <v>-26364.5101698943</v>
      </c>
      <c r="V191">
        <v>-27200.1527572382</v>
      </c>
      <c r="W191">
        <v>-28236.242051260899</v>
      </c>
      <c r="X191">
        <v>-29184.3544281902</v>
      </c>
      <c r="Y191">
        <v>-30050.150507815499</v>
      </c>
      <c r="Z191">
        <v>-30853.748370130801</v>
      </c>
      <c r="AA191">
        <v>-31738.653483562499</v>
      </c>
      <c r="AB191">
        <v>-32685.389474068801</v>
      </c>
      <c r="AC191">
        <v>-33674.138697282899</v>
      </c>
      <c r="AD191">
        <v>-34712.605050332299</v>
      </c>
      <c r="AE191">
        <v>-35721.636491137899</v>
      </c>
      <c r="AF191">
        <v>-36795.708553657198</v>
      </c>
      <c r="AG191">
        <v>-37919.503349344399</v>
      </c>
      <c r="AH191">
        <v>-39094.583850314899</v>
      </c>
      <c r="AI191">
        <v>-40355.963898460897</v>
      </c>
      <c r="AJ191">
        <v>-41676.486116571403</v>
      </c>
      <c r="AK191">
        <v>-43066.666443704198</v>
      </c>
      <c r="AL191">
        <v>-44523.544701140803</v>
      </c>
      <c r="AM191">
        <v>-46044.9854721874</v>
      </c>
      <c r="AN191">
        <v>-47622.810833432202</v>
      </c>
      <c r="AO191">
        <v>-49246.769333538003</v>
      </c>
      <c r="AP191">
        <v>-50942.779799308402</v>
      </c>
      <c r="AQ191">
        <v>-52683.753265593899</v>
      </c>
      <c r="AR191">
        <v>-54478.561027940101</v>
      </c>
      <c r="AS191">
        <v>-56317.1825390257</v>
      </c>
      <c r="AT191">
        <v>-58215.794189540997</v>
      </c>
      <c r="AU191">
        <v>-60168.987395042903</v>
      </c>
      <c r="AV191">
        <v>-62186.122465575398</v>
      </c>
      <c r="AW191">
        <v>-64267.267345084598</v>
      </c>
      <c r="AX191">
        <v>-66442.945091650501</v>
      </c>
    </row>
    <row r="192" spans="2:50" x14ac:dyDescent="0.25">
      <c r="B192" s="5"/>
      <c r="C192" s="25" t="s">
        <v>2</v>
      </c>
      <c r="F192">
        <v>891378.22470000002</v>
      </c>
      <c r="G192">
        <v>920346.92119999998</v>
      </c>
      <c r="H192">
        <v>947065.38410000002</v>
      </c>
      <c r="I192">
        <v>938804.98770000006</v>
      </c>
      <c r="J192">
        <v>945413.98739999998</v>
      </c>
      <c r="K192">
        <v>970813.08840000001</v>
      </c>
      <c r="L192">
        <v>989493.32350000006</v>
      </c>
      <c r="M192">
        <v>1002969.071</v>
      </c>
      <c r="N192">
        <v>1020633.731</v>
      </c>
      <c r="O192">
        <v>1041343.7830000001</v>
      </c>
      <c r="P192">
        <v>1063812.371</v>
      </c>
      <c r="Q192">
        <v>1100481.8400000001</v>
      </c>
      <c r="R192">
        <v>1143716.6159999999</v>
      </c>
      <c r="S192">
        <v>1188074.2660000001</v>
      </c>
      <c r="T192">
        <v>1227100.7290000001</v>
      </c>
      <c r="U192">
        <v>1263833</v>
      </c>
      <c r="V192">
        <v>1303622.1640000001</v>
      </c>
      <c r="W192">
        <v>1349802.7919999999</v>
      </c>
      <c r="X192">
        <v>1393464.497</v>
      </c>
      <c r="Y192">
        <v>1433033.5349999999</v>
      </c>
      <c r="Z192">
        <v>1471187.7050000001</v>
      </c>
      <c r="AA192">
        <v>1509708.084</v>
      </c>
      <c r="AB192">
        <v>1551532.723</v>
      </c>
      <c r="AC192">
        <v>1594726.926</v>
      </c>
      <c r="AD192">
        <v>1641114.281</v>
      </c>
      <c r="AE192">
        <v>1689517.871</v>
      </c>
      <c r="AF192">
        <v>1738811.6910000001</v>
      </c>
      <c r="AG192">
        <v>1791074.385</v>
      </c>
      <c r="AH192">
        <v>1846084.4979999999</v>
      </c>
      <c r="AI192">
        <v>1904037.4469999999</v>
      </c>
      <c r="AJ192">
        <v>1966438.452</v>
      </c>
      <c r="AK192">
        <v>2031982.125</v>
      </c>
      <c r="AL192">
        <v>2100360.5350000001</v>
      </c>
      <c r="AM192">
        <v>2172087.1170000001</v>
      </c>
      <c r="AN192">
        <v>2246413.5750000002</v>
      </c>
      <c r="AO192">
        <v>2323664.5819999999</v>
      </c>
      <c r="AP192">
        <v>2403481.1779999998</v>
      </c>
      <c r="AQ192">
        <v>2485904.8190000001</v>
      </c>
      <c r="AR192">
        <v>2570960.8169999998</v>
      </c>
      <c r="AS192">
        <v>2658419.2769999998</v>
      </c>
      <c r="AT192">
        <v>2748218.173</v>
      </c>
      <c r="AU192">
        <v>2841089.1239999998</v>
      </c>
      <c r="AV192">
        <v>2936910.2659999998</v>
      </c>
      <c r="AW192">
        <v>3035757.6460000002</v>
      </c>
      <c r="AX192">
        <v>3139505.5389999999</v>
      </c>
    </row>
    <row r="193" spans="2:50" x14ac:dyDescent="0.25">
      <c r="B193" s="5"/>
      <c r="C193" s="25" t="s">
        <v>3</v>
      </c>
      <c r="D193">
        <v>6736.0217489371598</v>
      </c>
      <c r="E193">
        <v>6981.0541720832098</v>
      </c>
      <c r="F193">
        <v>7184.2108340000004</v>
      </c>
      <c r="G193">
        <v>6897.7147290000003</v>
      </c>
      <c r="H193">
        <v>6995.8401679999997</v>
      </c>
      <c r="I193">
        <v>6577.5379659999999</v>
      </c>
      <c r="J193">
        <v>6110.0179680000001</v>
      </c>
      <c r="K193">
        <v>6724.3592660000004</v>
      </c>
      <c r="L193">
        <v>7115.3041659999999</v>
      </c>
      <c r="M193">
        <v>7000.4379929999996</v>
      </c>
      <c r="N193">
        <v>6942.4201810000004</v>
      </c>
      <c r="O193">
        <v>7144.7234170000002</v>
      </c>
      <c r="P193">
        <v>7346.870645</v>
      </c>
      <c r="Q193">
        <v>7554.5855959999999</v>
      </c>
      <c r="R193">
        <v>7841.8697030000003</v>
      </c>
      <c r="S193">
        <v>8018.0041199999996</v>
      </c>
      <c r="T193">
        <v>8358.3007570000009</v>
      </c>
      <c r="U193">
        <v>8434.0763430000006</v>
      </c>
      <c r="V193">
        <v>8682.2554280000004</v>
      </c>
      <c r="W193">
        <v>8877.57131999999</v>
      </c>
      <c r="X193">
        <v>9104.1914199999901</v>
      </c>
      <c r="Y193">
        <v>9294.3853689999996</v>
      </c>
      <c r="Z193">
        <v>9409.6639099999902</v>
      </c>
      <c r="AA193">
        <v>9458.2844339999901</v>
      </c>
      <c r="AB193">
        <v>9637.3750380000001</v>
      </c>
      <c r="AC193">
        <v>9886.5267469999999</v>
      </c>
      <c r="AD193">
        <v>10129.204669999999</v>
      </c>
      <c r="AE193">
        <v>10367.77815</v>
      </c>
      <c r="AF193">
        <v>10654.851930000001</v>
      </c>
      <c r="AG193">
        <v>10987.0512</v>
      </c>
      <c r="AH193">
        <v>11330.67468</v>
      </c>
      <c r="AI193">
        <v>11681.29429</v>
      </c>
      <c r="AJ193">
        <v>12072.77917</v>
      </c>
      <c r="AK193">
        <v>12474.411400000001</v>
      </c>
      <c r="AL193">
        <v>12872.35662</v>
      </c>
      <c r="AM193">
        <v>13303.5573</v>
      </c>
      <c r="AN193">
        <v>13754.13416</v>
      </c>
      <c r="AO193">
        <v>14219.81833</v>
      </c>
      <c r="AP193">
        <v>14668.80033</v>
      </c>
      <c r="AQ193">
        <v>15152.101570000001</v>
      </c>
      <c r="AR193">
        <v>15657.39292</v>
      </c>
      <c r="AS193">
        <v>16189.60469</v>
      </c>
      <c r="AT193">
        <v>16733.492880000002</v>
      </c>
      <c r="AU193">
        <v>17304.451649999999</v>
      </c>
      <c r="AV193">
        <v>17890.046009999998</v>
      </c>
      <c r="AW193">
        <v>18489.01871</v>
      </c>
      <c r="AX193">
        <v>19107.941470000002</v>
      </c>
    </row>
    <row r="194" spans="2:50" x14ac:dyDescent="0.25">
      <c r="B194" s="5"/>
      <c r="C194" s="25" t="s">
        <v>4</v>
      </c>
      <c r="D194">
        <v>130354.82254187101</v>
      </c>
      <c r="E194">
        <v>135096.665609888</v>
      </c>
      <c r="F194">
        <v>138640.54829999999</v>
      </c>
      <c r="G194">
        <v>147517.5816</v>
      </c>
      <c r="H194">
        <v>157566.63159999999</v>
      </c>
      <c r="I194">
        <v>161161.36129999999</v>
      </c>
      <c r="J194">
        <v>165854.41940000001</v>
      </c>
      <c r="K194">
        <v>175705.72990000001</v>
      </c>
      <c r="L194">
        <v>185407.8983</v>
      </c>
      <c r="M194">
        <v>192921.198</v>
      </c>
      <c r="N194">
        <v>195697.58100000001</v>
      </c>
      <c r="O194">
        <v>199466.424</v>
      </c>
      <c r="P194">
        <v>203516.60279999999</v>
      </c>
      <c r="Q194">
        <v>209936.3591</v>
      </c>
      <c r="R194">
        <v>218159.57070000001</v>
      </c>
      <c r="S194">
        <v>226261.6495</v>
      </c>
      <c r="T194">
        <v>235671.71419999999</v>
      </c>
      <c r="U194">
        <v>242524.45920000001</v>
      </c>
      <c r="V194">
        <v>250415.5613</v>
      </c>
      <c r="W194">
        <v>259367.27249999999</v>
      </c>
      <c r="X194">
        <v>267747.26059999998</v>
      </c>
      <c r="Y194">
        <v>275174.5649</v>
      </c>
      <c r="Z194">
        <v>282533.52169999998</v>
      </c>
      <c r="AA194">
        <v>289814.55920000002</v>
      </c>
      <c r="AB194">
        <v>297948.54470000003</v>
      </c>
      <c r="AC194">
        <v>306587.28610000003</v>
      </c>
      <c r="AD194">
        <v>315472.28659999999</v>
      </c>
      <c r="AE194">
        <v>324771.91409999999</v>
      </c>
      <c r="AF194">
        <v>334598.65600000002</v>
      </c>
      <c r="AG194">
        <v>345117.48</v>
      </c>
      <c r="AH194">
        <v>356215.99459999998</v>
      </c>
      <c r="AI194">
        <v>367916.05160000001</v>
      </c>
      <c r="AJ194">
        <v>380549.57319999998</v>
      </c>
      <c r="AK194">
        <v>393891.0012</v>
      </c>
      <c r="AL194">
        <v>407703.86290000001</v>
      </c>
      <c r="AM194">
        <v>422190.31</v>
      </c>
      <c r="AN194">
        <v>437245.56599999999</v>
      </c>
      <c r="AO194">
        <v>452884.47730000003</v>
      </c>
      <c r="AP194">
        <v>468938.35580000002</v>
      </c>
      <c r="AQ194">
        <v>485508.09980000003</v>
      </c>
      <c r="AR194">
        <v>502544.84850000002</v>
      </c>
      <c r="AS194">
        <v>520072.14020000002</v>
      </c>
      <c r="AT194">
        <v>538095.04819999996</v>
      </c>
      <c r="AU194">
        <v>556729.95019999996</v>
      </c>
      <c r="AV194">
        <v>575975.87749999994</v>
      </c>
      <c r="AW194">
        <v>595813.71719999996</v>
      </c>
      <c r="AX194">
        <v>616484.22450000001</v>
      </c>
    </row>
    <row r="195" spans="2:50" x14ac:dyDescent="0.25">
      <c r="B195" s="5"/>
      <c r="C195" s="25" t="s">
        <v>5</v>
      </c>
      <c r="D195">
        <v>16317.279498531099</v>
      </c>
      <c r="E195">
        <v>16910.843872830701</v>
      </c>
      <c r="F195">
        <v>17354.452509999999</v>
      </c>
      <c r="G195">
        <v>17686.605520000001</v>
      </c>
      <c r="H195">
        <v>18234.341960000002</v>
      </c>
      <c r="I195">
        <v>18023.438559999999</v>
      </c>
      <c r="J195">
        <v>17945.089189999999</v>
      </c>
      <c r="K195">
        <v>18412.20866</v>
      </c>
      <c r="L195">
        <v>18835.65034</v>
      </c>
      <c r="M195">
        <v>19018.219959999999</v>
      </c>
      <c r="N195">
        <v>19291.91649</v>
      </c>
      <c r="O195">
        <v>19663.449980000001</v>
      </c>
      <c r="P195">
        <v>20062.717619999999</v>
      </c>
      <c r="Q195">
        <v>20695.578799999999</v>
      </c>
      <c r="R195">
        <v>21506.225060000001</v>
      </c>
      <c r="S195">
        <v>22304.93001</v>
      </c>
      <c r="T195">
        <v>23232.576550000002</v>
      </c>
      <c r="U195">
        <v>23908.121859999999</v>
      </c>
      <c r="V195">
        <v>24686.028679999999</v>
      </c>
      <c r="W195">
        <v>25568.490610000001</v>
      </c>
      <c r="X195">
        <v>26394.591929999999</v>
      </c>
      <c r="Y195">
        <v>27126.777440000002</v>
      </c>
      <c r="Z195">
        <v>27852.225259999999</v>
      </c>
      <c r="AA195">
        <v>28569.991750000001</v>
      </c>
      <c r="AB195">
        <v>29371.842079999999</v>
      </c>
      <c r="AC195">
        <v>30223.451359999999</v>
      </c>
      <c r="AD195">
        <v>31099.336940000001</v>
      </c>
      <c r="AE195">
        <v>32016.096539999999</v>
      </c>
      <c r="AF195">
        <v>32984.819219999998</v>
      </c>
      <c r="AG195">
        <v>34021.767520000001</v>
      </c>
      <c r="AH195">
        <v>35115.861870000001</v>
      </c>
      <c r="AI195">
        <v>36269.256410000002</v>
      </c>
      <c r="AJ195">
        <v>37514.672129999999</v>
      </c>
      <c r="AK195">
        <v>38829.873440000003</v>
      </c>
      <c r="AL195">
        <v>40191.548799999997</v>
      </c>
      <c r="AM195">
        <v>41619.626380000002</v>
      </c>
      <c r="AN195">
        <v>43103.777289999998</v>
      </c>
      <c r="AO195">
        <v>44645.465069999998</v>
      </c>
      <c r="AP195">
        <v>46228.060429999998</v>
      </c>
      <c r="AQ195">
        <v>47861.509940000004</v>
      </c>
      <c r="AR195">
        <v>49540.996890000002</v>
      </c>
      <c r="AS195">
        <v>51268.841690000001</v>
      </c>
      <c r="AT195">
        <v>53045.544470000001</v>
      </c>
      <c r="AU195">
        <v>54882.577770000004</v>
      </c>
      <c r="AV195">
        <v>56779.846100000002</v>
      </c>
      <c r="AW195">
        <v>58735.46529</v>
      </c>
      <c r="AX195">
        <v>60773.16908</v>
      </c>
    </row>
    <row r="196" spans="2:50" x14ac:dyDescent="0.25">
      <c r="B196" s="5"/>
      <c r="C196" s="25" t="s">
        <v>6</v>
      </c>
      <c r="D196">
        <v>39.375694686332501</v>
      </c>
      <c r="E196">
        <v>40.163208580059099</v>
      </c>
      <c r="F196">
        <v>40.965571269999998</v>
      </c>
      <c r="G196">
        <v>41.668771829999997</v>
      </c>
      <c r="H196">
        <v>42.35136644</v>
      </c>
      <c r="I196">
        <v>42.869101749999999</v>
      </c>
      <c r="J196">
        <v>42.448831800000001</v>
      </c>
      <c r="K196">
        <v>41.869215029999999</v>
      </c>
      <c r="L196">
        <v>41.560260290000002</v>
      </c>
      <c r="M196">
        <v>41.492423899999999</v>
      </c>
      <c r="N196">
        <v>41.418084700000001</v>
      </c>
      <c r="O196">
        <v>41.395520490000003</v>
      </c>
      <c r="P196">
        <v>41.42978403</v>
      </c>
      <c r="Q196">
        <v>41.566799189999998</v>
      </c>
      <c r="R196">
        <v>42.090111530000001</v>
      </c>
      <c r="S196">
        <v>43.023861310000001</v>
      </c>
      <c r="T196">
        <v>43.891009769999997</v>
      </c>
      <c r="U196">
        <v>44.769848519999996</v>
      </c>
      <c r="V196">
        <v>45.663181270000003</v>
      </c>
      <c r="W196">
        <v>46.581190370000002</v>
      </c>
      <c r="X196">
        <v>47.515247260000002</v>
      </c>
      <c r="Y196">
        <v>48.46429973</v>
      </c>
      <c r="Z196">
        <v>49.447626409999998</v>
      </c>
      <c r="AA196">
        <v>50.444697189999999</v>
      </c>
      <c r="AB196">
        <v>51.43460425</v>
      </c>
      <c r="AC196">
        <v>52.436825769999999</v>
      </c>
      <c r="AD196">
        <v>53.460373390000001</v>
      </c>
      <c r="AE196">
        <v>54.51463957</v>
      </c>
      <c r="AF196">
        <v>55.596698080000003</v>
      </c>
      <c r="AG196">
        <v>56.706155039999999</v>
      </c>
      <c r="AH196">
        <v>57.854106600000001</v>
      </c>
      <c r="AI196">
        <v>59.029214150000001</v>
      </c>
      <c r="AJ196">
        <v>60.236388699999999</v>
      </c>
      <c r="AK196">
        <v>61.472595249999998</v>
      </c>
      <c r="AL196">
        <v>62.719283859999997</v>
      </c>
      <c r="AM196">
        <v>63.983528100000001</v>
      </c>
      <c r="AN196">
        <v>65.269246499999994</v>
      </c>
      <c r="AO196">
        <v>66.568825509999996</v>
      </c>
      <c r="AP196">
        <v>67.880428519999995</v>
      </c>
      <c r="AQ196">
        <v>69.208720339999999</v>
      </c>
      <c r="AR196">
        <v>70.555904420000005</v>
      </c>
      <c r="AS196">
        <v>71.924703309999998</v>
      </c>
      <c r="AT196">
        <v>73.318421240000006</v>
      </c>
      <c r="AU196">
        <v>74.73740463</v>
      </c>
      <c r="AV196">
        <v>76.183864529999994</v>
      </c>
      <c r="AW196">
        <v>77.658813609999996</v>
      </c>
      <c r="AX196">
        <v>79.176624610000005</v>
      </c>
    </row>
    <row r="197" spans="2:50" x14ac:dyDescent="0.25">
      <c r="B197" s="5"/>
      <c r="C197" s="25" t="s">
        <v>7</v>
      </c>
      <c r="D197">
        <v>5875.3438678479197</v>
      </c>
      <c r="E197">
        <v>5898.8877609486599</v>
      </c>
      <c r="F197">
        <v>5918.9688020000003</v>
      </c>
      <c r="G197">
        <v>5938.0893379999998</v>
      </c>
      <c r="H197">
        <v>5921.6735070000004</v>
      </c>
      <c r="I197">
        <v>5909.5378430000001</v>
      </c>
      <c r="J197">
        <v>5910.7674390000002</v>
      </c>
      <c r="K197">
        <v>5932.9880370000001</v>
      </c>
      <c r="L197">
        <v>5972.4200870000004</v>
      </c>
      <c r="M197">
        <v>6012.9627609999998</v>
      </c>
      <c r="N197">
        <v>6024.9931130000004</v>
      </c>
      <c r="O197">
        <v>6024.1893380000001</v>
      </c>
      <c r="P197">
        <v>6026.6725239999996</v>
      </c>
      <c r="Q197">
        <v>6047.7019030000001</v>
      </c>
      <c r="R197">
        <v>6063.2623039999999</v>
      </c>
      <c r="S197">
        <v>6066.8735820000002</v>
      </c>
      <c r="T197">
        <v>6079.9487829999998</v>
      </c>
      <c r="U197">
        <v>6090.9946470000004</v>
      </c>
      <c r="V197">
        <v>6100.7335430000003</v>
      </c>
      <c r="W197">
        <v>6113.4238139999998</v>
      </c>
      <c r="X197">
        <v>6127.3181409999997</v>
      </c>
      <c r="Y197">
        <v>6140.9379760000002</v>
      </c>
      <c r="Z197">
        <v>6152.5659390000001</v>
      </c>
      <c r="AA197">
        <v>6163.435418</v>
      </c>
      <c r="AB197">
        <v>6175.4442490000001</v>
      </c>
      <c r="AC197">
        <v>6186.7224459999998</v>
      </c>
      <c r="AD197">
        <v>6196.5331340000002</v>
      </c>
      <c r="AE197">
        <v>6205.2166029999998</v>
      </c>
      <c r="AF197">
        <v>6213.4827310000001</v>
      </c>
      <c r="AG197">
        <v>6221.4476029999996</v>
      </c>
      <c r="AH197">
        <v>6228.2329550000004</v>
      </c>
      <c r="AI197">
        <v>6235.247402</v>
      </c>
      <c r="AJ197">
        <v>6241.2799210000003</v>
      </c>
      <c r="AK197">
        <v>6246.0000399999999</v>
      </c>
      <c r="AL197">
        <v>6250.9310420000002</v>
      </c>
      <c r="AM197">
        <v>6255.384067</v>
      </c>
      <c r="AN197">
        <v>6258.8187820000003</v>
      </c>
      <c r="AO197">
        <v>6261.9917580000001</v>
      </c>
      <c r="AP197">
        <v>6264.5627160000004</v>
      </c>
      <c r="AQ197">
        <v>6266.2150330000004</v>
      </c>
      <c r="AR197">
        <v>6267.4484439999997</v>
      </c>
      <c r="AS197">
        <v>6267.9315740000002</v>
      </c>
      <c r="AT197">
        <v>6267.7657330000002</v>
      </c>
      <c r="AU197">
        <v>6267.340639</v>
      </c>
      <c r="AV197">
        <v>6266.4598889999997</v>
      </c>
      <c r="AW197">
        <v>6265.1348269999999</v>
      </c>
      <c r="AX197">
        <v>6262.9717570000003</v>
      </c>
    </row>
    <row r="198" spans="2:50" x14ac:dyDescent="0.25">
      <c r="B198" s="5"/>
      <c r="C198" s="25" t="s">
        <v>8</v>
      </c>
      <c r="D198">
        <v>0.97642519020762697</v>
      </c>
      <c r="E198">
        <v>0.98814229249011798</v>
      </c>
      <c r="F198">
        <v>1</v>
      </c>
      <c r="G198">
        <v>1.012</v>
      </c>
      <c r="H198">
        <v>1.0241439999999999</v>
      </c>
      <c r="I198">
        <v>1.036433728</v>
      </c>
      <c r="J198">
        <v>1.0488709329999999</v>
      </c>
      <c r="K198">
        <v>1.0614573839999999</v>
      </c>
      <c r="L198">
        <v>1.0741948729999999</v>
      </c>
      <c r="M198">
        <v>1.087085211</v>
      </c>
      <c r="N198">
        <v>1.1001302340000001</v>
      </c>
      <c r="O198">
        <v>1.113331796</v>
      </c>
      <c r="P198">
        <v>1.1266917780000001</v>
      </c>
      <c r="Q198">
        <v>1.1402120790000001</v>
      </c>
      <c r="R198">
        <v>1.1538946240000001</v>
      </c>
      <c r="S198">
        <v>1.16774136</v>
      </c>
      <c r="T198">
        <v>1.1817542560000001</v>
      </c>
      <c r="U198">
        <v>1.194753553</v>
      </c>
      <c r="V198">
        <v>1.2078958420000001</v>
      </c>
      <c r="W198">
        <v>1.226596947</v>
      </c>
      <c r="X198">
        <v>1.2401047249999999</v>
      </c>
      <c r="Y198">
        <v>1.248217986</v>
      </c>
      <c r="Z198">
        <v>1.257008237</v>
      </c>
      <c r="AA198">
        <v>1.2663833600000001</v>
      </c>
      <c r="AB198">
        <v>1.2764109889999999</v>
      </c>
      <c r="AC198">
        <v>1.286584102</v>
      </c>
      <c r="AD198">
        <v>1.297256237</v>
      </c>
      <c r="AE198">
        <v>1.3086671599999999</v>
      </c>
      <c r="AF198">
        <v>1.3206483760000001</v>
      </c>
      <c r="AG198">
        <v>1.333490431</v>
      </c>
      <c r="AH198">
        <v>1.3475322249999999</v>
      </c>
      <c r="AI198">
        <v>1.3629206810000001</v>
      </c>
      <c r="AJ198">
        <v>1.379979171</v>
      </c>
      <c r="AK198">
        <v>1.39901319</v>
      </c>
      <c r="AL198">
        <v>1.4188714659999999</v>
      </c>
      <c r="AM198">
        <v>1.439634981</v>
      </c>
      <c r="AN198">
        <v>1.46107075</v>
      </c>
      <c r="AO198">
        <v>1.483382451</v>
      </c>
      <c r="AP198">
        <v>1.5065307050000001</v>
      </c>
      <c r="AQ198">
        <v>1.5298493259999999</v>
      </c>
      <c r="AR198">
        <v>1.5531631290000001</v>
      </c>
      <c r="AS198">
        <v>1.5765024270000001</v>
      </c>
      <c r="AT198">
        <v>1.599996164</v>
      </c>
      <c r="AU198">
        <v>1.623719624</v>
      </c>
      <c r="AV198">
        <v>1.647851851</v>
      </c>
      <c r="AW198">
        <v>1.6722974500000001</v>
      </c>
      <c r="AX198">
        <v>1.697086356</v>
      </c>
    </row>
    <row r="199" spans="2:50" x14ac:dyDescent="0.25">
      <c r="B199" s="5"/>
      <c r="C199" s="25" t="s">
        <v>9</v>
      </c>
      <c r="D199">
        <v>0.96116878123798499</v>
      </c>
      <c r="E199">
        <v>0.98039215686274495</v>
      </c>
      <c r="F199">
        <v>0.97820824780000004</v>
      </c>
      <c r="G199">
        <v>0.98496723180000001</v>
      </c>
      <c r="H199">
        <v>0.99826355690000002</v>
      </c>
      <c r="I199">
        <v>0.99968759309999999</v>
      </c>
      <c r="J199">
        <v>0.99995771320000004</v>
      </c>
      <c r="K199">
        <v>0.99685740550000002</v>
      </c>
      <c r="L199">
        <v>0.9921762073</v>
      </c>
      <c r="M199">
        <v>0.99125017780000002</v>
      </c>
      <c r="N199">
        <v>0.99556701459999997</v>
      </c>
      <c r="O199">
        <v>1.004073148</v>
      </c>
      <c r="P199">
        <v>1.0108111129999999</v>
      </c>
      <c r="Q199">
        <v>1.021306815</v>
      </c>
      <c r="R199">
        <v>1.0377082790000001</v>
      </c>
      <c r="S199">
        <v>1.0617254279999999</v>
      </c>
      <c r="T199">
        <v>1.083178068</v>
      </c>
      <c r="U199">
        <v>1.1050454670000001</v>
      </c>
      <c r="V199">
        <v>1.127335679</v>
      </c>
      <c r="W199">
        <v>1.150068012</v>
      </c>
      <c r="X199">
        <v>1.1732496429999999</v>
      </c>
      <c r="Y199">
        <v>1.1968737709999999</v>
      </c>
      <c r="Z199">
        <v>1.2209797330000001</v>
      </c>
      <c r="AA199">
        <v>1.245565942</v>
      </c>
      <c r="AB199">
        <v>1.2705952490000001</v>
      </c>
      <c r="AC199">
        <v>1.2960693219999999</v>
      </c>
      <c r="AD199">
        <v>1.3220045250000001</v>
      </c>
      <c r="AE199">
        <v>1.348436148</v>
      </c>
      <c r="AF199">
        <v>1.375386564</v>
      </c>
      <c r="AG199">
        <v>1.4028751859999999</v>
      </c>
      <c r="AH199">
        <v>1.430941003</v>
      </c>
      <c r="AI199">
        <v>1.459600794</v>
      </c>
      <c r="AJ199">
        <v>1.488877762</v>
      </c>
      <c r="AK199">
        <v>1.5187882660000001</v>
      </c>
      <c r="AL199">
        <v>1.5493166519999999</v>
      </c>
      <c r="AM199">
        <v>1.5804617759999999</v>
      </c>
      <c r="AN199">
        <v>1.612229849</v>
      </c>
      <c r="AO199">
        <v>1.644609709</v>
      </c>
      <c r="AP199">
        <v>1.677590924</v>
      </c>
      <c r="AQ199">
        <v>1.7111732740000001</v>
      </c>
      <c r="AR199">
        <v>1.745360223</v>
      </c>
      <c r="AS199">
        <v>1.7801598240000001</v>
      </c>
      <c r="AT199">
        <v>1.8155854330000001</v>
      </c>
      <c r="AU199">
        <v>1.8516501759999999</v>
      </c>
      <c r="AV199">
        <v>1.8883709479999999</v>
      </c>
      <c r="AW199">
        <v>1.9257638459999999</v>
      </c>
      <c r="AX199">
        <v>1.9638729699999999</v>
      </c>
    </row>
    <row r="200" spans="2:50" x14ac:dyDescent="0.25">
      <c r="B200" s="5"/>
      <c r="C200" s="25" t="s">
        <v>10</v>
      </c>
      <c r="D200">
        <v>364929.79887904698</v>
      </c>
      <c r="E200">
        <v>370788.864839938</v>
      </c>
      <c r="F200">
        <v>376541.95449999999</v>
      </c>
      <c r="G200">
        <v>382438.95280000003</v>
      </c>
      <c r="H200">
        <v>384758.81640000001</v>
      </c>
      <c r="I200">
        <v>389587.38290000003</v>
      </c>
      <c r="J200">
        <v>394176.38069999998</v>
      </c>
      <c r="K200">
        <v>399776.39409999998</v>
      </c>
      <c r="L200">
        <v>406266.45870000002</v>
      </c>
      <c r="M200">
        <v>412545.91310000001</v>
      </c>
      <c r="N200">
        <v>416311.72249999997</v>
      </c>
      <c r="O200">
        <v>420775.92469999997</v>
      </c>
      <c r="P200">
        <v>425959.25679999997</v>
      </c>
      <c r="Q200">
        <v>432577.49829999998</v>
      </c>
      <c r="R200">
        <v>437665.42420000001</v>
      </c>
      <c r="S200">
        <v>442663.9768</v>
      </c>
      <c r="T200">
        <v>448759.22600000002</v>
      </c>
      <c r="U200">
        <v>454837.08990000002</v>
      </c>
      <c r="V200">
        <v>460683.97249999997</v>
      </c>
      <c r="W200">
        <v>467892.47289999999</v>
      </c>
      <c r="X200">
        <v>474503.76160000003</v>
      </c>
      <c r="Y200">
        <v>479793.48109999998</v>
      </c>
      <c r="Z200">
        <v>484465.31660000002</v>
      </c>
      <c r="AA200">
        <v>489087.18329999998</v>
      </c>
      <c r="AB200">
        <v>493810.98259999999</v>
      </c>
      <c r="AC200">
        <v>498589.1654</v>
      </c>
      <c r="AD200">
        <v>503485.44910000003</v>
      </c>
      <c r="AE200">
        <v>508464.44199999998</v>
      </c>
      <c r="AF200">
        <v>513685.37939999998</v>
      </c>
      <c r="AG200">
        <v>519148.93780000001</v>
      </c>
      <c r="AH200">
        <v>524930.36899999995</v>
      </c>
      <c r="AI200">
        <v>531185.72750000004</v>
      </c>
      <c r="AJ200">
        <v>537907.56940000004</v>
      </c>
      <c r="AK200">
        <v>545206.69039999996</v>
      </c>
      <c r="AL200">
        <v>552932.38740000001</v>
      </c>
      <c r="AM200">
        <v>561022.89190000005</v>
      </c>
      <c r="AN200">
        <v>569385.88280000002</v>
      </c>
      <c r="AO200">
        <v>578030.75230000005</v>
      </c>
      <c r="AP200">
        <v>586959.34829999995</v>
      </c>
      <c r="AQ200">
        <v>596004.35140000004</v>
      </c>
      <c r="AR200">
        <v>605104.50520000001</v>
      </c>
      <c r="AS200">
        <v>614202.35470000003</v>
      </c>
      <c r="AT200">
        <v>623318.05850000004</v>
      </c>
      <c r="AU200">
        <v>632468.11430000002</v>
      </c>
      <c r="AV200">
        <v>641697.17539999995</v>
      </c>
      <c r="AW200">
        <v>651001.56889999995</v>
      </c>
      <c r="AX200">
        <v>660405.02419999999</v>
      </c>
    </row>
    <row r="201" spans="2:50" x14ac:dyDescent="0.25">
      <c r="B201" s="5"/>
      <c r="C201" s="25" t="s">
        <v>11</v>
      </c>
      <c r="D201">
        <v>0.96116878123798499</v>
      </c>
      <c r="E201">
        <v>0.98039215686274495</v>
      </c>
      <c r="F201">
        <v>0.98977929919999996</v>
      </c>
      <c r="G201">
        <v>0.99288897990000002</v>
      </c>
      <c r="H201">
        <v>1.006633289</v>
      </c>
      <c r="I201">
        <v>1.0062730310000001</v>
      </c>
      <c r="J201">
        <v>1.0163783879999999</v>
      </c>
      <c r="K201">
        <v>1.026769633</v>
      </c>
      <c r="L201">
        <v>1.0373521939999999</v>
      </c>
      <c r="M201">
        <v>1.044406336</v>
      </c>
      <c r="N201">
        <v>1.0659555709999999</v>
      </c>
      <c r="O201">
        <v>1.072491997</v>
      </c>
      <c r="P201">
        <v>1.0799584820000001</v>
      </c>
      <c r="Q201">
        <v>1.096370895</v>
      </c>
      <c r="R201">
        <v>1.1191590220000001</v>
      </c>
      <c r="S201">
        <v>1.1383808559999999</v>
      </c>
      <c r="T201">
        <v>1.1596859660000001</v>
      </c>
      <c r="U201">
        <v>1.181291992</v>
      </c>
      <c r="V201">
        <v>1.203970789</v>
      </c>
      <c r="W201">
        <v>1.2275779579999999</v>
      </c>
      <c r="X201">
        <v>1.251538737</v>
      </c>
      <c r="Y201">
        <v>1.275805053</v>
      </c>
      <c r="Z201">
        <v>1.299798877</v>
      </c>
      <c r="AA201">
        <v>1.324013919</v>
      </c>
      <c r="AB201">
        <v>1.3486175279999999</v>
      </c>
      <c r="AC201">
        <v>1.3736361969999999</v>
      </c>
      <c r="AD201">
        <v>1.399096302</v>
      </c>
      <c r="AE201">
        <v>1.4254135830000001</v>
      </c>
      <c r="AF201">
        <v>1.451884411</v>
      </c>
      <c r="AG201">
        <v>1.479076184</v>
      </c>
      <c r="AH201">
        <v>1.5069869360000001</v>
      </c>
      <c r="AI201">
        <v>1.535292576</v>
      </c>
      <c r="AJ201">
        <v>1.564795921</v>
      </c>
      <c r="AK201">
        <v>1.594859502</v>
      </c>
      <c r="AL201">
        <v>1.625570722</v>
      </c>
      <c r="AM201">
        <v>1.656899511</v>
      </c>
      <c r="AN201">
        <v>1.688856707</v>
      </c>
      <c r="AO201">
        <v>1.721568523</v>
      </c>
      <c r="AP201">
        <v>1.754932055</v>
      </c>
      <c r="AQ201">
        <v>1.78896221</v>
      </c>
      <c r="AR201">
        <v>1.8235729940000001</v>
      </c>
      <c r="AS201">
        <v>1.8587227209999999</v>
      </c>
      <c r="AT201">
        <v>1.89458514</v>
      </c>
      <c r="AU201">
        <v>1.9311886709999999</v>
      </c>
      <c r="AV201">
        <v>1.968512842</v>
      </c>
      <c r="AW201">
        <v>2.0065545949999999</v>
      </c>
      <c r="AX201">
        <v>2.045620537</v>
      </c>
    </row>
    <row r="202" spans="2:50" x14ac:dyDescent="0.25">
      <c r="B202" s="5"/>
      <c r="C202" s="25" t="s">
        <v>12</v>
      </c>
      <c r="D202">
        <v>198321.64173969199</v>
      </c>
      <c r="E202">
        <v>201505.75984677501</v>
      </c>
      <c r="F202">
        <v>203224.54939999999</v>
      </c>
      <c r="G202">
        <v>208419.85740000001</v>
      </c>
      <c r="H202">
        <v>207947.7965</v>
      </c>
      <c r="I202">
        <v>204285.3933</v>
      </c>
      <c r="J202">
        <v>206915.29190000001</v>
      </c>
      <c r="K202">
        <v>208489.6054</v>
      </c>
      <c r="L202">
        <v>206447.44200000001</v>
      </c>
      <c r="M202">
        <v>206060.41959999999</v>
      </c>
      <c r="N202">
        <v>208025.21830000001</v>
      </c>
      <c r="O202">
        <v>210110.4964</v>
      </c>
      <c r="P202">
        <v>211725.63990000001</v>
      </c>
      <c r="Q202">
        <v>215512.52530000001</v>
      </c>
      <c r="R202">
        <v>217455.89749999999</v>
      </c>
      <c r="S202">
        <v>220683.2408</v>
      </c>
      <c r="T202">
        <v>220824.57810000001</v>
      </c>
      <c r="U202">
        <v>222079.81599999999</v>
      </c>
      <c r="V202">
        <v>223568.47200000001</v>
      </c>
      <c r="W202">
        <v>227154.54190000001</v>
      </c>
      <c r="X202">
        <v>229022.75140000001</v>
      </c>
      <c r="Y202">
        <v>230006.28140000001</v>
      </c>
      <c r="Z202">
        <v>231023.9621</v>
      </c>
      <c r="AA202">
        <v>232027.69450000001</v>
      </c>
      <c r="AB202">
        <v>233306.63430000001</v>
      </c>
      <c r="AC202">
        <v>234643.32399999999</v>
      </c>
      <c r="AD202">
        <v>236077.06760000001</v>
      </c>
      <c r="AE202">
        <v>237593.74650000001</v>
      </c>
      <c r="AF202">
        <v>238978.00949999999</v>
      </c>
      <c r="AG202">
        <v>240673.59330000001</v>
      </c>
      <c r="AH202">
        <v>242525.6704</v>
      </c>
      <c r="AI202">
        <v>244421.26250000001</v>
      </c>
      <c r="AJ202">
        <v>246878.34349999999</v>
      </c>
      <c r="AK202">
        <v>249353.74600000001</v>
      </c>
      <c r="AL202">
        <v>251968.9785</v>
      </c>
      <c r="AM202">
        <v>254671.55230000001</v>
      </c>
      <c r="AN202">
        <v>257406.81049999999</v>
      </c>
      <c r="AO202">
        <v>260072.67739999999</v>
      </c>
      <c r="AP202">
        <v>262843.44380000001</v>
      </c>
      <c r="AQ202">
        <v>265624.50309999997</v>
      </c>
      <c r="AR202">
        <v>268529.05849999998</v>
      </c>
      <c r="AS202">
        <v>271408.31430000003</v>
      </c>
      <c r="AT202">
        <v>274316.9596</v>
      </c>
      <c r="AU202">
        <v>277311.06430000003</v>
      </c>
      <c r="AV202">
        <v>280338.14</v>
      </c>
      <c r="AW202">
        <v>283396.39720000001</v>
      </c>
      <c r="AX202">
        <v>286898.87060000002</v>
      </c>
    </row>
    <row r="203" spans="2:50" x14ac:dyDescent="0.25">
      <c r="B203" s="5"/>
      <c r="C203" s="25" t="s">
        <v>13</v>
      </c>
      <c r="D203">
        <v>0.96116878123798499</v>
      </c>
      <c r="E203">
        <v>0.98039215686274495</v>
      </c>
      <c r="F203">
        <v>0.98414444459999995</v>
      </c>
      <c r="G203">
        <v>0.9856268722</v>
      </c>
      <c r="H203">
        <v>0.99582313580000004</v>
      </c>
      <c r="I203">
        <v>1.002391646</v>
      </c>
      <c r="J203">
        <v>1.0062091209999999</v>
      </c>
      <c r="K203">
        <v>1.0074997409999999</v>
      </c>
      <c r="L203">
        <v>1.0109947079999999</v>
      </c>
      <c r="M203">
        <v>1.0169815099999999</v>
      </c>
      <c r="N203">
        <v>1.0238726760000001</v>
      </c>
      <c r="O203">
        <v>1.032792757</v>
      </c>
      <c r="P203">
        <v>1.039514608</v>
      </c>
      <c r="Q203">
        <v>1.0501446569999999</v>
      </c>
      <c r="R203">
        <v>1.066775029</v>
      </c>
      <c r="S203">
        <v>1.088021704</v>
      </c>
      <c r="T203">
        <v>1.1098023619999999</v>
      </c>
      <c r="U203">
        <v>1.1321263349999999</v>
      </c>
      <c r="V203">
        <v>1.1548408029999999</v>
      </c>
      <c r="W203">
        <v>1.177987632</v>
      </c>
      <c r="X203">
        <v>1.20167285</v>
      </c>
      <c r="Y203">
        <v>1.2255794149999999</v>
      </c>
      <c r="Z203">
        <v>1.2500369760000001</v>
      </c>
      <c r="AA203">
        <v>1.27504638</v>
      </c>
      <c r="AB203">
        <v>1.300518944</v>
      </c>
      <c r="AC203">
        <v>1.3264711929999999</v>
      </c>
      <c r="AD203">
        <v>1.3529434069999999</v>
      </c>
      <c r="AE203">
        <v>1.3798599709999999</v>
      </c>
      <c r="AF203">
        <v>1.407306094</v>
      </c>
      <c r="AG203">
        <v>1.4352751340000001</v>
      </c>
      <c r="AH203">
        <v>1.463875627</v>
      </c>
      <c r="AI203">
        <v>1.4931435799999999</v>
      </c>
      <c r="AJ203">
        <v>1.523030527</v>
      </c>
      <c r="AK203">
        <v>1.5535495340000001</v>
      </c>
      <c r="AL203">
        <v>1.5847049820000001</v>
      </c>
      <c r="AM203">
        <v>1.6164563670000001</v>
      </c>
      <c r="AN203">
        <v>1.6488191000000001</v>
      </c>
      <c r="AO203">
        <v>1.6816653660000001</v>
      </c>
      <c r="AP203">
        <v>1.715076786</v>
      </c>
      <c r="AQ203">
        <v>1.749074716</v>
      </c>
      <c r="AR203">
        <v>1.783676255</v>
      </c>
      <c r="AS203">
        <v>1.818890465</v>
      </c>
      <c r="AT203">
        <v>1.854782546</v>
      </c>
      <c r="AU203">
        <v>1.891347863</v>
      </c>
      <c r="AV203">
        <v>1.9286058159999999</v>
      </c>
      <c r="AW203">
        <v>1.966554919</v>
      </c>
      <c r="AX203">
        <v>2.0053671639999999</v>
      </c>
    </row>
    <row r="204" spans="2:50" x14ac:dyDescent="0.25">
      <c r="B204" s="5"/>
      <c r="C204" s="25" t="s">
        <v>14</v>
      </c>
      <c r="D204">
        <v>72992.352842344597</v>
      </c>
      <c r="E204">
        <v>74164.268677273896</v>
      </c>
      <c r="F204">
        <v>75028.602989999999</v>
      </c>
      <c r="G204">
        <v>77499.152910000004</v>
      </c>
      <c r="H204">
        <v>77501.454589999994</v>
      </c>
      <c r="I204">
        <v>73617.101009999998</v>
      </c>
      <c r="J204">
        <v>75681.080059999906</v>
      </c>
      <c r="K204">
        <v>77147.061040000001</v>
      </c>
      <c r="L204">
        <v>77229.840249999994</v>
      </c>
      <c r="M204">
        <v>77346.905190000005</v>
      </c>
      <c r="N204">
        <v>78302.544049999997</v>
      </c>
      <c r="O204">
        <v>79396.446460000006</v>
      </c>
      <c r="P204">
        <v>80289.975999999995</v>
      </c>
      <c r="Q204">
        <v>82896.528210000004</v>
      </c>
      <c r="R204">
        <v>84693.005999999994</v>
      </c>
      <c r="S204">
        <v>86731.783739999999</v>
      </c>
      <c r="T204">
        <v>87471.933120000002</v>
      </c>
      <c r="U204">
        <v>88753.144469999999</v>
      </c>
      <c r="V204">
        <v>89752.424580000006</v>
      </c>
      <c r="W204">
        <v>91324.753989999997</v>
      </c>
      <c r="X204">
        <v>92623.015429999999</v>
      </c>
      <c r="Y204">
        <v>93609.940700000006</v>
      </c>
      <c r="Z204">
        <v>94253.372310000006</v>
      </c>
      <c r="AA204">
        <v>95119.327539999998</v>
      </c>
      <c r="AB204">
        <v>96106.44283</v>
      </c>
      <c r="AC204">
        <v>97152.971030000001</v>
      </c>
      <c r="AD204">
        <v>98285.336020000002</v>
      </c>
      <c r="AE204">
        <v>99141.727299999999</v>
      </c>
      <c r="AF204">
        <v>100100.3021</v>
      </c>
      <c r="AG204">
        <v>101113.50199999999</v>
      </c>
      <c r="AH204">
        <v>102178.1256</v>
      </c>
      <c r="AI204">
        <v>103373.69469999999</v>
      </c>
      <c r="AJ204">
        <v>104631.63740000001</v>
      </c>
      <c r="AK204">
        <v>105960.1716</v>
      </c>
      <c r="AL204">
        <v>107357.47689999999</v>
      </c>
      <c r="AM204">
        <v>108810.29889999999</v>
      </c>
      <c r="AN204">
        <v>110294.59420000001</v>
      </c>
      <c r="AO204">
        <v>111779.48940000001</v>
      </c>
      <c r="AP204">
        <v>113335.883</v>
      </c>
      <c r="AQ204">
        <v>114892.92</v>
      </c>
      <c r="AR204">
        <v>116470.7222</v>
      </c>
      <c r="AS204">
        <v>118038.683</v>
      </c>
      <c r="AT204">
        <v>119638.9191</v>
      </c>
      <c r="AU204">
        <v>121242.663</v>
      </c>
      <c r="AV204">
        <v>122865.40240000001</v>
      </c>
      <c r="AW204">
        <v>124503.6517</v>
      </c>
      <c r="AX204">
        <v>126218.7117</v>
      </c>
    </row>
    <row r="205" spans="2:50" x14ac:dyDescent="0.25">
      <c r="B205" s="5"/>
      <c r="C205" s="25" t="s">
        <v>15</v>
      </c>
      <c r="D205">
        <v>0.96116878123798499</v>
      </c>
      <c r="E205">
        <v>0.98039215686274495</v>
      </c>
      <c r="F205">
        <v>1</v>
      </c>
      <c r="G205">
        <v>0.99560831350000001</v>
      </c>
      <c r="H205">
        <v>0.98315372249999999</v>
      </c>
      <c r="I205">
        <v>0.97885170590000004</v>
      </c>
      <c r="J205">
        <v>0.99099076379999995</v>
      </c>
      <c r="K205">
        <v>0.97759777889999999</v>
      </c>
      <c r="L205">
        <v>0.94610756750000002</v>
      </c>
      <c r="M205">
        <v>0.94724385239999997</v>
      </c>
      <c r="N205">
        <v>0.45550710300000002</v>
      </c>
      <c r="O205">
        <v>0.96144126330000002</v>
      </c>
      <c r="P205">
        <v>0.96583207280000005</v>
      </c>
      <c r="Q205">
        <v>0.97354361339999995</v>
      </c>
      <c r="R205">
        <v>0.96540924169999998</v>
      </c>
      <c r="S205">
        <v>0.96862616359999998</v>
      </c>
      <c r="T205">
        <v>1.0052231140000001</v>
      </c>
      <c r="U205">
        <v>1.0242144070000001</v>
      </c>
      <c r="V205">
        <v>1.0462609730000001</v>
      </c>
      <c r="W205">
        <v>1.0484452259999999</v>
      </c>
      <c r="X205">
        <v>1.0619834560000001</v>
      </c>
      <c r="Y205">
        <v>1.0810194179999999</v>
      </c>
      <c r="Z205">
        <v>1.095300393</v>
      </c>
      <c r="AA205">
        <v>1.1164727329999999</v>
      </c>
      <c r="AB205">
        <v>1.1404619760000001</v>
      </c>
      <c r="AC205">
        <v>1.1439371300000001</v>
      </c>
      <c r="AD205">
        <v>1.1920090080000001</v>
      </c>
      <c r="AE205">
        <v>1.2360223079999999</v>
      </c>
      <c r="AF205">
        <v>1.2655325799999999</v>
      </c>
      <c r="AG205">
        <v>1.293795518</v>
      </c>
      <c r="AH205">
        <v>1.3227607649999999</v>
      </c>
      <c r="AI205">
        <v>1.3521237699999999</v>
      </c>
      <c r="AJ205">
        <v>1.382178285</v>
      </c>
      <c r="AK205">
        <v>1.411937588</v>
      </c>
      <c r="AL205">
        <v>1.4383277350000001</v>
      </c>
      <c r="AM205">
        <v>1.4827426450000001</v>
      </c>
      <c r="AN205">
        <v>1.512851637</v>
      </c>
      <c r="AO205">
        <v>1.544409425</v>
      </c>
      <c r="AP205">
        <v>1.5757103990000001</v>
      </c>
      <c r="AQ205">
        <v>1.607583958</v>
      </c>
      <c r="AR205">
        <v>1.639957774</v>
      </c>
      <c r="AS205">
        <v>1.672971196</v>
      </c>
      <c r="AT205">
        <v>1.6975340619999999</v>
      </c>
      <c r="AU205">
        <v>1.7298545350000001</v>
      </c>
      <c r="AV205">
        <v>1.765846566</v>
      </c>
      <c r="AW205">
        <v>1.801211261</v>
      </c>
      <c r="AX205">
        <v>1.8340054530000001</v>
      </c>
    </row>
    <row r="206" spans="2:50" x14ac:dyDescent="0.25">
      <c r="B206" s="5"/>
      <c r="C206" s="25" t="s">
        <v>16</v>
      </c>
      <c r="F206">
        <v>41720</v>
      </c>
      <c r="G206">
        <v>39631.653859999999</v>
      </c>
      <c r="H206">
        <v>41445.354160000003</v>
      </c>
      <c r="I206">
        <v>38806.032950000001</v>
      </c>
      <c r="J206">
        <v>35559.61808</v>
      </c>
      <c r="K206">
        <v>40367.195829999997</v>
      </c>
      <c r="L206">
        <v>43902.987939999999</v>
      </c>
      <c r="M206">
        <v>42594.149160000001</v>
      </c>
      <c r="N206">
        <v>88414.360060000006</v>
      </c>
      <c r="O206">
        <v>43412.504099999998</v>
      </c>
      <c r="P206">
        <v>44165.526380000003</v>
      </c>
      <c r="Q206">
        <v>44972.975729999998</v>
      </c>
      <c r="R206">
        <v>47391.595410000002</v>
      </c>
      <c r="S206">
        <v>47786.788569999997</v>
      </c>
      <c r="T206">
        <v>48476.369930000001</v>
      </c>
      <c r="U206">
        <v>48543.886169999998</v>
      </c>
      <c r="V206">
        <v>49269.477449999998</v>
      </c>
      <c r="W206">
        <v>49566.010309999998</v>
      </c>
      <c r="X206">
        <v>50327.305820000001</v>
      </c>
      <c r="Y206">
        <v>50624.545590000002</v>
      </c>
      <c r="Z206">
        <v>50902.294000000002</v>
      </c>
      <c r="AA206">
        <v>50515.881789999999</v>
      </c>
      <c r="AB206">
        <v>50691.418830000002</v>
      </c>
      <c r="AC206">
        <v>51462.38278</v>
      </c>
      <c r="AD206">
        <v>51586.884579999998</v>
      </c>
      <c r="AE206">
        <v>52161.316429999999</v>
      </c>
      <c r="AF206">
        <v>52467.081279999999</v>
      </c>
      <c r="AG206">
        <v>52888.560440000001</v>
      </c>
      <c r="AH206">
        <v>53364.03746</v>
      </c>
      <c r="AI206">
        <v>53846.991829999999</v>
      </c>
      <c r="AJ206">
        <v>54484.221949999999</v>
      </c>
      <c r="AK206">
        <v>55113.350590000002</v>
      </c>
      <c r="AL206">
        <v>55880.924899999998</v>
      </c>
      <c r="AM206">
        <v>56159.62472</v>
      </c>
      <c r="AN206">
        <v>56905.43939</v>
      </c>
      <c r="AO206">
        <v>57689.003640000003</v>
      </c>
      <c r="AP206">
        <v>58362.268600000003</v>
      </c>
      <c r="AQ206">
        <v>59156.077519999999</v>
      </c>
      <c r="AR206">
        <v>59966.43909</v>
      </c>
      <c r="AS206">
        <v>60838.990449999998</v>
      </c>
      <c r="AT206">
        <v>61964.966079999998</v>
      </c>
      <c r="AU206">
        <v>62894.16878</v>
      </c>
      <c r="AV206">
        <v>63676.730219999998</v>
      </c>
      <c r="AW206">
        <v>64512.303079999998</v>
      </c>
      <c r="AX206">
        <v>65382.153489999997</v>
      </c>
    </row>
    <row r="207" spans="2:50" x14ac:dyDescent="0.25">
      <c r="B207" s="5"/>
      <c r="C207" s="25" t="s">
        <v>17</v>
      </c>
      <c r="D207">
        <v>0.96116878123798499</v>
      </c>
      <c r="E207">
        <v>0.98039215686274495</v>
      </c>
      <c r="F207">
        <v>0.9837405548</v>
      </c>
      <c r="G207">
        <v>0.98439428409999996</v>
      </c>
      <c r="H207">
        <v>0.99096267520000003</v>
      </c>
      <c r="I207">
        <v>0.99642738959999999</v>
      </c>
      <c r="J207">
        <v>0.99924838179999997</v>
      </c>
      <c r="K207">
        <v>0.99872682830000004</v>
      </c>
      <c r="L207">
        <v>1.0012301370000001</v>
      </c>
      <c r="M207">
        <v>1.0069296910000001</v>
      </c>
      <c r="N207">
        <v>1.0164788870000001</v>
      </c>
      <c r="O207">
        <v>1.0270370360000001</v>
      </c>
      <c r="P207">
        <v>1.0331480609999999</v>
      </c>
      <c r="Q207">
        <v>1.0408791120000001</v>
      </c>
      <c r="R207">
        <v>1.053291301</v>
      </c>
      <c r="S207">
        <v>1.0711003939999999</v>
      </c>
      <c r="T207">
        <v>1.0927176569999999</v>
      </c>
      <c r="U207">
        <v>1.114674538</v>
      </c>
      <c r="V207">
        <v>1.137093369</v>
      </c>
      <c r="W207">
        <v>1.1599942679999999</v>
      </c>
      <c r="X207">
        <v>1.183346349</v>
      </c>
      <c r="Y207">
        <v>1.207120134</v>
      </c>
      <c r="Z207">
        <v>1.2313424470000001</v>
      </c>
      <c r="AA207">
        <v>1.2560366220000001</v>
      </c>
      <c r="AB207">
        <v>1.2811452480000001</v>
      </c>
      <c r="AC207">
        <v>1.3066658170000001</v>
      </c>
      <c r="AD207">
        <v>1.3326344910000001</v>
      </c>
      <c r="AE207">
        <v>1.359161284</v>
      </c>
      <c r="AF207">
        <v>1.3863166680000001</v>
      </c>
      <c r="AG207">
        <v>1.4140609049999999</v>
      </c>
      <c r="AH207">
        <v>1.4424295680000001</v>
      </c>
      <c r="AI207">
        <v>1.4714807219999999</v>
      </c>
      <c r="AJ207">
        <v>1.501158158</v>
      </c>
      <c r="AK207">
        <v>1.531473203</v>
      </c>
      <c r="AL207">
        <v>1.562385701</v>
      </c>
      <c r="AM207">
        <v>1.59387312</v>
      </c>
      <c r="AN207">
        <v>1.625945448</v>
      </c>
      <c r="AO207">
        <v>1.6585382369999999</v>
      </c>
      <c r="AP207">
        <v>1.691650801</v>
      </c>
      <c r="AQ207">
        <v>1.725317956</v>
      </c>
      <c r="AR207">
        <v>1.7595634790000001</v>
      </c>
      <c r="AS207">
        <v>1.7944131830000001</v>
      </c>
      <c r="AT207">
        <v>1.8298951059999999</v>
      </c>
      <c r="AU207">
        <v>1.8660338519999999</v>
      </c>
      <c r="AV207">
        <v>1.9028550559999999</v>
      </c>
      <c r="AW207">
        <v>1.940375502</v>
      </c>
      <c r="AX207">
        <v>1.9787339580000001</v>
      </c>
    </row>
    <row r="208" spans="2:50" x14ac:dyDescent="0.25">
      <c r="B208" s="5"/>
      <c r="C208" s="25" t="s">
        <v>18</v>
      </c>
      <c r="D208">
        <v>241263.67592729401</v>
      </c>
      <c r="E208">
        <v>245137.24228325399</v>
      </c>
      <c r="F208">
        <v>252428.46249999999</v>
      </c>
      <c r="G208">
        <v>263170.51799999998</v>
      </c>
      <c r="H208">
        <v>268742.71529999998</v>
      </c>
      <c r="I208">
        <v>262063.36240000001</v>
      </c>
      <c r="J208">
        <v>258455.5122</v>
      </c>
      <c r="K208">
        <v>260192.98749999999</v>
      </c>
      <c r="L208">
        <v>262021.28700000001</v>
      </c>
      <c r="M208">
        <v>263131.36229999998</v>
      </c>
      <c r="N208">
        <v>263356.62929999997</v>
      </c>
      <c r="O208">
        <v>264212.1531</v>
      </c>
      <c r="P208">
        <v>267170.3616</v>
      </c>
      <c r="Q208">
        <v>273868.93339999998</v>
      </c>
      <c r="R208">
        <v>281847.48450000002</v>
      </c>
      <c r="S208">
        <v>290817.92099999997</v>
      </c>
      <c r="T208">
        <v>294813.87599999999</v>
      </c>
      <c r="U208">
        <v>298459.65480000002</v>
      </c>
      <c r="V208">
        <v>302182.44780000002</v>
      </c>
      <c r="W208">
        <v>307580.16139999998</v>
      </c>
      <c r="X208">
        <v>311664.62800000003</v>
      </c>
      <c r="Y208">
        <v>314410.85739999998</v>
      </c>
      <c r="Z208">
        <v>317247.87040000001</v>
      </c>
      <c r="AA208">
        <v>320059.60649999999</v>
      </c>
      <c r="AB208">
        <v>322955.20750000002</v>
      </c>
      <c r="AC208">
        <v>325887.15269999998</v>
      </c>
      <c r="AD208">
        <v>328952.45939999999</v>
      </c>
      <c r="AE208">
        <v>332289.70319999999</v>
      </c>
      <c r="AF208">
        <v>335836.2219</v>
      </c>
      <c r="AG208">
        <v>339644.90870000003</v>
      </c>
      <c r="AH208">
        <v>343755.28529999999</v>
      </c>
      <c r="AI208">
        <v>348243.33309999999</v>
      </c>
      <c r="AJ208">
        <v>353092.48830000003</v>
      </c>
      <c r="AK208">
        <v>358328.79379999998</v>
      </c>
      <c r="AL208">
        <v>363685.03580000001</v>
      </c>
      <c r="AM208">
        <v>369214.31339999998</v>
      </c>
      <c r="AN208">
        <v>374856.09289999999</v>
      </c>
      <c r="AO208">
        <v>380572.96260000003</v>
      </c>
      <c r="AP208">
        <v>386366.35359999997</v>
      </c>
      <c r="AQ208">
        <v>392095.33380000002</v>
      </c>
      <c r="AR208">
        <v>397782.10440000001</v>
      </c>
      <c r="AS208">
        <v>403430.42940000002</v>
      </c>
      <c r="AT208">
        <v>409083.42349999998</v>
      </c>
      <c r="AU208">
        <v>414785.03470000002</v>
      </c>
      <c r="AV208">
        <v>420572.43709999998</v>
      </c>
      <c r="AW208">
        <v>426420.41499999998</v>
      </c>
      <c r="AX208">
        <v>432545.82189999998</v>
      </c>
    </row>
    <row r="209" spans="2:50" x14ac:dyDescent="0.25">
      <c r="B209" s="5"/>
      <c r="C209" s="25" t="s">
        <v>19</v>
      </c>
      <c r="D209">
        <v>0.96116878123798499</v>
      </c>
      <c r="E209">
        <v>0.98039215686274495</v>
      </c>
      <c r="F209">
        <v>0.9837405548</v>
      </c>
      <c r="G209">
        <v>0.98439428409999996</v>
      </c>
      <c r="H209">
        <v>0.99096267520000003</v>
      </c>
      <c r="I209">
        <v>0.99642738959999999</v>
      </c>
      <c r="J209">
        <v>0.99924838179999997</v>
      </c>
      <c r="K209">
        <v>0.99872682830000004</v>
      </c>
      <c r="L209">
        <v>1.0012301370000001</v>
      </c>
      <c r="M209">
        <v>1.0069296910000001</v>
      </c>
      <c r="N209">
        <v>1.0164788870000001</v>
      </c>
      <c r="O209">
        <v>1.0270370360000001</v>
      </c>
      <c r="P209">
        <v>1.0331480609999999</v>
      </c>
      <c r="Q209">
        <v>1.0408791120000001</v>
      </c>
      <c r="R209">
        <v>1.053291301</v>
      </c>
      <c r="S209">
        <v>1.0711003939999999</v>
      </c>
      <c r="T209">
        <v>1.0927176569999999</v>
      </c>
      <c r="U209">
        <v>1.114674538</v>
      </c>
      <c r="V209">
        <v>1.137093369</v>
      </c>
      <c r="W209">
        <v>1.1599942679999999</v>
      </c>
      <c r="X209">
        <v>1.183346349</v>
      </c>
      <c r="Y209">
        <v>1.207120134</v>
      </c>
      <c r="Z209">
        <v>1.2313424470000001</v>
      </c>
      <c r="AA209">
        <v>1.2560366220000001</v>
      </c>
      <c r="AB209">
        <v>1.2811452480000001</v>
      </c>
      <c r="AC209">
        <v>1.3066658170000001</v>
      </c>
      <c r="AD209">
        <v>1.3326344910000001</v>
      </c>
      <c r="AE209">
        <v>1.359161284</v>
      </c>
      <c r="AF209">
        <v>1.3863166680000001</v>
      </c>
      <c r="AG209">
        <v>1.4140609049999999</v>
      </c>
      <c r="AH209">
        <v>1.4424295680000001</v>
      </c>
      <c r="AI209">
        <v>1.4714807219999999</v>
      </c>
      <c r="AJ209">
        <v>1.501158158</v>
      </c>
      <c r="AK209">
        <v>1.531473203</v>
      </c>
      <c r="AL209">
        <v>1.562385701</v>
      </c>
      <c r="AM209">
        <v>1.59387312</v>
      </c>
      <c r="AN209">
        <v>1.625945448</v>
      </c>
      <c r="AO209">
        <v>1.6585382369999999</v>
      </c>
      <c r="AP209">
        <v>1.691650801</v>
      </c>
      <c r="AQ209">
        <v>1.725317956</v>
      </c>
      <c r="AR209">
        <v>1.7595634790000001</v>
      </c>
      <c r="AS209">
        <v>1.7944131830000001</v>
      </c>
      <c r="AT209">
        <v>1.8298951059999999</v>
      </c>
      <c r="AU209">
        <v>1.8660338519999999</v>
      </c>
      <c r="AV209">
        <v>1.9028550559999999</v>
      </c>
      <c r="AW209">
        <v>1.940375502</v>
      </c>
      <c r="AX209">
        <v>1.9787339580000001</v>
      </c>
    </row>
    <row r="210" spans="2:50" x14ac:dyDescent="0.25">
      <c r="B210" s="5"/>
      <c r="C210" s="25" t="s">
        <v>20</v>
      </c>
      <c r="D210">
        <v>117275.962355893</v>
      </c>
      <c r="E210">
        <v>119158.865865502</v>
      </c>
      <c r="F210">
        <v>122688.65579999999</v>
      </c>
      <c r="G210">
        <v>128028.9629</v>
      </c>
      <c r="H210">
        <v>130947.2726</v>
      </c>
      <c r="I210">
        <v>128449.25260000001</v>
      </c>
      <c r="J210">
        <v>127046.13069999999</v>
      </c>
      <c r="K210">
        <v>127905.106</v>
      </c>
      <c r="L210">
        <v>128884.5439</v>
      </c>
      <c r="M210">
        <v>130178.9555</v>
      </c>
      <c r="N210">
        <v>130317.72199999999</v>
      </c>
      <c r="O210">
        <v>130750.22410000001</v>
      </c>
      <c r="P210">
        <v>132089.50599999999</v>
      </c>
      <c r="Q210">
        <v>135206.39739999999</v>
      </c>
      <c r="R210">
        <v>139003.94130000001</v>
      </c>
      <c r="S210">
        <v>143340.02050000001</v>
      </c>
      <c r="T210">
        <v>145325.9161</v>
      </c>
      <c r="U210">
        <v>147121.12400000001</v>
      </c>
      <c r="V210">
        <v>148937.6249</v>
      </c>
      <c r="W210">
        <v>151573.22510000001</v>
      </c>
      <c r="X210">
        <v>153580.33859999999</v>
      </c>
      <c r="Y210">
        <v>154935.45170000001</v>
      </c>
      <c r="Z210">
        <v>156332.89689999999</v>
      </c>
      <c r="AA210">
        <v>157722.1568</v>
      </c>
      <c r="AB210">
        <v>159153.8928</v>
      </c>
      <c r="AC210">
        <v>160602.6275</v>
      </c>
      <c r="AD210">
        <v>162115.88750000001</v>
      </c>
      <c r="AE210">
        <v>163757.21789999999</v>
      </c>
      <c r="AF210">
        <v>165504.4578</v>
      </c>
      <c r="AG210">
        <v>167381.83730000001</v>
      </c>
      <c r="AH210">
        <v>169409.3578</v>
      </c>
      <c r="AI210">
        <v>171626.2518</v>
      </c>
      <c r="AJ210">
        <v>174019.8751</v>
      </c>
      <c r="AK210">
        <v>176605.82939999999</v>
      </c>
      <c r="AL210">
        <v>179251.8026</v>
      </c>
      <c r="AM210">
        <v>181983.81789999999</v>
      </c>
      <c r="AN210">
        <v>184771.7942</v>
      </c>
      <c r="AO210">
        <v>187608.4706</v>
      </c>
      <c r="AP210">
        <v>190489.20060000001</v>
      </c>
      <c r="AQ210">
        <v>193341.1746</v>
      </c>
      <c r="AR210">
        <v>196172.44959999999</v>
      </c>
      <c r="AS210">
        <v>198984.3559</v>
      </c>
      <c r="AT210">
        <v>201799.96780000001</v>
      </c>
      <c r="AU210">
        <v>204640.53959999999</v>
      </c>
      <c r="AV210">
        <v>207524.17370000001</v>
      </c>
      <c r="AW210">
        <v>210438.56940000001</v>
      </c>
      <c r="AX210">
        <v>213472.7199</v>
      </c>
    </row>
    <row r="211" spans="2:50" x14ac:dyDescent="0.25">
      <c r="B211" s="5"/>
      <c r="C211" s="25" t="s">
        <v>21</v>
      </c>
      <c r="D211">
        <v>0.96116878123798499</v>
      </c>
      <c r="E211">
        <v>0.98039215686274495</v>
      </c>
      <c r="F211">
        <v>0.97579872170000004</v>
      </c>
      <c r="G211">
        <v>0.96922966669999999</v>
      </c>
      <c r="H211">
        <v>1.01679575</v>
      </c>
      <c r="I211">
        <v>0.96537061810000002</v>
      </c>
      <c r="J211">
        <v>0.98679906539999995</v>
      </c>
      <c r="K211">
        <v>1.0369927370000001</v>
      </c>
      <c r="L211">
        <v>1.083024969</v>
      </c>
      <c r="M211">
        <v>1.0835506640000001</v>
      </c>
      <c r="N211">
        <v>1.0703967919999999</v>
      </c>
      <c r="O211">
        <v>1.0339060090000001</v>
      </c>
      <c r="P211">
        <v>1.014265808</v>
      </c>
      <c r="Q211">
        <v>1.0601220330000001</v>
      </c>
      <c r="R211">
        <v>1.1460073740000001</v>
      </c>
      <c r="S211">
        <v>1.182573951</v>
      </c>
      <c r="T211">
        <v>1.20891747</v>
      </c>
      <c r="U211">
        <v>1.234388193</v>
      </c>
      <c r="V211">
        <v>1.2613496200000001</v>
      </c>
      <c r="W211">
        <v>1.287053819</v>
      </c>
      <c r="X211">
        <v>1.316645719</v>
      </c>
      <c r="Y211">
        <v>1.340716655</v>
      </c>
      <c r="Z211">
        <v>1.3621166689999999</v>
      </c>
      <c r="AA211">
        <v>1.3852648270000001</v>
      </c>
      <c r="AB211">
        <v>1.4090122309999999</v>
      </c>
      <c r="AC211">
        <v>1.4335115270000001</v>
      </c>
      <c r="AD211">
        <v>1.458387181</v>
      </c>
      <c r="AE211">
        <v>1.4833603660000001</v>
      </c>
      <c r="AF211">
        <v>1.5089702620000001</v>
      </c>
      <c r="AG211">
        <v>1.5342322100000001</v>
      </c>
      <c r="AH211">
        <v>1.5599684840000001</v>
      </c>
      <c r="AI211">
        <v>1.5861141080000001</v>
      </c>
      <c r="AJ211">
        <v>1.6127242289999999</v>
      </c>
      <c r="AK211">
        <v>1.63963525</v>
      </c>
      <c r="AL211">
        <v>1.6676490930000001</v>
      </c>
      <c r="AM211">
        <v>1.69626462</v>
      </c>
      <c r="AN211">
        <v>1.7256489559999999</v>
      </c>
      <c r="AO211">
        <v>1.7560280239999999</v>
      </c>
      <c r="AP211">
        <v>1.7870391539999999</v>
      </c>
      <c r="AQ211">
        <v>1.818998431</v>
      </c>
      <c r="AR211">
        <v>1.8517064400000001</v>
      </c>
      <c r="AS211">
        <v>1.8851708469999999</v>
      </c>
      <c r="AT211">
        <v>1.9199185139999999</v>
      </c>
      <c r="AU211">
        <v>1.9555548629999999</v>
      </c>
      <c r="AV211">
        <v>1.992720818</v>
      </c>
      <c r="AW211">
        <v>2.0296192</v>
      </c>
      <c r="AX211">
        <v>2.0671640619999998</v>
      </c>
    </row>
    <row r="212" spans="2:50" x14ac:dyDescent="0.25">
      <c r="B212" s="5"/>
      <c r="C212" s="25" t="s">
        <v>22</v>
      </c>
      <c r="D212">
        <v>6240.0203969263302</v>
      </c>
      <c r="E212">
        <v>6340.2059427907698</v>
      </c>
      <c r="F212">
        <v>6469.6179400000001</v>
      </c>
      <c r="G212">
        <v>6611.6570320000001</v>
      </c>
      <c r="H212">
        <v>6618.2921649999998</v>
      </c>
      <c r="I212">
        <v>6789.5942450000002</v>
      </c>
      <c r="J212">
        <v>6812.2372910000004</v>
      </c>
      <c r="K212">
        <v>6793.1647370000001</v>
      </c>
      <c r="L212">
        <v>6788.7557980000001</v>
      </c>
      <c r="M212">
        <v>6846.032698</v>
      </c>
      <c r="N212">
        <v>6893.5129550000001</v>
      </c>
      <c r="O212">
        <v>6994.3660490000002</v>
      </c>
      <c r="P212">
        <v>6735.5194309999997</v>
      </c>
      <c r="Q212">
        <v>6476.6728199999998</v>
      </c>
      <c r="R212">
        <v>6217.8262029999996</v>
      </c>
      <c r="S212">
        <v>5958.9795860000004</v>
      </c>
      <c r="T212">
        <v>5700.1329669999996</v>
      </c>
      <c r="U212">
        <v>5700.1329669999996</v>
      </c>
      <c r="V212">
        <v>5700.1329669999996</v>
      </c>
      <c r="W212">
        <v>5700.1329669999996</v>
      </c>
      <c r="X212">
        <v>5656.8979019999997</v>
      </c>
      <c r="Y212">
        <v>5613.6628380000002</v>
      </c>
      <c r="Z212">
        <v>5570.4277730000003</v>
      </c>
      <c r="AA212">
        <v>5527.1927089999999</v>
      </c>
      <c r="AB212">
        <v>5483.9576440000001</v>
      </c>
      <c r="AC212">
        <v>5440.7225799999997</v>
      </c>
      <c r="AD212">
        <v>5397.4875160000001</v>
      </c>
      <c r="AE212">
        <v>5354.2524510000003</v>
      </c>
      <c r="AF212">
        <v>5311.0173860000004</v>
      </c>
      <c r="AG212">
        <v>5267.782322</v>
      </c>
      <c r="AH212">
        <v>5224.5472570000002</v>
      </c>
      <c r="AI212">
        <v>5181.3121929999998</v>
      </c>
      <c r="AJ212">
        <v>5138.0771279999999</v>
      </c>
      <c r="AK212">
        <v>5094.8420630000001</v>
      </c>
      <c r="AL212">
        <v>5051.6069989999996</v>
      </c>
      <c r="AM212">
        <v>5008.3719339999998</v>
      </c>
      <c r="AN212">
        <v>4965.1368700000003</v>
      </c>
      <c r="AO212">
        <v>4921.9018050000004</v>
      </c>
      <c r="AP212">
        <v>4878.666741</v>
      </c>
      <c r="AQ212">
        <v>4835.4316760000002</v>
      </c>
      <c r="AR212">
        <v>4792.1966119999997</v>
      </c>
      <c r="AS212">
        <v>4748.9615469999999</v>
      </c>
      <c r="AT212">
        <v>4705.7264830000004</v>
      </c>
      <c r="AU212">
        <v>4662.491419</v>
      </c>
      <c r="AV212">
        <v>4619.2563540000001</v>
      </c>
      <c r="AW212">
        <v>4576.0212899999997</v>
      </c>
      <c r="AX212">
        <v>4532.7862249999998</v>
      </c>
    </row>
    <row r="213" spans="2:50" x14ac:dyDescent="0.25">
      <c r="B213" s="5"/>
      <c r="C213" s="25" t="s">
        <v>23</v>
      </c>
      <c r="D213">
        <v>0.96116878123798499</v>
      </c>
      <c r="E213">
        <v>0.98039215686274495</v>
      </c>
      <c r="F213">
        <v>0.98715589240000001</v>
      </c>
      <c r="G213">
        <v>0.98997305430000004</v>
      </c>
      <c r="H213">
        <v>0.99954962030000005</v>
      </c>
      <c r="I213">
        <v>1.009407875</v>
      </c>
      <c r="J213">
        <v>1.0168192949999999</v>
      </c>
      <c r="K213">
        <v>1.020895809</v>
      </c>
      <c r="L213">
        <v>1.0266590280000001</v>
      </c>
      <c r="M213">
        <v>1.0357765729999999</v>
      </c>
      <c r="N213">
        <v>1.046617527</v>
      </c>
      <c r="O213">
        <v>1.061177933</v>
      </c>
      <c r="P213">
        <v>1.071518553</v>
      </c>
      <c r="Q213">
        <v>1.0829610409999999</v>
      </c>
      <c r="R213">
        <v>1.0992964679999999</v>
      </c>
      <c r="S213">
        <v>1.1184686749999999</v>
      </c>
      <c r="T213">
        <v>1.141003472</v>
      </c>
      <c r="U213">
        <v>1.1638848959999999</v>
      </c>
      <c r="V213">
        <v>1.187309524</v>
      </c>
      <c r="W213">
        <v>1.211297002</v>
      </c>
      <c r="X213">
        <v>1.2356155710000001</v>
      </c>
      <c r="Y213">
        <v>1.260280504</v>
      </c>
      <c r="Z213">
        <v>1.2854539899999999</v>
      </c>
      <c r="AA213">
        <v>1.3111097540000001</v>
      </c>
      <c r="AB213">
        <v>1.337239608</v>
      </c>
      <c r="AC213">
        <v>1.3638350779999999</v>
      </c>
      <c r="AD213">
        <v>1.390936011</v>
      </c>
      <c r="AE213">
        <v>1.4187342869999999</v>
      </c>
      <c r="AF213">
        <v>1.4470869500000001</v>
      </c>
      <c r="AG213">
        <v>1.4760299400000001</v>
      </c>
      <c r="AH213">
        <v>1.5056244990000001</v>
      </c>
      <c r="AI213">
        <v>1.535918766</v>
      </c>
      <c r="AJ213">
        <v>1.566859217</v>
      </c>
      <c r="AK213">
        <v>1.598461618</v>
      </c>
      <c r="AL213">
        <v>1.6306852510000001</v>
      </c>
      <c r="AM213">
        <v>1.663528404</v>
      </c>
      <c r="AN213">
        <v>1.696998483</v>
      </c>
      <c r="AO213">
        <v>1.7310007430000001</v>
      </c>
      <c r="AP213">
        <v>1.765573874</v>
      </c>
      <c r="AQ213">
        <v>1.800739036</v>
      </c>
      <c r="AR213">
        <v>1.836515103</v>
      </c>
      <c r="AS213">
        <v>1.872926418</v>
      </c>
      <c r="AT213">
        <v>1.9100113860000001</v>
      </c>
      <c r="AU213">
        <v>1.9477888809999999</v>
      </c>
      <c r="AV213">
        <v>1.9862885749999999</v>
      </c>
      <c r="AW213">
        <v>2.0255274499999998</v>
      </c>
      <c r="AX213">
        <v>2.0656628430000001</v>
      </c>
    </row>
    <row r="214" spans="2:50" x14ac:dyDescent="0.25">
      <c r="B214" s="5"/>
      <c r="C214" s="25" t="s">
        <v>24</v>
      </c>
      <c r="D214">
        <v>82435.687031980502</v>
      </c>
      <c r="E214">
        <v>83759.218651857402</v>
      </c>
      <c r="F214">
        <v>85104</v>
      </c>
      <c r="G214">
        <v>87702.8505</v>
      </c>
      <c r="H214">
        <v>87347.402400000006</v>
      </c>
      <c r="I214">
        <v>81212.651859999998</v>
      </c>
      <c r="J214">
        <v>83689.452229999995</v>
      </c>
      <c r="K214">
        <v>84881.789090000006</v>
      </c>
      <c r="L214">
        <v>84374.317670000004</v>
      </c>
      <c r="M214">
        <v>84545.88751</v>
      </c>
      <c r="N214">
        <v>85552.174750000006</v>
      </c>
      <c r="O214">
        <v>87518.849199999997</v>
      </c>
      <c r="P214">
        <v>88546.005189999996</v>
      </c>
      <c r="Q214">
        <v>91888.629860000001</v>
      </c>
      <c r="R214">
        <v>93942.281839999996</v>
      </c>
      <c r="S214">
        <v>96689.981440000003</v>
      </c>
      <c r="T214">
        <v>98040.456200000001</v>
      </c>
      <c r="U214">
        <v>99373.416209999996</v>
      </c>
      <c r="V214">
        <v>100652.0243</v>
      </c>
      <c r="W214">
        <v>102227.7022</v>
      </c>
      <c r="X214">
        <v>103679.95</v>
      </c>
      <c r="Y214">
        <v>104846.1249</v>
      </c>
      <c r="Z214">
        <v>105880.2236</v>
      </c>
      <c r="AA214">
        <v>106906.63989999999</v>
      </c>
      <c r="AB214">
        <v>107958.9134</v>
      </c>
      <c r="AC214">
        <v>109027.0266</v>
      </c>
      <c r="AD214">
        <v>110125.3269</v>
      </c>
      <c r="AE214">
        <v>111211.06170000001</v>
      </c>
      <c r="AF214">
        <v>112349.66160000001</v>
      </c>
      <c r="AG214">
        <v>113541.27009999999</v>
      </c>
      <c r="AH214">
        <v>114802.3406</v>
      </c>
      <c r="AI214">
        <v>116166.9953</v>
      </c>
      <c r="AJ214">
        <v>117633.59789999999</v>
      </c>
      <c r="AK214">
        <v>119226.3688</v>
      </c>
      <c r="AL214">
        <v>120912.3425</v>
      </c>
      <c r="AM214">
        <v>122678.0047</v>
      </c>
      <c r="AN214">
        <v>124503.162</v>
      </c>
      <c r="AO214">
        <v>126389.8633</v>
      </c>
      <c r="AP214">
        <v>128338.5082</v>
      </c>
      <c r="AQ214">
        <v>130312.5086</v>
      </c>
      <c r="AR214">
        <v>132298.47</v>
      </c>
      <c r="AS214">
        <v>134283.83059999999</v>
      </c>
      <c r="AT214">
        <v>136272.99830000001</v>
      </c>
      <c r="AU214">
        <v>138269.57990000001</v>
      </c>
      <c r="AV214">
        <v>140283.33730000001</v>
      </c>
      <c r="AW214">
        <v>142313.46679999999</v>
      </c>
      <c r="AX214">
        <v>144365.15479999999</v>
      </c>
    </row>
    <row r="215" spans="2:50" x14ac:dyDescent="0.25">
      <c r="B215" s="5"/>
      <c r="C215" s="25" t="s">
        <v>25</v>
      </c>
      <c r="D215">
        <v>0.96116878123798499</v>
      </c>
      <c r="E215">
        <v>0.98039215686274495</v>
      </c>
      <c r="F215">
        <v>0.97820824780000004</v>
      </c>
      <c r="G215">
        <v>0.98496723180000001</v>
      </c>
      <c r="H215">
        <v>0.99826355690000002</v>
      </c>
      <c r="I215">
        <v>0.99968759309999999</v>
      </c>
      <c r="J215">
        <v>0.99995771320000004</v>
      </c>
      <c r="K215">
        <v>0.99685740550000002</v>
      </c>
      <c r="L215">
        <v>0.9921762073</v>
      </c>
      <c r="M215">
        <v>0.99125017780000002</v>
      </c>
      <c r="N215">
        <v>0.99556701459999997</v>
      </c>
      <c r="O215">
        <v>1.004073148</v>
      </c>
      <c r="P215">
        <v>1.0108111129999999</v>
      </c>
      <c r="Q215">
        <v>1.021306815</v>
      </c>
      <c r="R215">
        <v>1.0377082790000001</v>
      </c>
      <c r="S215">
        <v>1.0617254279999999</v>
      </c>
      <c r="T215">
        <v>1.083178068</v>
      </c>
      <c r="U215">
        <v>1.1050454670000001</v>
      </c>
      <c r="V215">
        <v>1.127335679</v>
      </c>
      <c r="W215">
        <v>1.150068012</v>
      </c>
      <c r="X215">
        <v>1.1732496429999999</v>
      </c>
      <c r="Y215">
        <v>1.1968737709999999</v>
      </c>
      <c r="Z215">
        <v>1.2209797330000001</v>
      </c>
      <c r="AA215">
        <v>1.245565942</v>
      </c>
      <c r="AB215">
        <v>1.2705952490000001</v>
      </c>
      <c r="AC215">
        <v>1.2960693219999999</v>
      </c>
      <c r="AD215">
        <v>1.3220045250000001</v>
      </c>
      <c r="AE215">
        <v>1.348436148</v>
      </c>
      <c r="AF215">
        <v>1.375386564</v>
      </c>
      <c r="AG215">
        <v>1.4028751859999999</v>
      </c>
      <c r="AH215">
        <v>1.430941003</v>
      </c>
      <c r="AI215">
        <v>1.459600794</v>
      </c>
      <c r="AJ215">
        <v>1.488877762</v>
      </c>
      <c r="AK215">
        <v>1.5187882660000001</v>
      </c>
      <c r="AL215">
        <v>1.5493166519999999</v>
      </c>
      <c r="AM215">
        <v>1.5804617759999999</v>
      </c>
      <c r="AN215">
        <v>1.612229849</v>
      </c>
      <c r="AO215">
        <v>1.644609709</v>
      </c>
      <c r="AP215">
        <v>1.677590924</v>
      </c>
      <c r="AQ215">
        <v>1.7111732740000001</v>
      </c>
      <c r="AR215">
        <v>1.745360223</v>
      </c>
      <c r="AS215">
        <v>1.7801598240000001</v>
      </c>
      <c r="AT215">
        <v>1.8155854330000001</v>
      </c>
      <c r="AU215">
        <v>1.8516501759999999</v>
      </c>
      <c r="AV215">
        <v>1.8883709479999999</v>
      </c>
      <c r="AW215">
        <v>1.9257638459999999</v>
      </c>
      <c r="AX215">
        <v>1.9638729699999999</v>
      </c>
    </row>
    <row r="216" spans="2:50" x14ac:dyDescent="0.25">
      <c r="B216" s="5"/>
      <c r="C216" s="25" t="s">
        <v>26</v>
      </c>
      <c r="D216">
        <v>7392.7096661505402</v>
      </c>
      <c r="E216">
        <v>7511.4020110802803</v>
      </c>
      <c r="F216">
        <v>7627.9475000000002</v>
      </c>
      <c r="G216">
        <v>7747.4082740000003</v>
      </c>
      <c r="H216">
        <v>7794.4038270000001</v>
      </c>
      <c r="I216">
        <v>7892.220421</v>
      </c>
      <c r="J216">
        <v>7985.1838600000001</v>
      </c>
      <c r="K216">
        <v>8098.6283439999997</v>
      </c>
      <c r="L216">
        <v>8230.1033939999998</v>
      </c>
      <c r="M216">
        <v>8357.3119229999902</v>
      </c>
      <c r="N216">
        <v>8433.5992970000007</v>
      </c>
      <c r="O216">
        <v>8524.0346379999901</v>
      </c>
      <c r="P216">
        <v>8629.0380359999999</v>
      </c>
      <c r="Q216">
        <v>8763.1096799999996</v>
      </c>
      <c r="R216">
        <v>8866.1803510000009</v>
      </c>
      <c r="S216">
        <v>8967.4405050000005</v>
      </c>
      <c r="T216">
        <v>9090.9174270000003</v>
      </c>
      <c r="U216">
        <v>9214.0421559999995</v>
      </c>
      <c r="V216">
        <v>9332.4876920000006</v>
      </c>
      <c r="W216">
        <v>9478.5167380000003</v>
      </c>
      <c r="X216">
        <v>9612.4475340000008</v>
      </c>
      <c r="Y216">
        <v>9719.6061160000008</v>
      </c>
      <c r="Z216">
        <v>9814.2476729999998</v>
      </c>
      <c r="AA216">
        <v>9907.87696399999</v>
      </c>
      <c r="AB216">
        <v>10003.5712</v>
      </c>
      <c r="AC216">
        <v>10100.367120000001</v>
      </c>
      <c r="AD216">
        <v>10199.55553</v>
      </c>
      <c r="AE216">
        <v>10300.41944</v>
      </c>
      <c r="AF216">
        <v>10406.184649999999</v>
      </c>
      <c r="AG216">
        <v>10516.86484</v>
      </c>
      <c r="AH216">
        <v>10633.984469999999</v>
      </c>
      <c r="AI216">
        <v>10760.70486</v>
      </c>
      <c r="AJ216">
        <v>10896.87523</v>
      </c>
      <c r="AK216">
        <v>11044.74006</v>
      </c>
      <c r="AL216">
        <v>11201.246429999999</v>
      </c>
      <c r="AM216">
        <v>11365.14302</v>
      </c>
      <c r="AN216">
        <v>11534.55961</v>
      </c>
      <c r="AO216">
        <v>11709.686470000001</v>
      </c>
      <c r="AP216">
        <v>11890.561040000001</v>
      </c>
      <c r="AQ216">
        <v>12073.79376</v>
      </c>
      <c r="AR216">
        <v>12258.14373</v>
      </c>
      <c r="AS216">
        <v>12442.44701</v>
      </c>
      <c r="AT216">
        <v>12627.11198</v>
      </c>
      <c r="AU216">
        <v>12812.47285</v>
      </c>
      <c r="AV216">
        <v>12999.434209999999</v>
      </c>
      <c r="AW216">
        <v>13187.92164</v>
      </c>
      <c r="AX216">
        <v>13378.415849999999</v>
      </c>
    </row>
    <row r="217" spans="2:50" x14ac:dyDescent="0.25">
      <c r="B217" s="5"/>
      <c r="C217" s="25" t="s">
        <v>27</v>
      </c>
      <c r="D217">
        <v>225891.81435188401</v>
      </c>
      <c r="E217">
        <v>234108.95210804199</v>
      </c>
      <c r="F217">
        <v>242473.938303237</v>
      </c>
      <c r="G217">
        <v>250402.08440805299</v>
      </c>
      <c r="H217">
        <v>256846.06168309599</v>
      </c>
      <c r="I217">
        <v>262566.57510194997</v>
      </c>
      <c r="J217">
        <v>263167.14271761</v>
      </c>
      <c r="K217">
        <v>263676.15311143798</v>
      </c>
      <c r="L217">
        <v>266631.638513499</v>
      </c>
      <c r="M217">
        <v>271219.49805156898</v>
      </c>
      <c r="N217">
        <v>274530.54164924502</v>
      </c>
      <c r="O217">
        <v>277636.50783186499</v>
      </c>
      <c r="P217">
        <v>281316.61818509299</v>
      </c>
      <c r="Q217">
        <v>286630.629226544</v>
      </c>
      <c r="R217">
        <v>294477.81583703199</v>
      </c>
      <c r="S217">
        <v>304804.23231272702</v>
      </c>
      <c r="T217">
        <v>315357.140039469</v>
      </c>
      <c r="U217">
        <v>325800.820331353</v>
      </c>
      <c r="V217">
        <v>336494.29697676701</v>
      </c>
      <c r="W217">
        <v>349298.69764229399</v>
      </c>
      <c r="X217">
        <v>361045.37501781801</v>
      </c>
      <c r="Y217">
        <v>371489.96702563699</v>
      </c>
      <c r="Z217">
        <v>382419.34193301998</v>
      </c>
      <c r="AA217">
        <v>393734.585238998</v>
      </c>
      <c r="AB217">
        <v>405428.37664076302</v>
      </c>
      <c r="AC217">
        <v>417383.43361572298</v>
      </c>
      <c r="AD217">
        <v>429740.74403045297</v>
      </c>
      <c r="AE217">
        <v>442689.57535553601</v>
      </c>
      <c r="AF217">
        <v>456216.823836172</v>
      </c>
      <c r="AG217">
        <v>470447.91963798099</v>
      </c>
      <c r="AH217">
        <v>485554.74143010098</v>
      </c>
      <c r="AI217">
        <v>501638.97664464201</v>
      </c>
      <c r="AJ217">
        <v>518806.15465585899</v>
      </c>
      <c r="AK217">
        <v>537162.07191798405</v>
      </c>
      <c r="AL217">
        <v>556274.11796896497</v>
      </c>
      <c r="AM217">
        <v>576201.72503964603</v>
      </c>
      <c r="AN217">
        <v>596859.65374071605</v>
      </c>
      <c r="AO217">
        <v>618353.07261513604</v>
      </c>
      <c r="AP217">
        <v>640638.92732058</v>
      </c>
      <c r="AQ217">
        <v>663460.04362139397</v>
      </c>
      <c r="AR217">
        <v>686817.267746864</v>
      </c>
      <c r="AS217">
        <v>710717.434969289</v>
      </c>
      <c r="AT217">
        <v>735266.53838741803</v>
      </c>
      <c r="AU217">
        <v>760558.02236784401</v>
      </c>
      <c r="AV217">
        <v>786689.63353029301</v>
      </c>
      <c r="AW217">
        <v>813644.51415080903</v>
      </c>
      <c r="AX217">
        <v>841552.8177752</v>
      </c>
    </row>
    <row r="218" spans="2:50" x14ac:dyDescent="0.25">
      <c r="B218" s="5"/>
      <c r="C218" s="25" t="s">
        <v>9</v>
      </c>
      <c r="D218">
        <v>0.96116878123798499</v>
      </c>
      <c r="E218">
        <v>0.98039215686274495</v>
      </c>
      <c r="F218">
        <v>0.97820824780000004</v>
      </c>
      <c r="G218">
        <v>0.98496723180000001</v>
      </c>
      <c r="H218">
        <v>0.99826355690000002</v>
      </c>
      <c r="I218">
        <v>0.99968759309999999</v>
      </c>
      <c r="J218">
        <v>0.99995771320000004</v>
      </c>
      <c r="K218">
        <v>0.99685740550000002</v>
      </c>
      <c r="L218">
        <v>0.9921762073</v>
      </c>
      <c r="M218">
        <v>0.99125017780000002</v>
      </c>
      <c r="N218">
        <v>0.99556701459999997</v>
      </c>
      <c r="O218">
        <v>1.004073148</v>
      </c>
      <c r="P218">
        <v>1.0108111129999999</v>
      </c>
      <c r="Q218">
        <v>1.021306815</v>
      </c>
      <c r="R218">
        <v>1.0377082790000001</v>
      </c>
      <c r="S218">
        <v>1.0617254279999999</v>
      </c>
      <c r="T218">
        <v>1.083178068</v>
      </c>
      <c r="U218">
        <v>1.1050454670000001</v>
      </c>
      <c r="V218">
        <v>1.127335679</v>
      </c>
      <c r="W218">
        <v>1.150068012</v>
      </c>
      <c r="X218">
        <v>1.1732496429999999</v>
      </c>
      <c r="Y218">
        <v>1.1968737709999999</v>
      </c>
      <c r="Z218">
        <v>1.2209797330000001</v>
      </c>
      <c r="AA218">
        <v>1.245565942</v>
      </c>
      <c r="AB218">
        <v>1.2705952490000001</v>
      </c>
      <c r="AC218">
        <v>1.2960693219999999</v>
      </c>
      <c r="AD218">
        <v>1.3220045250000001</v>
      </c>
      <c r="AE218">
        <v>1.348436148</v>
      </c>
      <c r="AF218">
        <v>1.375386564</v>
      </c>
      <c r="AG218">
        <v>1.4028751859999999</v>
      </c>
      <c r="AH218">
        <v>1.430941003</v>
      </c>
      <c r="AI218">
        <v>1.459600794</v>
      </c>
      <c r="AJ218">
        <v>1.488877762</v>
      </c>
      <c r="AK218">
        <v>1.5187882660000001</v>
      </c>
      <c r="AL218">
        <v>1.5493166519999999</v>
      </c>
      <c r="AM218">
        <v>1.5804617759999999</v>
      </c>
      <c r="AN218">
        <v>1.612229849</v>
      </c>
      <c r="AO218">
        <v>1.644609709</v>
      </c>
      <c r="AP218">
        <v>1.677590924</v>
      </c>
      <c r="AQ218">
        <v>1.7111732740000001</v>
      </c>
      <c r="AR218">
        <v>1.745360223</v>
      </c>
      <c r="AS218">
        <v>1.7801598240000001</v>
      </c>
      <c r="AT218">
        <v>1.8155854330000001</v>
      </c>
      <c r="AU218">
        <v>1.8516501759999999</v>
      </c>
      <c r="AV218">
        <v>1.8883709479999999</v>
      </c>
      <c r="AW218">
        <v>1.9257638459999999</v>
      </c>
      <c r="AX218">
        <v>1.9638729699999999</v>
      </c>
    </row>
    <row r="219" spans="2:50" x14ac:dyDescent="0.25">
      <c r="B219" s="5"/>
      <c r="C219" s="25" t="s">
        <v>10</v>
      </c>
      <c r="D219">
        <v>364929.79887904698</v>
      </c>
      <c r="E219">
        <v>370788.864839938</v>
      </c>
      <c r="F219">
        <v>376541.95449999999</v>
      </c>
      <c r="G219">
        <v>382438.95280000003</v>
      </c>
      <c r="H219">
        <v>384758.81640000001</v>
      </c>
      <c r="I219">
        <v>389587.38290000003</v>
      </c>
      <c r="J219">
        <v>394176.38069999998</v>
      </c>
      <c r="K219">
        <v>399776.39409999998</v>
      </c>
      <c r="L219">
        <v>406266.45870000002</v>
      </c>
      <c r="M219">
        <v>412545.91310000001</v>
      </c>
      <c r="N219">
        <v>416311.72249999997</v>
      </c>
      <c r="O219">
        <v>420775.92469999997</v>
      </c>
      <c r="P219">
        <v>425959.25679999997</v>
      </c>
      <c r="Q219">
        <v>432577.49829999998</v>
      </c>
      <c r="R219">
        <v>437665.42420000001</v>
      </c>
      <c r="S219">
        <v>442663.9768</v>
      </c>
      <c r="T219">
        <v>448759.22600000002</v>
      </c>
      <c r="U219">
        <v>454837.08990000002</v>
      </c>
      <c r="V219">
        <v>460683.97249999997</v>
      </c>
      <c r="W219">
        <v>467892.47289999999</v>
      </c>
      <c r="X219">
        <v>474503.76160000003</v>
      </c>
      <c r="Y219">
        <v>479793.48109999998</v>
      </c>
      <c r="Z219">
        <v>484465.31660000002</v>
      </c>
      <c r="AA219">
        <v>489087.18329999998</v>
      </c>
      <c r="AB219">
        <v>493810.98259999999</v>
      </c>
      <c r="AC219">
        <v>498589.1654</v>
      </c>
      <c r="AD219">
        <v>503485.44910000003</v>
      </c>
      <c r="AE219">
        <v>508464.44199999998</v>
      </c>
      <c r="AF219">
        <v>513685.37939999998</v>
      </c>
      <c r="AG219">
        <v>519148.93780000001</v>
      </c>
      <c r="AH219">
        <v>524930.36899999995</v>
      </c>
      <c r="AI219">
        <v>531185.72750000004</v>
      </c>
      <c r="AJ219">
        <v>537907.56940000004</v>
      </c>
      <c r="AK219">
        <v>545206.69039999996</v>
      </c>
      <c r="AL219">
        <v>552932.38740000001</v>
      </c>
      <c r="AM219">
        <v>561022.89190000005</v>
      </c>
      <c r="AN219">
        <v>569385.88280000002</v>
      </c>
      <c r="AO219">
        <v>578030.75230000005</v>
      </c>
      <c r="AP219">
        <v>586959.34829999995</v>
      </c>
      <c r="AQ219">
        <v>596004.35140000004</v>
      </c>
      <c r="AR219">
        <v>605104.50520000001</v>
      </c>
      <c r="AS219">
        <v>614202.35470000003</v>
      </c>
      <c r="AT219">
        <v>623318.05850000004</v>
      </c>
      <c r="AU219">
        <v>632468.11430000002</v>
      </c>
      <c r="AV219">
        <v>641697.17539999995</v>
      </c>
      <c r="AW219">
        <v>651001.56889999995</v>
      </c>
      <c r="AX219">
        <v>660405.02419999999</v>
      </c>
    </row>
    <row r="220" spans="2:50" x14ac:dyDescent="0.25">
      <c r="B220" s="5"/>
      <c r="C220" s="25" t="s">
        <v>28</v>
      </c>
      <c r="D220">
        <v>190620.570684056</v>
      </c>
      <c r="E220">
        <v>197554.66651644601</v>
      </c>
      <c r="F220">
        <v>201147.452085367</v>
      </c>
      <c r="G220">
        <v>206937.77960478899</v>
      </c>
      <c r="H220">
        <v>209327.17433109699</v>
      </c>
      <c r="I220">
        <v>205566.881905018</v>
      </c>
      <c r="J220">
        <v>210304.230833871</v>
      </c>
      <c r="K220">
        <v>214070.795620872</v>
      </c>
      <c r="L220">
        <v>214158.70690438701</v>
      </c>
      <c r="M220">
        <v>215210.807829058</v>
      </c>
      <c r="N220">
        <v>221745.640355376</v>
      </c>
      <c r="O220">
        <v>225341.82587469701</v>
      </c>
      <c r="P220">
        <v>228654.90066688199</v>
      </c>
      <c r="Q220">
        <v>236281.660246871</v>
      </c>
      <c r="R220">
        <v>243367.72957423201</v>
      </c>
      <c r="S220">
        <v>251221.57656675801</v>
      </c>
      <c r="T220">
        <v>256087.16417044101</v>
      </c>
      <c r="U220">
        <v>262341.10822563298</v>
      </c>
      <c r="V220">
        <v>269169.90962936397</v>
      </c>
      <c r="W220">
        <v>278849.90869602701</v>
      </c>
      <c r="X220">
        <v>286630.84503142099</v>
      </c>
      <c r="Y220">
        <v>293443.17603186</v>
      </c>
      <c r="Z220">
        <v>300284.68649767002</v>
      </c>
      <c r="AA220">
        <v>307207.89711147902</v>
      </c>
      <c r="AB220">
        <v>314641.416415666</v>
      </c>
      <c r="AC220">
        <v>322314.563230798</v>
      </c>
      <c r="AD220">
        <v>330294.55226616398</v>
      </c>
      <c r="AE220">
        <v>338669.35349695798</v>
      </c>
      <c r="AF220">
        <v>346968.44656485901</v>
      </c>
      <c r="AG220">
        <v>355974.57996773202</v>
      </c>
      <c r="AH220">
        <v>365483.01693744201</v>
      </c>
      <c r="AI220">
        <v>375258.149732797</v>
      </c>
      <c r="AJ220">
        <v>386314.224892036</v>
      </c>
      <c r="AK220">
        <v>397684.19116739399</v>
      </c>
      <c r="AL220">
        <v>409593.39430184697</v>
      </c>
      <c r="AM220">
        <v>421965.17047148099</v>
      </c>
      <c r="AN220">
        <v>434723.21834040299</v>
      </c>
      <c r="AO220">
        <v>447732.93510417303</v>
      </c>
      <c r="AP220">
        <v>461272.38497121102</v>
      </c>
      <c r="AQ220">
        <v>475192.19809592701</v>
      </c>
      <c r="AR220">
        <v>489682.33918484597</v>
      </c>
      <c r="AS220">
        <v>504472.80045771901</v>
      </c>
      <c r="AT220">
        <v>519716.83530814003</v>
      </c>
      <c r="AU220">
        <v>535539.98571911198</v>
      </c>
      <c r="AV220">
        <v>551849.22869239305</v>
      </c>
      <c r="AW220">
        <v>568650.34300810494</v>
      </c>
      <c r="AX220">
        <v>586886.22174146504</v>
      </c>
    </row>
    <row r="221" spans="2:50" x14ac:dyDescent="0.25">
      <c r="B221" s="5"/>
      <c r="C221" s="25" t="s">
        <v>29</v>
      </c>
      <c r="D221">
        <v>70157.970821169307</v>
      </c>
      <c r="E221">
        <v>72710.067330660706</v>
      </c>
      <c r="F221">
        <v>73838.982818707402</v>
      </c>
      <c r="G221">
        <v>76385.247680832807</v>
      </c>
      <c r="H221">
        <v>77177.741538875096</v>
      </c>
      <c r="I221">
        <v>73793.167055162106</v>
      </c>
      <c r="J221">
        <v>76150.9930435032</v>
      </c>
      <c r="K221">
        <v>77725.6440167111</v>
      </c>
      <c r="L221">
        <v>78078.9597924353</v>
      </c>
      <c r="M221">
        <v>78660.372433953002</v>
      </c>
      <c r="N221">
        <v>80171.835314081298</v>
      </c>
      <c r="O221">
        <v>82000.074835426203</v>
      </c>
      <c r="P221">
        <v>83462.602927969405</v>
      </c>
      <c r="Q221">
        <v>87053.346183581205</v>
      </c>
      <c r="R221">
        <v>90348.383931747099</v>
      </c>
      <c r="S221">
        <v>94366.063135754201</v>
      </c>
      <c r="T221">
        <v>97076.557985281994</v>
      </c>
      <c r="U221">
        <v>100479.772168546</v>
      </c>
      <c r="V221">
        <v>103649.76207316401</v>
      </c>
      <c r="W221">
        <v>107579.430695662</v>
      </c>
      <c r="X221">
        <v>111302.562927362</v>
      </c>
      <c r="Y221">
        <v>114726.41636129</v>
      </c>
      <c r="Z221">
        <v>117820.200500194</v>
      </c>
      <c r="AA221">
        <v>121281.554247911</v>
      </c>
      <c r="AB221">
        <v>124988.249540868</v>
      </c>
      <c r="AC221">
        <v>128870.617385658</v>
      </c>
      <c r="AD221">
        <v>132974.497373038</v>
      </c>
      <c r="AE221">
        <v>136801.70095706699</v>
      </c>
      <c r="AF221">
        <v>140871.765156571</v>
      </c>
      <c r="AG221">
        <v>145125.69513225899</v>
      </c>
      <c r="AH221">
        <v>149576.06767838399</v>
      </c>
      <c r="AI221">
        <v>154351.768582185</v>
      </c>
      <c r="AJ221">
        <v>159357.17785019401</v>
      </c>
      <c r="AK221">
        <v>164614.37521174</v>
      </c>
      <c r="AL221">
        <v>170129.92849837901</v>
      </c>
      <c r="AM221">
        <v>175887.10045207801</v>
      </c>
      <c r="AN221">
        <v>181855.83354370901</v>
      </c>
      <c r="AO221">
        <v>187975.69595314399</v>
      </c>
      <c r="AP221">
        <v>194379.74195411199</v>
      </c>
      <c r="AQ221">
        <v>200956.30141941001</v>
      </c>
      <c r="AR221">
        <v>207746.06159084101</v>
      </c>
      <c r="AS221">
        <v>214699.435009857</v>
      </c>
      <c r="AT221">
        <v>221904.178968986</v>
      </c>
      <c r="AU221">
        <v>229312.05156947899</v>
      </c>
      <c r="AV221">
        <v>236958.92965382</v>
      </c>
      <c r="AW221">
        <v>244843.26868409701</v>
      </c>
      <c r="AX221">
        <v>253114.85992556199</v>
      </c>
    </row>
    <row r="222" spans="2:50" x14ac:dyDescent="0.25">
      <c r="B222" s="5"/>
      <c r="C222" s="25" t="s">
        <v>30</v>
      </c>
      <c r="F222">
        <v>41720</v>
      </c>
      <c r="G222">
        <v>39457.604060770303</v>
      </c>
      <c r="H222">
        <v>40747.154222734804</v>
      </c>
      <c r="I222">
        <v>37985.351552319102</v>
      </c>
      <c r="J222">
        <v>35239.253081535498</v>
      </c>
      <c r="K222">
        <v>39462.880983829302</v>
      </c>
      <c r="L222">
        <v>41536.949125895197</v>
      </c>
      <c r="M222">
        <v>40347.045940018601</v>
      </c>
      <c r="N222">
        <v>40273.369014529497</v>
      </c>
      <c r="O222">
        <v>41738.572784920398</v>
      </c>
      <c r="P222">
        <v>42656.481889898401</v>
      </c>
      <c r="Q222">
        <v>43783.1532975347</v>
      </c>
      <c r="R222">
        <v>45752.2841877213</v>
      </c>
      <c r="S222">
        <v>46287.533683323403</v>
      </c>
      <c r="T222">
        <v>48729.5675364505</v>
      </c>
      <c r="U222">
        <v>49719.347587081997</v>
      </c>
      <c r="V222">
        <v>51548.731416038499</v>
      </c>
      <c r="W222">
        <v>51967.2468813862</v>
      </c>
      <c r="X222">
        <v>53446.766165892499</v>
      </c>
      <c r="Y222">
        <v>54726.116810216197</v>
      </c>
      <c r="Z222">
        <v>55753.302622801501</v>
      </c>
      <c r="AA222">
        <v>56399.604601986197</v>
      </c>
      <c r="AB222">
        <v>57811.635685105401</v>
      </c>
      <c r="AC222">
        <v>58869.730460314597</v>
      </c>
      <c r="AD222">
        <v>61492.031114016303</v>
      </c>
      <c r="AE222">
        <v>64472.5507221269</v>
      </c>
      <c r="AF222">
        <v>66398.800737348094</v>
      </c>
      <c r="AG222">
        <v>68426.982450744094</v>
      </c>
      <c r="AH222">
        <v>70587.855014078203</v>
      </c>
      <c r="AI222">
        <v>72807.797596338802</v>
      </c>
      <c r="AJ222">
        <v>75306.908454410295</v>
      </c>
      <c r="AK222">
        <v>77816.611298642907</v>
      </c>
      <c r="AL222">
        <v>80375.084141122104</v>
      </c>
      <c r="AM222">
        <v>83270.2704995401</v>
      </c>
      <c r="AN222">
        <v>86089.487135365707</v>
      </c>
      <c r="AO222">
        <v>89095.440940475295</v>
      </c>
      <c r="AP222">
        <v>91962.033542251098</v>
      </c>
      <c r="AQ222">
        <v>95098.361239356396</v>
      </c>
      <c r="AR222">
        <v>98342.427964742907</v>
      </c>
      <c r="AS222">
        <v>101781.878616569</v>
      </c>
      <c r="AT222">
        <v>105187.640571474</v>
      </c>
      <c r="AU222">
        <v>108797.763089138</v>
      </c>
      <c r="AV222">
        <v>112443.335393095</v>
      </c>
      <c r="AW222">
        <v>116200.28678074099</v>
      </c>
      <c r="AX222">
        <v>119911.226029543</v>
      </c>
    </row>
    <row r="223" spans="2:50" x14ac:dyDescent="0.25">
      <c r="B223" s="5"/>
      <c r="C223" s="25" t="s">
        <v>31</v>
      </c>
      <c r="D223">
        <v>231895.11334803401</v>
      </c>
      <c r="E223">
        <v>240330.62968946499</v>
      </c>
      <c r="F223">
        <v>248324.11574706101</v>
      </c>
      <c r="G223">
        <v>259063.553662836</v>
      </c>
      <c r="H223">
        <v>266314.00009420002</v>
      </c>
      <c r="I223">
        <v>261127.11210602999</v>
      </c>
      <c r="J223">
        <v>258261.25233314</v>
      </c>
      <c r="K223">
        <v>259861.71715177601</v>
      </c>
      <c r="L223">
        <v>262343.60907992598</v>
      </c>
      <c r="M223">
        <v>264954.78133314801</v>
      </c>
      <c r="N223">
        <v>267696.45343493501</v>
      </c>
      <c r="O223">
        <v>271355.666595002</v>
      </c>
      <c r="P223">
        <v>276026.54104370798</v>
      </c>
      <c r="Q223">
        <v>285064.452201779</v>
      </c>
      <c r="R223">
        <v>296867.50363258203</v>
      </c>
      <c r="S223">
        <v>311495.18976535997</v>
      </c>
      <c r="T223">
        <v>322148.32783380803</v>
      </c>
      <c r="U223">
        <v>332685.37782582903</v>
      </c>
      <c r="V223">
        <v>343609.65762156801</v>
      </c>
      <c r="W223">
        <v>356791.22417451401</v>
      </c>
      <c r="X223">
        <v>368807.19965624303</v>
      </c>
      <c r="Y223">
        <v>379531.67631574202</v>
      </c>
      <c r="Z223">
        <v>390640.76904387499</v>
      </c>
      <c r="AA223">
        <v>402006.58698690898</v>
      </c>
      <c r="AB223">
        <v>413752.52940547903</v>
      </c>
      <c r="AC223">
        <v>425825.60263254901</v>
      </c>
      <c r="AD223">
        <v>438373.39329571702</v>
      </c>
      <c r="AE223">
        <v>451635.29966129002</v>
      </c>
      <c r="AF223">
        <v>465575.35213811602</v>
      </c>
      <c r="AG223">
        <v>480278.58697496401</v>
      </c>
      <c r="AH223">
        <v>495842.78767299501</v>
      </c>
      <c r="AI223">
        <v>512433.35122167401</v>
      </c>
      <c r="AJ223">
        <v>530047.66934006405</v>
      </c>
      <c r="AK223">
        <v>548770.94556801196</v>
      </c>
      <c r="AL223">
        <v>568216.29960159305</v>
      </c>
      <c r="AM223">
        <v>588480.76964751503</v>
      </c>
      <c r="AN223">
        <v>609495.55790581997</v>
      </c>
      <c r="AO223">
        <v>631194.81044047</v>
      </c>
      <c r="AP223">
        <v>653596.95154688903</v>
      </c>
      <c r="AQ223">
        <v>676489.11986895301</v>
      </c>
      <c r="AR223">
        <v>699922.863502005</v>
      </c>
      <c r="AS223">
        <v>723920.88093870995</v>
      </c>
      <c r="AT223">
        <v>748579.75460837502</v>
      </c>
      <c r="AU223">
        <v>774002.91605319397</v>
      </c>
      <c r="AV223">
        <v>800288.38834997604</v>
      </c>
      <c r="AW223">
        <v>827415.72681867296</v>
      </c>
      <c r="AX223">
        <v>855893.10618454998</v>
      </c>
    </row>
    <row r="224" spans="2:50" x14ac:dyDescent="0.25">
      <c r="B224" s="5"/>
      <c r="C224" s="25" t="s">
        <v>32</v>
      </c>
      <c r="D224">
        <v>112721.993806125</v>
      </c>
      <c r="E224">
        <v>116822.417515198</v>
      </c>
      <c r="F224">
        <v>120693.806324358</v>
      </c>
      <c r="G224">
        <v>126030.97927801</v>
      </c>
      <c r="H224">
        <v>129763.859565839</v>
      </c>
      <c r="I224">
        <v>127990.353464289</v>
      </c>
      <c r="J224">
        <v>126950.640515926</v>
      </c>
      <c r="K224">
        <v>127742.260838755</v>
      </c>
      <c r="L224">
        <v>129043.08954617901</v>
      </c>
      <c r="M224">
        <v>131081.05543631699</v>
      </c>
      <c r="N224">
        <v>132465.213014935</v>
      </c>
      <c r="O224">
        <v>134285.322615999</v>
      </c>
      <c r="P224">
        <v>136468.01700234701</v>
      </c>
      <c r="Q224">
        <v>140733.51486243101</v>
      </c>
      <c r="R224">
        <v>146411.64217600401</v>
      </c>
      <c r="S224">
        <v>153531.55243351799</v>
      </c>
      <c r="T224">
        <v>158800.19454217001</v>
      </c>
      <c r="U224">
        <v>163992.17092474</v>
      </c>
      <c r="V224">
        <v>169355.98566839899</v>
      </c>
      <c r="W224">
        <v>175824.07229827301</v>
      </c>
      <c r="X224">
        <v>181738.73296049301</v>
      </c>
      <c r="Y224">
        <v>187025.70321745399</v>
      </c>
      <c r="Z224">
        <v>192499.33181544399</v>
      </c>
      <c r="AA224">
        <v>198104.80504162601</v>
      </c>
      <c r="AB224">
        <v>203899.253461421</v>
      </c>
      <c r="AC224">
        <v>209853.96347463399</v>
      </c>
      <c r="AD224">
        <v>216041.223221575</v>
      </c>
      <c r="AE224">
        <v>222572.47054523099</v>
      </c>
      <c r="AF224">
        <v>229441.588476442</v>
      </c>
      <c r="AG224">
        <v>236688.112333</v>
      </c>
      <c r="AH224">
        <v>244361.06678661099</v>
      </c>
      <c r="AI224">
        <v>252544.72091281699</v>
      </c>
      <c r="AJ224">
        <v>261231.35516050601</v>
      </c>
      <c r="AK224">
        <v>270467.09521968901</v>
      </c>
      <c r="AL224">
        <v>280060.45326071401</v>
      </c>
      <c r="AM224">
        <v>290059.11562578398</v>
      </c>
      <c r="AN224">
        <v>300428.85769828199</v>
      </c>
      <c r="AO224">
        <v>311155.82207519002</v>
      </c>
      <c r="AP224">
        <v>322241.20877683902</v>
      </c>
      <c r="AQ224">
        <v>333575.00017151103</v>
      </c>
      <c r="AR224">
        <v>345177.87790212798</v>
      </c>
      <c r="AS224">
        <v>357060.15143772302</v>
      </c>
      <c r="AT224">
        <v>369272.77346817701</v>
      </c>
      <c r="AU224">
        <v>381866.17438514601</v>
      </c>
      <c r="AV224">
        <v>394888.423167267</v>
      </c>
      <c r="AW224">
        <v>408329.844739686</v>
      </c>
      <c r="AX224">
        <v>422405.71997275198</v>
      </c>
    </row>
    <row r="225" spans="2:50" x14ac:dyDescent="0.25">
      <c r="B225" s="5"/>
      <c r="C225" s="25" t="s">
        <v>33</v>
      </c>
      <c r="D225">
        <v>5997.7127998138503</v>
      </c>
      <c r="E225">
        <v>6215.8881792066404</v>
      </c>
      <c r="F225">
        <v>6313.0449157393796</v>
      </c>
      <c r="G225">
        <v>6408.2141414600701</v>
      </c>
      <c r="H225">
        <v>6729.4513456302902</v>
      </c>
      <c r="I225">
        <v>6554.4747929438499</v>
      </c>
      <c r="J225">
        <v>6722.3093920418196</v>
      </c>
      <c r="K225">
        <v>7044.4624935135098</v>
      </c>
      <c r="L225">
        <v>7352.3920376775204</v>
      </c>
      <c r="M225">
        <v>7418.0232756836103</v>
      </c>
      <c r="N225">
        <v>7378.7941526424402</v>
      </c>
      <c r="O225">
        <v>7231.5170872066801</v>
      </c>
      <c r="P225">
        <v>6831.6070579829102</v>
      </c>
      <c r="Q225">
        <v>6866.0635570142404</v>
      </c>
      <c r="R225">
        <v>7125.6746788884202</v>
      </c>
      <c r="S225">
        <v>7046.9340329443603</v>
      </c>
      <c r="T225">
        <v>6890.9903251292299</v>
      </c>
      <c r="U225">
        <v>7036.17683299485</v>
      </c>
      <c r="V225">
        <v>7189.86055187492</v>
      </c>
      <c r="W225">
        <v>7336.3779039851497</v>
      </c>
      <c r="X225">
        <v>7448.1304054883803</v>
      </c>
      <c r="Y225">
        <v>7526.3312624611599</v>
      </c>
      <c r="Z225">
        <v>7587.57252306384</v>
      </c>
      <c r="AA225">
        <v>7656.62565182854</v>
      </c>
      <c r="AB225">
        <v>7726.9633946819404</v>
      </c>
      <c r="AC225">
        <v>7799.3385336391702</v>
      </c>
      <c r="AD225">
        <v>7871.6266029419303</v>
      </c>
      <c r="AE225">
        <v>7942.2858753717501</v>
      </c>
      <c r="AF225">
        <v>8014.16729643897</v>
      </c>
      <c r="AG225">
        <v>8082.0013136809903</v>
      </c>
      <c r="AH225">
        <v>8150.12906408864</v>
      </c>
      <c r="AI225">
        <v>8218.1523672697094</v>
      </c>
      <c r="AJ225">
        <v>8286.3014747963298</v>
      </c>
      <c r="AK225">
        <v>8353.6826396775195</v>
      </c>
      <c r="AL225">
        <v>8424.3078300748002</v>
      </c>
      <c r="AM225">
        <v>8495.5241154451705</v>
      </c>
      <c r="AN225">
        <v>8568.0832561126008</v>
      </c>
      <c r="AO225">
        <v>8642.9975009561804</v>
      </c>
      <c r="AP225">
        <v>8718.3684854845706</v>
      </c>
      <c r="AQ225">
        <v>8795.6426318517006</v>
      </c>
      <c r="AR225">
        <v>8873.7413281865793</v>
      </c>
      <c r="AS225">
        <v>8952.60386192841</v>
      </c>
      <c r="AT225">
        <v>9034.6113965318</v>
      </c>
      <c r="AU225">
        <v>9117.7577681212206</v>
      </c>
      <c r="AV225">
        <v>9204.8883002945695</v>
      </c>
      <c r="AW225">
        <v>9287.5806697927601</v>
      </c>
      <c r="AX225">
        <v>9370.0127850486406</v>
      </c>
    </row>
    <row r="226" spans="2:50" x14ac:dyDescent="0.25">
      <c r="B226" s="5"/>
      <c r="C226" s="25" t="s">
        <v>34</v>
      </c>
      <c r="D226">
        <v>79234.608835044695</v>
      </c>
      <c r="E226">
        <v>82116.881031232799</v>
      </c>
      <c r="F226">
        <v>84010.915066809597</v>
      </c>
      <c r="G226">
        <v>86823.458780301196</v>
      </c>
      <c r="H226">
        <v>87308.062903111306</v>
      </c>
      <c r="I226">
        <v>81976.690337117398</v>
      </c>
      <c r="J226">
        <v>85097.049815444698</v>
      </c>
      <c r="K226">
        <v>86655.462742402902</v>
      </c>
      <c r="L226">
        <v>86623.654967245398</v>
      </c>
      <c r="M226">
        <v>87570.649626351296</v>
      </c>
      <c r="N226">
        <v>89540.405566316796</v>
      </c>
      <c r="O226">
        <v>92873.071492594696</v>
      </c>
      <c r="P226">
        <v>94878.687355119197</v>
      </c>
      <c r="Q226">
        <v>99511.806249249203</v>
      </c>
      <c r="R226">
        <v>103270.418622572</v>
      </c>
      <c r="S226">
        <v>108144.715426971</v>
      </c>
      <c r="T226">
        <v>111864.50092066301</v>
      </c>
      <c r="U226">
        <v>115659.21819073999</v>
      </c>
      <c r="V226">
        <v>119505.10706126899</v>
      </c>
      <c r="W226">
        <v>123828.109196208</v>
      </c>
      <c r="X226">
        <v>128108.560620501</v>
      </c>
      <c r="Y226">
        <v>132135.527131418</v>
      </c>
      <c r="Z226">
        <v>136104.155888712</v>
      </c>
      <c r="AA226">
        <v>140166.338340255</v>
      </c>
      <c r="AB226">
        <v>144366.93503512099</v>
      </c>
      <c r="AC226">
        <v>148694.88332711899</v>
      </c>
      <c r="AD226">
        <v>153177.28290835701</v>
      </c>
      <c r="AE226">
        <v>157778.94632746201</v>
      </c>
      <c r="AF226">
        <v>162579.72913827599</v>
      </c>
      <c r="AG226">
        <v>167590.31409322601</v>
      </c>
      <c r="AH226">
        <v>172849.21654990199</v>
      </c>
      <c r="AI226">
        <v>178423.06807110301</v>
      </c>
      <c r="AJ226">
        <v>184315.28709848601</v>
      </c>
      <c r="AK226">
        <v>190578.77438031201</v>
      </c>
      <c r="AL226">
        <v>197169.97357860999</v>
      </c>
      <c r="AM226">
        <v>204078.34536449501</v>
      </c>
      <c r="AN226">
        <v>211281.677042703</v>
      </c>
      <c r="AO226">
        <v>218780.94727996801</v>
      </c>
      <c r="AP226">
        <v>226591.11710605401</v>
      </c>
      <c r="AQ226">
        <v>234658.82111510501</v>
      </c>
      <c r="AR226">
        <v>242968.13825879199</v>
      </c>
      <c r="AS226">
        <v>251503.733840976</v>
      </c>
      <c r="AT226">
        <v>260282.97835735799</v>
      </c>
      <c r="AU226">
        <v>269319.95030976098</v>
      </c>
      <c r="AV226">
        <v>278643.19014186098</v>
      </c>
      <c r="AW226">
        <v>288259.83350806299</v>
      </c>
      <c r="AX226">
        <v>298209.73609430302</v>
      </c>
    </row>
    <row r="227" spans="2:50" x14ac:dyDescent="0.25">
      <c r="B227" s="5"/>
      <c r="C227" s="25" t="s">
        <v>35</v>
      </c>
      <c r="D227">
        <v>7105.6417398601798</v>
      </c>
      <c r="E227">
        <v>7364.1196187061596</v>
      </c>
      <c r="F227">
        <v>7461.7211582853897</v>
      </c>
      <c r="G227">
        <v>7630.9432812661898</v>
      </c>
      <c r="H227">
        <v>7780.8692882559899</v>
      </c>
      <c r="I227">
        <v>7889.7548368841499</v>
      </c>
      <c r="J227">
        <v>7984.8461921271401</v>
      </c>
      <c r="K227">
        <v>8073.1776391085996</v>
      </c>
      <c r="L227">
        <v>8165.7127711457697</v>
      </c>
      <c r="M227">
        <v>8284.1869296038094</v>
      </c>
      <c r="N227">
        <v>8396.21327444694</v>
      </c>
      <c r="O227">
        <v>8558.75429263769</v>
      </c>
      <c r="P227">
        <v>8722.3275412884905</v>
      </c>
      <c r="Q227">
        <v>8949.8236367764603</v>
      </c>
      <c r="R227">
        <v>9200.50875333982</v>
      </c>
      <c r="S227">
        <v>9520.9596082356602</v>
      </c>
      <c r="T227">
        <v>9847.0823749253905</v>
      </c>
      <c r="U227">
        <v>10181.9355172347</v>
      </c>
      <c r="V227">
        <v>10520.846349019899</v>
      </c>
      <c r="W227">
        <v>10900.938901580301</v>
      </c>
      <c r="X227">
        <v>11277.8006376217</v>
      </c>
      <c r="Y227">
        <v>11633.1416246915</v>
      </c>
      <c r="Z227">
        <v>11982.9975033754</v>
      </c>
      <c r="AA227">
        <v>12340.914103884699</v>
      </c>
      <c r="AB227">
        <v>12710.4900397532</v>
      </c>
      <c r="AC227">
        <v>13090.7759651694</v>
      </c>
      <c r="AD227">
        <v>13483.858563648701</v>
      </c>
      <c r="AE227">
        <v>13889.4579124579</v>
      </c>
      <c r="AF227">
        <v>14312.526550113</v>
      </c>
      <c r="AG227">
        <v>14753.848718551801</v>
      </c>
      <c r="AH227">
        <v>15216.604403388201</v>
      </c>
      <c r="AI227">
        <v>15706.3333576556</v>
      </c>
      <c r="AJ227">
        <v>16224.115205235599</v>
      </c>
      <c r="AK227">
        <v>16774.621604148098</v>
      </c>
      <c r="AL227">
        <v>17354.277617154501</v>
      </c>
      <c r="AM227">
        <v>17962.174121883199</v>
      </c>
      <c r="AN227">
        <v>18596.3612983118</v>
      </c>
      <c r="AO227">
        <v>19257.8640579079</v>
      </c>
      <c r="AP227">
        <v>19947.497281971999</v>
      </c>
      <c r="AQ227">
        <v>20660.353197899902</v>
      </c>
      <c r="AR227">
        <v>21394.876474158798</v>
      </c>
      <c r="AS227">
        <v>22149.5442794509</v>
      </c>
      <c r="AT227">
        <v>22925.600571747698</v>
      </c>
      <c r="AU227">
        <v>23724.217607697701</v>
      </c>
      <c r="AV227">
        <v>24547.7539026013</v>
      </c>
      <c r="AW227">
        <v>25396.822698192998</v>
      </c>
      <c r="AX227">
        <v>26273.509269234499</v>
      </c>
    </row>
    <row r="228" spans="2:50" x14ac:dyDescent="0.25">
      <c r="C228" s="25" t="s">
        <v>131</v>
      </c>
      <c r="D228">
        <v>0</v>
      </c>
      <c r="E228">
        <v>0</v>
      </c>
      <c r="F228">
        <v>0</v>
      </c>
      <c r="G228">
        <v>0</v>
      </c>
      <c r="H228">
        <v>4.8449612399999999</v>
      </c>
      <c r="I228">
        <v>4.7664442329999996</v>
      </c>
      <c r="J228">
        <v>4.7036688619999998</v>
      </c>
      <c r="K228">
        <v>4.6296296300000002</v>
      </c>
      <c r="L228">
        <v>6.3405797100000001</v>
      </c>
      <c r="M228">
        <v>6.255585344</v>
      </c>
      <c r="N228">
        <v>5.5851063830000003</v>
      </c>
      <c r="O228">
        <v>5.5650171249999998</v>
      </c>
      <c r="P228">
        <v>5.5098951999999999</v>
      </c>
      <c r="Q228">
        <v>5.1948105800000004</v>
      </c>
      <c r="R228">
        <v>4.4462922770000004</v>
      </c>
      <c r="S228">
        <v>5.0374585429999996</v>
      </c>
      <c r="T228">
        <v>3.7258839589999999</v>
      </c>
      <c r="U228">
        <v>3.3920282429999999</v>
      </c>
      <c r="V228">
        <v>3.2936126049999999</v>
      </c>
      <c r="W228">
        <v>3.2936126049999999</v>
      </c>
      <c r="X228">
        <v>3.2936126049999999</v>
      </c>
      <c r="Y228">
        <v>3.2936126049999999</v>
      </c>
      <c r="Z228">
        <v>3.2936126049999999</v>
      </c>
      <c r="AA228">
        <v>3.2936126049999999</v>
      </c>
      <c r="AB228">
        <v>3.2936126049999999</v>
      </c>
      <c r="AC228">
        <v>3.2936126049999999</v>
      </c>
      <c r="AD228">
        <v>3.2936126049999999</v>
      </c>
      <c r="AE228">
        <v>3.2936126049999999</v>
      </c>
      <c r="AF228">
        <v>3.2936126049999999</v>
      </c>
      <c r="AG228">
        <v>3.2936126049999999</v>
      </c>
      <c r="AH228">
        <v>3.2936126049999999</v>
      </c>
      <c r="AI228">
        <v>3.2936126049999999</v>
      </c>
      <c r="AJ228">
        <v>3.2936126049999999</v>
      </c>
      <c r="AK228">
        <v>3.2936126049999999</v>
      </c>
      <c r="AL228">
        <v>3.2936126049999999</v>
      </c>
      <c r="AM228">
        <v>3.2936126049999999</v>
      </c>
      <c r="AN228">
        <v>3.2936126049999999</v>
      </c>
      <c r="AO228">
        <v>3.2936126049999999</v>
      </c>
      <c r="AP228">
        <v>3.2936126049999999</v>
      </c>
      <c r="AQ228">
        <v>3.2936126049999999</v>
      </c>
      <c r="AR228">
        <v>3.2936126049999999</v>
      </c>
      <c r="AS228">
        <v>3.2936126049999999</v>
      </c>
      <c r="AT228">
        <v>3.2936126049999999</v>
      </c>
      <c r="AU228">
        <v>3.2936126049999999</v>
      </c>
      <c r="AV228">
        <v>3.2936126049999999</v>
      </c>
      <c r="AW228">
        <v>3.2936126049999999</v>
      </c>
      <c r="AX228">
        <v>3.2936126049999999</v>
      </c>
    </row>
    <row r="229" spans="2:50" x14ac:dyDescent="0.25">
      <c r="C229" s="25" t="s">
        <v>200</v>
      </c>
      <c r="D229">
        <v>0</v>
      </c>
      <c r="E229">
        <v>0</v>
      </c>
      <c r="F229">
        <v>0</v>
      </c>
      <c r="G229">
        <v>0</v>
      </c>
      <c r="H229">
        <v>4.8449612399999999</v>
      </c>
      <c r="I229">
        <v>4.7664442329999996</v>
      </c>
      <c r="J229">
        <v>4.7036688619999998</v>
      </c>
      <c r="K229">
        <v>4.6296296300000002</v>
      </c>
      <c r="L229">
        <v>6.3405797100000001</v>
      </c>
      <c r="M229">
        <v>6.255585344</v>
      </c>
      <c r="N229">
        <v>5.5851063830000003</v>
      </c>
      <c r="O229">
        <v>5.5650171249999998</v>
      </c>
      <c r="P229">
        <v>5.5098951999999999</v>
      </c>
      <c r="Q229">
        <v>5.1948105800000004</v>
      </c>
      <c r="R229">
        <v>4.4462922770000004</v>
      </c>
      <c r="S229">
        <v>5.0374585429999996</v>
      </c>
      <c r="T229">
        <v>3.7258839589999999</v>
      </c>
      <c r="U229">
        <v>3.3920282429999999</v>
      </c>
      <c r="V229">
        <v>3.2936126049999999</v>
      </c>
      <c r="W229">
        <v>3.2936126049999999</v>
      </c>
      <c r="X229">
        <v>3.2936126049999999</v>
      </c>
      <c r="Y229">
        <v>3.2936126049999999</v>
      </c>
      <c r="Z229">
        <v>3.2936126049999999</v>
      </c>
      <c r="AA229">
        <v>3.2936126049999999</v>
      </c>
      <c r="AB229">
        <v>3.2936126049999999</v>
      </c>
      <c r="AC229">
        <v>3.2936126049999999</v>
      </c>
      <c r="AD229">
        <v>3.2936126049999999</v>
      </c>
      <c r="AE229">
        <v>3.2936126049999999</v>
      </c>
      <c r="AF229">
        <v>3.2936126049999999</v>
      </c>
      <c r="AG229">
        <v>3.2936126049999999</v>
      </c>
      <c r="AH229">
        <v>3.2936126049999999</v>
      </c>
      <c r="AI229">
        <v>3.2936126049999999</v>
      </c>
      <c r="AJ229">
        <v>3.2936126049999999</v>
      </c>
      <c r="AK229">
        <v>3.2936126049999999</v>
      </c>
      <c r="AL229">
        <v>3.2936126049999999</v>
      </c>
      <c r="AM229">
        <v>3.2936126049999999</v>
      </c>
      <c r="AN229">
        <v>3.2936126049999999</v>
      </c>
      <c r="AO229">
        <v>3.2936126049999999</v>
      </c>
      <c r="AP229">
        <v>3.2936126049999999</v>
      </c>
      <c r="AQ229">
        <v>3.2936126049999999</v>
      </c>
      <c r="AR229">
        <v>3.2936126049999999</v>
      </c>
      <c r="AS229">
        <v>3.2936126049999999</v>
      </c>
      <c r="AT229">
        <v>3.2936126049999999</v>
      </c>
      <c r="AU229">
        <v>3.2936126049999999</v>
      </c>
      <c r="AV229">
        <v>3.2936126049999999</v>
      </c>
      <c r="AW229">
        <v>3.2936126049999999</v>
      </c>
      <c r="AX229">
        <v>3.2936126049999999</v>
      </c>
    </row>
    <row r="230" spans="2:50" x14ac:dyDescent="0.25">
      <c r="C230" s="25" t="s">
        <v>132</v>
      </c>
      <c r="D230">
        <v>0</v>
      </c>
      <c r="E230">
        <v>0</v>
      </c>
      <c r="F230">
        <v>0</v>
      </c>
      <c r="G230">
        <v>0</v>
      </c>
      <c r="H230">
        <v>27.678498016639399</v>
      </c>
      <c r="I230">
        <v>43.6354394602645</v>
      </c>
      <c r="J230">
        <v>59.351490031854297</v>
      </c>
      <c r="K230">
        <v>79.406252460056194</v>
      </c>
      <c r="L230">
        <v>129.817754852105</v>
      </c>
      <c r="M230">
        <v>163.15329095471901</v>
      </c>
      <c r="N230">
        <v>192.90278152733001</v>
      </c>
      <c r="O230">
        <v>234.15142697622599</v>
      </c>
      <c r="P230">
        <v>315.84859395814402</v>
      </c>
      <c r="Q230">
        <v>401.94658410606598</v>
      </c>
      <c r="R230">
        <v>452.98455608706797</v>
      </c>
      <c r="S230">
        <v>662.167828137529</v>
      </c>
      <c r="T230">
        <v>530.66416718855703</v>
      </c>
      <c r="U230">
        <v>535.46660554613197</v>
      </c>
      <c r="V230">
        <v>638.591932762532</v>
      </c>
      <c r="W230">
        <v>805.32036928458103</v>
      </c>
      <c r="X230">
        <v>958.94984399945304</v>
      </c>
      <c r="Y230">
        <v>1113.5929909015099</v>
      </c>
      <c r="Z230">
        <v>1439.2201645505299</v>
      </c>
      <c r="AA230">
        <v>1717.6807501523199</v>
      </c>
      <c r="AB230">
        <v>1983.0841372841301</v>
      </c>
      <c r="AC230">
        <v>2232.5586778134498</v>
      </c>
      <c r="AD230">
        <v>2464.9045975958402</v>
      </c>
      <c r="AE230">
        <v>2684.1244438695198</v>
      </c>
      <c r="AF230">
        <v>2759.4142344738302</v>
      </c>
      <c r="AG230">
        <v>2882.3044336151502</v>
      </c>
      <c r="AH230">
        <v>3017.3371080546899</v>
      </c>
      <c r="AI230">
        <v>3004.56748181783</v>
      </c>
      <c r="AJ230">
        <v>3214.54981581731</v>
      </c>
      <c r="AK230">
        <v>3377.5258078798001</v>
      </c>
      <c r="AL230">
        <v>3512.3829867827299</v>
      </c>
      <c r="AM230">
        <v>3630.8919407552999</v>
      </c>
      <c r="AN230">
        <v>3735.07247772751</v>
      </c>
      <c r="AO230">
        <v>3804.0054313235401</v>
      </c>
      <c r="AP230">
        <v>3884.22591150371</v>
      </c>
      <c r="AQ230">
        <v>3968.9516486131702</v>
      </c>
      <c r="AR230">
        <v>4052.6208705520298</v>
      </c>
      <c r="AS230">
        <v>4133.6222926297496</v>
      </c>
      <c r="AT230">
        <v>4192.3038802863202</v>
      </c>
      <c r="AU230">
        <v>4258.3588290775197</v>
      </c>
      <c r="AV230">
        <v>4325.59961015103</v>
      </c>
      <c r="AW230">
        <v>4389.9340317087899</v>
      </c>
      <c r="AX230">
        <v>4456.4519142196796</v>
      </c>
    </row>
    <row r="231" spans="2:50" x14ac:dyDescent="0.25">
      <c r="C231" s="25" t="s">
        <v>201</v>
      </c>
      <c r="D231">
        <v>0</v>
      </c>
      <c r="E231">
        <v>0</v>
      </c>
      <c r="F231">
        <v>0</v>
      </c>
      <c r="G231">
        <v>0</v>
      </c>
      <c r="H231">
        <v>27.678498016639399</v>
      </c>
      <c r="I231">
        <v>43.6354394602645</v>
      </c>
      <c r="J231">
        <v>59.351490031854297</v>
      </c>
      <c r="K231">
        <v>79.406252460056194</v>
      </c>
      <c r="L231">
        <v>129.817754852105</v>
      </c>
      <c r="M231">
        <v>163.15329095471901</v>
      </c>
      <c r="N231">
        <v>192.90278152733001</v>
      </c>
      <c r="O231">
        <v>234.15142697622599</v>
      </c>
      <c r="P231">
        <v>315.84859395814402</v>
      </c>
      <c r="Q231">
        <v>401.94658410606598</v>
      </c>
      <c r="R231">
        <v>452.98455608706797</v>
      </c>
      <c r="S231">
        <v>662.167828137529</v>
      </c>
      <c r="T231">
        <v>530.66416718855703</v>
      </c>
      <c r="U231">
        <v>535.46660554613197</v>
      </c>
      <c r="V231">
        <v>638.591932762532</v>
      </c>
      <c r="W231">
        <v>805.32036928458103</v>
      </c>
      <c r="X231">
        <v>958.410900288059</v>
      </c>
      <c r="Y231">
        <v>1111.73587656526</v>
      </c>
      <c r="Z231">
        <v>1436.1675340521899</v>
      </c>
      <c r="AA231">
        <v>1713.96570499325</v>
      </c>
      <c r="AB231">
        <v>1979.17419161108</v>
      </c>
      <c r="AC231">
        <v>2228.5891338909501</v>
      </c>
      <c r="AD231">
        <v>2461.0280860430598</v>
      </c>
      <c r="AE231">
        <v>2682.0191274984199</v>
      </c>
      <c r="AF231">
        <v>2758.5775238102101</v>
      </c>
      <c r="AG231">
        <v>2882.2474350141401</v>
      </c>
      <c r="AH231">
        <v>3017.3995631837101</v>
      </c>
      <c r="AI231">
        <v>3004.9276614114801</v>
      </c>
      <c r="AJ231">
        <v>3215.36732076711</v>
      </c>
      <c r="AK231">
        <v>3378.4653800412402</v>
      </c>
      <c r="AL231">
        <v>3513.4787519347401</v>
      </c>
      <c r="AM231">
        <v>3632.2167140853398</v>
      </c>
      <c r="AN231">
        <v>3736.5316765624202</v>
      </c>
      <c r="AO231">
        <v>3805.3496106190501</v>
      </c>
      <c r="AP231">
        <v>3885.3946795790998</v>
      </c>
      <c r="AQ231">
        <v>3970.01693467413</v>
      </c>
      <c r="AR231">
        <v>4053.58688054185</v>
      </c>
      <c r="AS231">
        <v>4134.4736849009196</v>
      </c>
      <c r="AT231">
        <v>4193.2478230716897</v>
      </c>
      <c r="AU231">
        <v>4259.2626062571699</v>
      </c>
      <c r="AV231">
        <v>4326.3608858877096</v>
      </c>
      <c r="AW231">
        <v>4391.0878006723797</v>
      </c>
      <c r="AX231">
        <v>4457.4381865142504</v>
      </c>
    </row>
    <row r="232" spans="2:50" x14ac:dyDescent="0.25">
      <c r="C232" s="26" t="s">
        <v>131</v>
      </c>
      <c r="D232">
        <v>0</v>
      </c>
      <c r="E232">
        <v>0</v>
      </c>
      <c r="F232">
        <v>0</v>
      </c>
      <c r="G232">
        <v>0</v>
      </c>
      <c r="H232">
        <v>4.8449612399999999</v>
      </c>
      <c r="I232">
        <v>4.7664442329999996</v>
      </c>
      <c r="J232">
        <v>4.7036688619999998</v>
      </c>
      <c r="K232">
        <v>4.6296296300000002</v>
      </c>
      <c r="L232">
        <v>6.3405797100000001</v>
      </c>
      <c r="M232">
        <v>6.255585344</v>
      </c>
      <c r="N232">
        <v>5.5851063830000003</v>
      </c>
      <c r="O232">
        <v>5.5650171249999998</v>
      </c>
      <c r="P232">
        <v>5.5098951999999999</v>
      </c>
      <c r="Q232">
        <v>5.1948105800000004</v>
      </c>
      <c r="R232">
        <v>4.4462922770000004</v>
      </c>
      <c r="S232">
        <v>5.0374585429999996</v>
      </c>
      <c r="T232">
        <v>3.7258839589999999</v>
      </c>
      <c r="U232">
        <v>3.3920282429999999</v>
      </c>
      <c r="V232">
        <v>3.2936126049999999</v>
      </c>
      <c r="W232">
        <v>3.2936126049999999</v>
      </c>
      <c r="X232">
        <v>3.2936126049999999</v>
      </c>
      <c r="Y232">
        <v>3.2936126049999999</v>
      </c>
      <c r="Z232">
        <v>3.2936126049999999</v>
      </c>
      <c r="AA232">
        <v>3.2936126049999999</v>
      </c>
      <c r="AB232">
        <v>3.2936126049999999</v>
      </c>
      <c r="AC232">
        <v>3.2936126049999999</v>
      </c>
      <c r="AD232">
        <v>3.2936126049999999</v>
      </c>
      <c r="AE232">
        <v>3.2936126049999999</v>
      </c>
      <c r="AF232">
        <v>3.2936126049999999</v>
      </c>
      <c r="AG232">
        <v>3.2936126049999999</v>
      </c>
      <c r="AH232">
        <v>3.2936126049999999</v>
      </c>
      <c r="AI232">
        <v>3.2936126049999999</v>
      </c>
      <c r="AJ232">
        <v>3.2936126049999999</v>
      </c>
      <c r="AK232">
        <v>3.2936126049999999</v>
      </c>
      <c r="AL232">
        <v>3.2936126049999999</v>
      </c>
      <c r="AM232">
        <v>3.2936126049999999</v>
      </c>
      <c r="AN232">
        <v>3.2936126049999999</v>
      </c>
      <c r="AO232">
        <v>3.2936126049999999</v>
      </c>
      <c r="AP232">
        <v>3.2936126049999999</v>
      </c>
      <c r="AQ232">
        <v>3.2936126049999999</v>
      </c>
      <c r="AR232">
        <v>3.2936126049999999</v>
      </c>
      <c r="AS232">
        <v>3.2936126049999999</v>
      </c>
      <c r="AT232">
        <v>3.2936126049999999</v>
      </c>
      <c r="AU232">
        <v>3.2936126049999999</v>
      </c>
      <c r="AV232">
        <v>3.2936126049999999</v>
      </c>
      <c r="AW232">
        <v>3.2936126049999999</v>
      </c>
      <c r="AX232">
        <v>3.2936126049999999</v>
      </c>
    </row>
    <row r="233" spans="2:50" x14ac:dyDescent="0.25">
      <c r="C233" t="s">
        <v>200</v>
      </c>
      <c r="D233">
        <v>0</v>
      </c>
      <c r="E233">
        <v>0</v>
      </c>
      <c r="F233">
        <v>0</v>
      </c>
      <c r="G233">
        <v>0</v>
      </c>
      <c r="H233">
        <v>4.8449612399999999</v>
      </c>
      <c r="I233">
        <v>4.7664442329999996</v>
      </c>
      <c r="J233">
        <v>4.7036688619999998</v>
      </c>
      <c r="K233">
        <v>4.6296296300000002</v>
      </c>
      <c r="L233">
        <v>6.3405797100000001</v>
      </c>
      <c r="M233">
        <v>6.255585344</v>
      </c>
      <c r="N233">
        <v>5.5851063830000003</v>
      </c>
      <c r="O233">
        <v>5.5650171249999998</v>
      </c>
      <c r="P233">
        <v>5.5098951999999999</v>
      </c>
      <c r="Q233">
        <v>5.1948105800000004</v>
      </c>
      <c r="R233">
        <v>4.4462922770000004</v>
      </c>
      <c r="S233">
        <v>5.0374585429999996</v>
      </c>
      <c r="T233">
        <v>3.7258839589999999</v>
      </c>
      <c r="U233">
        <v>3.3920282429999999</v>
      </c>
      <c r="V233">
        <v>3.2936126049999999</v>
      </c>
      <c r="W233">
        <v>3.2936126049999999</v>
      </c>
      <c r="X233">
        <v>3.2936126049999999</v>
      </c>
      <c r="Y233">
        <v>3.2936126049999999</v>
      </c>
      <c r="Z233">
        <v>3.2936126049999999</v>
      </c>
      <c r="AA233">
        <v>3.2936126049999999</v>
      </c>
      <c r="AB233">
        <v>3.2936126049999999</v>
      </c>
      <c r="AC233">
        <v>3.2936126049999999</v>
      </c>
      <c r="AD233">
        <v>3.2936126049999999</v>
      </c>
      <c r="AE233">
        <v>3.2936126049999999</v>
      </c>
      <c r="AF233">
        <v>3.2936126049999999</v>
      </c>
      <c r="AG233">
        <v>3.2936126049999999</v>
      </c>
      <c r="AH233">
        <v>3.2936126049999999</v>
      </c>
      <c r="AI233">
        <v>3.2936126049999999</v>
      </c>
      <c r="AJ233">
        <v>3.2936126049999999</v>
      </c>
      <c r="AK233">
        <v>3.2936126049999999</v>
      </c>
      <c r="AL233">
        <v>3.2936126049999999</v>
      </c>
      <c r="AM233">
        <v>3.2936126049999999</v>
      </c>
      <c r="AN233">
        <v>3.2936126049999999</v>
      </c>
      <c r="AO233">
        <v>3.2936126049999999</v>
      </c>
      <c r="AP233">
        <v>3.2936126049999999</v>
      </c>
      <c r="AQ233">
        <v>3.2936126049999999</v>
      </c>
      <c r="AR233">
        <v>3.2936126049999999</v>
      </c>
      <c r="AS233">
        <v>3.2936126049999999</v>
      </c>
      <c r="AT233">
        <v>3.2936126049999999</v>
      </c>
      <c r="AU233">
        <v>3.2936126049999999</v>
      </c>
      <c r="AV233">
        <v>3.2936126049999999</v>
      </c>
      <c r="AW233">
        <v>3.2936126049999999</v>
      </c>
      <c r="AX233">
        <v>3.2936126049999999</v>
      </c>
    </row>
    <row r="234" spans="2:50" x14ac:dyDescent="0.25">
      <c r="C234" t="s">
        <v>132</v>
      </c>
      <c r="D234">
        <v>0</v>
      </c>
      <c r="E234">
        <v>0</v>
      </c>
      <c r="F234">
        <v>0</v>
      </c>
      <c r="G234">
        <v>0</v>
      </c>
      <c r="H234">
        <v>27.678498016639399</v>
      </c>
      <c r="I234">
        <v>43.6354394602645</v>
      </c>
      <c r="J234">
        <v>59.351490031854297</v>
      </c>
      <c r="K234">
        <v>79.406252460056194</v>
      </c>
      <c r="L234">
        <v>129.817754852105</v>
      </c>
      <c r="M234">
        <v>163.15329095471901</v>
      </c>
      <c r="N234">
        <v>192.90278152733001</v>
      </c>
      <c r="O234">
        <v>234.15142697622599</v>
      </c>
      <c r="P234">
        <v>315.84859395814402</v>
      </c>
      <c r="Q234">
        <v>401.94658410606598</v>
      </c>
      <c r="R234">
        <v>452.98455608706797</v>
      </c>
      <c r="S234">
        <v>662.167828137529</v>
      </c>
      <c r="T234">
        <v>530.66416718855703</v>
      </c>
      <c r="U234">
        <v>535.46660554613197</v>
      </c>
      <c r="V234">
        <v>638.591932762532</v>
      </c>
      <c r="W234">
        <v>805.32036928458103</v>
      </c>
      <c r="X234">
        <v>958.94984399945304</v>
      </c>
      <c r="Y234">
        <v>1113.5929909015099</v>
      </c>
      <c r="Z234">
        <v>1439.2201645505299</v>
      </c>
      <c r="AA234">
        <v>1717.6807501523199</v>
      </c>
      <c r="AB234">
        <v>1983.0841372841301</v>
      </c>
      <c r="AC234">
        <v>2232.5586778134498</v>
      </c>
      <c r="AD234">
        <v>2464.9045975958402</v>
      </c>
      <c r="AE234">
        <v>2684.1244438695198</v>
      </c>
      <c r="AF234">
        <v>2759.4142344738302</v>
      </c>
      <c r="AG234">
        <v>2882.3044336151502</v>
      </c>
      <c r="AH234">
        <v>3017.3371080546899</v>
      </c>
      <c r="AI234">
        <v>3004.56748181783</v>
      </c>
      <c r="AJ234">
        <v>3214.54981581731</v>
      </c>
      <c r="AK234">
        <v>3377.5258078798001</v>
      </c>
      <c r="AL234">
        <v>3512.3829867827299</v>
      </c>
      <c r="AM234">
        <v>3630.8919407552999</v>
      </c>
      <c r="AN234">
        <v>3735.07247772751</v>
      </c>
      <c r="AO234">
        <v>3804.0054313235401</v>
      </c>
      <c r="AP234">
        <v>3884.22591150371</v>
      </c>
      <c r="AQ234">
        <v>3968.9516486131702</v>
      </c>
      <c r="AR234">
        <v>4052.6208705520298</v>
      </c>
      <c r="AS234">
        <v>4133.6222926297496</v>
      </c>
      <c r="AT234">
        <v>4192.3038802863202</v>
      </c>
      <c r="AU234">
        <v>4258.3588290775197</v>
      </c>
      <c r="AV234">
        <v>4325.59961015103</v>
      </c>
      <c r="AW234">
        <v>4389.9340317087899</v>
      </c>
      <c r="AX234">
        <v>4456.4519142196796</v>
      </c>
    </row>
    <row r="235" spans="2:50" x14ac:dyDescent="0.25">
      <c r="C235" t="s">
        <v>201</v>
      </c>
      <c r="D235">
        <v>0</v>
      </c>
      <c r="E235">
        <v>0</v>
      </c>
      <c r="F235">
        <v>0</v>
      </c>
      <c r="G235">
        <v>0</v>
      </c>
      <c r="H235">
        <v>27.678498016639399</v>
      </c>
      <c r="I235">
        <v>43.6354394602645</v>
      </c>
      <c r="J235">
        <v>59.351490031854297</v>
      </c>
      <c r="K235">
        <v>79.406252460056194</v>
      </c>
      <c r="L235">
        <v>129.817754852105</v>
      </c>
      <c r="M235">
        <v>163.15329095471901</v>
      </c>
      <c r="N235">
        <v>192.90278152733001</v>
      </c>
      <c r="O235">
        <v>234.15142697622599</v>
      </c>
      <c r="P235">
        <v>315.84859395814402</v>
      </c>
      <c r="Q235">
        <v>401.94658410606598</v>
      </c>
      <c r="R235">
        <v>452.98455608706797</v>
      </c>
      <c r="S235">
        <v>662.167828137529</v>
      </c>
      <c r="T235">
        <v>530.66416718855703</v>
      </c>
      <c r="U235">
        <v>535.46660554613197</v>
      </c>
      <c r="V235">
        <v>638.591932762532</v>
      </c>
      <c r="W235">
        <v>805.32036928458103</v>
      </c>
      <c r="X235">
        <v>958.410900288059</v>
      </c>
      <c r="Y235">
        <v>1111.73587656526</v>
      </c>
      <c r="Z235">
        <v>1436.1675340521899</v>
      </c>
      <c r="AA235">
        <v>1713.96570499325</v>
      </c>
      <c r="AB235">
        <v>1979.17419161108</v>
      </c>
      <c r="AC235">
        <v>2228.5891338909501</v>
      </c>
      <c r="AD235">
        <v>2461.0280860430598</v>
      </c>
      <c r="AE235">
        <v>2682.0191274984199</v>
      </c>
      <c r="AF235">
        <v>2758.5775238102101</v>
      </c>
      <c r="AG235">
        <v>2882.2474350141401</v>
      </c>
      <c r="AH235">
        <v>3017.3995631837101</v>
      </c>
      <c r="AI235">
        <v>3004.9276614114801</v>
      </c>
      <c r="AJ235">
        <v>3215.36732076711</v>
      </c>
      <c r="AK235">
        <v>3378.4653800412402</v>
      </c>
      <c r="AL235">
        <v>3513.4787519347401</v>
      </c>
      <c r="AM235">
        <v>3632.2167140853398</v>
      </c>
      <c r="AN235">
        <v>3736.5316765624202</v>
      </c>
      <c r="AO235">
        <v>3805.3496106190501</v>
      </c>
      <c r="AP235">
        <v>3885.3946795790998</v>
      </c>
      <c r="AQ235">
        <v>3970.01693467413</v>
      </c>
      <c r="AR235">
        <v>4053.58688054185</v>
      </c>
      <c r="AS235">
        <v>4134.4736849009196</v>
      </c>
      <c r="AT235">
        <v>4193.2478230716897</v>
      </c>
      <c r="AU235">
        <v>4259.2626062571699</v>
      </c>
      <c r="AV235">
        <v>4326.3608858877096</v>
      </c>
      <c r="AW235">
        <v>4391.0878006723797</v>
      </c>
      <c r="AX235">
        <v>4457.4381865142504</v>
      </c>
    </row>
    <row r="236" spans="2:50" x14ac:dyDescent="0.25">
      <c r="C236" t="s">
        <v>231</v>
      </c>
      <c r="D236">
        <v>36532.312975199202</v>
      </c>
      <c r="E236">
        <v>37861.228098262101</v>
      </c>
      <c r="F236">
        <v>46046.847930000004</v>
      </c>
      <c r="G236">
        <v>41515.083420000003</v>
      </c>
      <c r="H236">
        <v>39594.508009999998</v>
      </c>
      <c r="I236">
        <v>69718.509919999997</v>
      </c>
      <c r="J236">
        <v>87488.348480000001</v>
      </c>
      <c r="K236">
        <v>77038.754749999905</v>
      </c>
      <c r="L236">
        <v>81118.732220000005</v>
      </c>
      <c r="M236">
        <v>92939.1201</v>
      </c>
      <c r="N236">
        <v>101137.9105</v>
      </c>
      <c r="O236">
        <v>107539.251</v>
      </c>
      <c r="P236">
        <v>112002.02770000001</v>
      </c>
      <c r="Q236">
        <v>106420.9488</v>
      </c>
      <c r="R236">
        <v>102279.6158</v>
      </c>
      <c r="S236">
        <v>108345.10460000001</v>
      </c>
      <c r="T236">
        <v>123607.72440000001</v>
      </c>
      <c r="U236">
        <v>139142.73269999999</v>
      </c>
      <c r="V236">
        <v>148016.41810000001</v>
      </c>
      <c r="W236">
        <v>160126.872</v>
      </c>
      <c r="X236">
        <v>168814.28279999999</v>
      </c>
      <c r="Y236">
        <v>180400.69020000001</v>
      </c>
      <c r="Z236">
        <v>194747.03769999999</v>
      </c>
      <c r="AA236">
        <v>210868.31169999999</v>
      </c>
      <c r="AB236">
        <v>225696.6115</v>
      </c>
      <c r="AC236">
        <v>240632.1666</v>
      </c>
      <c r="AD236">
        <v>254458.8518</v>
      </c>
      <c r="AE236">
        <v>269491.64150000003</v>
      </c>
      <c r="AF236">
        <v>285171.44459999999</v>
      </c>
      <c r="AG236">
        <v>300672.08140000002</v>
      </c>
      <c r="AH236">
        <v>317224.10690000001</v>
      </c>
      <c r="AI236">
        <v>335142.04840000003</v>
      </c>
      <c r="AJ236">
        <v>353508.55680000002</v>
      </c>
      <c r="AK236">
        <v>374408.79889999999</v>
      </c>
      <c r="AL236">
        <v>396617.79790000001</v>
      </c>
      <c r="AM236">
        <v>419707.54869999998</v>
      </c>
      <c r="AN236">
        <v>444154.10479999997</v>
      </c>
      <c r="AO236">
        <v>470379.62300000002</v>
      </c>
      <c r="AP236">
        <v>498706.87109999999</v>
      </c>
      <c r="AQ236">
        <v>528110.02980000002</v>
      </c>
      <c r="AR236">
        <v>558501.83730000001</v>
      </c>
      <c r="AS236">
        <v>590076.10869999998</v>
      </c>
      <c r="AT236">
        <v>623118.38</v>
      </c>
      <c r="AU236">
        <v>657464.49569999997</v>
      </c>
      <c r="AV236">
        <v>693614.91810000001</v>
      </c>
      <c r="AW236">
        <v>731588.91680000001</v>
      </c>
      <c r="AX236">
        <v>769566.07079999999</v>
      </c>
    </row>
    <row r="237" spans="2:50" x14ac:dyDescent="0.25">
      <c r="C237" t="s">
        <v>232</v>
      </c>
      <c r="D237">
        <v>36532.312975199202</v>
      </c>
      <c r="E237">
        <v>37861.228098262101</v>
      </c>
      <c r="F237">
        <v>46046.847930000004</v>
      </c>
      <c r="G237">
        <v>41515.083420000003</v>
      </c>
      <c r="H237">
        <v>39594.508009999998</v>
      </c>
      <c r="I237">
        <v>69718.509919999997</v>
      </c>
      <c r="J237">
        <v>87488.348480000001</v>
      </c>
      <c r="K237">
        <v>77038.754749999905</v>
      </c>
      <c r="L237">
        <v>81118.732220000005</v>
      </c>
      <c r="M237">
        <v>92939.1201</v>
      </c>
      <c r="N237">
        <v>101137.9105</v>
      </c>
      <c r="O237">
        <v>107539.251</v>
      </c>
      <c r="P237">
        <v>112002.02770000001</v>
      </c>
      <c r="Q237">
        <v>106420.9488</v>
      </c>
      <c r="R237">
        <v>102279.6158</v>
      </c>
      <c r="S237">
        <v>108345.10460000001</v>
      </c>
      <c r="T237">
        <v>123607.72440000001</v>
      </c>
      <c r="U237">
        <v>139142.73269999999</v>
      </c>
      <c r="V237">
        <v>148016.41810000001</v>
      </c>
      <c r="W237">
        <v>160126.872</v>
      </c>
      <c r="X237">
        <v>169040.2262</v>
      </c>
      <c r="Y237">
        <v>180349.64199999999</v>
      </c>
      <c r="Z237">
        <v>194109.446</v>
      </c>
      <c r="AA237">
        <v>209638.35070000001</v>
      </c>
      <c r="AB237">
        <v>224034.74530000001</v>
      </c>
      <c r="AC237">
        <v>238668.32269999999</v>
      </c>
      <c r="AD237">
        <v>252209.17370000001</v>
      </c>
      <c r="AE237">
        <v>266381.90909999999</v>
      </c>
      <c r="AF237">
        <v>282234.75780000002</v>
      </c>
      <c r="AG237">
        <v>298025.00109999999</v>
      </c>
      <c r="AH237">
        <v>314918.26409999997</v>
      </c>
      <c r="AI237">
        <v>333068.07160000002</v>
      </c>
      <c r="AJ237">
        <v>351738.04</v>
      </c>
      <c r="AK237">
        <v>372926.83470000001</v>
      </c>
      <c r="AL237">
        <v>395367.13569999998</v>
      </c>
      <c r="AM237">
        <v>418698.03529999999</v>
      </c>
      <c r="AN237">
        <v>443370.67869999999</v>
      </c>
      <c r="AO237">
        <v>469817.95120000001</v>
      </c>
      <c r="AP237">
        <v>498305.43070000003</v>
      </c>
      <c r="AQ237">
        <v>527843.59069999994</v>
      </c>
      <c r="AR237">
        <v>558361.52830000001</v>
      </c>
      <c r="AS237">
        <v>590045.17720000003</v>
      </c>
      <c r="AT237">
        <v>623173.86529999995</v>
      </c>
      <c r="AU237">
        <v>657605.47860000003</v>
      </c>
      <c r="AV237">
        <v>693820.20050000004</v>
      </c>
      <c r="AW237">
        <v>731741.25780000002</v>
      </c>
      <c r="AX237">
        <v>769923.52029999997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5208-88F8-4E82-AACB-4BCE45D1910D}">
  <dimension ref="A1:AI48"/>
  <sheetViews>
    <sheetView workbookViewId="0">
      <selection activeCell="AG3" sqref="AG3"/>
    </sheetView>
  </sheetViews>
  <sheetFormatPr baseColWidth="10" defaultRowHeight="15" x14ac:dyDescent="0.25"/>
  <cols>
    <col min="2" max="2" width="34.85546875" customWidth="1"/>
    <col min="3" max="5" width="10.85546875" hidden="1" customWidth="1"/>
    <col min="7" max="8" width="10.85546875" customWidth="1"/>
    <col min="9" max="11" width="10.85546875" hidden="1" customWidth="1"/>
    <col min="12" max="12" width="10.85546875" customWidth="1"/>
    <col min="14" max="17" width="10.85546875" hidden="1" customWidth="1"/>
    <col min="19" max="22" width="10.85546875" hidden="1" customWidth="1"/>
    <col min="24" max="27" width="10.85546875" hidden="1" customWidth="1"/>
    <col min="28" max="28" width="10.85546875" customWidth="1"/>
    <col min="29" max="32" width="10.85546875" hidden="1" customWidth="1"/>
  </cols>
  <sheetData>
    <row r="1" spans="1:35" ht="15.75" thickBot="1" x14ac:dyDescent="0.3">
      <c r="B1" t="s">
        <v>129</v>
      </c>
      <c r="C1">
        <v>2020</v>
      </c>
      <c r="D1">
        <v>2021</v>
      </c>
      <c r="E1">
        <v>2022</v>
      </c>
      <c r="F1" s="21">
        <v>2023</v>
      </c>
      <c r="G1" s="21">
        <v>2024</v>
      </c>
      <c r="H1" s="21">
        <v>2025</v>
      </c>
      <c r="I1" s="21">
        <v>2026</v>
      </c>
      <c r="J1" s="21">
        <v>2027</v>
      </c>
      <c r="K1" s="21">
        <v>2028</v>
      </c>
      <c r="L1" s="21">
        <v>2029</v>
      </c>
      <c r="M1" s="21">
        <v>2030</v>
      </c>
      <c r="N1" s="21">
        <v>2031</v>
      </c>
      <c r="O1" s="21">
        <v>2032</v>
      </c>
      <c r="P1" s="21">
        <v>2033</v>
      </c>
      <c r="Q1" s="21">
        <v>2034</v>
      </c>
      <c r="R1" s="21">
        <v>2035</v>
      </c>
      <c r="S1" s="21">
        <v>2036</v>
      </c>
      <c r="T1" s="21">
        <v>2037</v>
      </c>
      <c r="U1" s="21">
        <v>2038</v>
      </c>
      <c r="V1" s="21">
        <v>2039</v>
      </c>
      <c r="W1" s="21">
        <v>2040</v>
      </c>
      <c r="X1" s="21">
        <v>2041</v>
      </c>
      <c r="Y1" s="21">
        <v>2042</v>
      </c>
      <c r="Z1" s="21">
        <v>2043</v>
      </c>
      <c r="AA1" s="21">
        <v>2044</v>
      </c>
      <c r="AB1" s="21">
        <v>2045</v>
      </c>
      <c r="AC1" s="21">
        <v>2046</v>
      </c>
      <c r="AD1" s="21">
        <v>2047</v>
      </c>
      <c r="AE1" s="21">
        <v>2048</v>
      </c>
      <c r="AF1" s="21">
        <v>2049</v>
      </c>
      <c r="AG1" s="21">
        <v>2050</v>
      </c>
    </row>
    <row r="2" spans="1:35" x14ac:dyDescent="0.25">
      <c r="A2" s="6"/>
      <c r="B2" s="14" t="s">
        <v>128</v>
      </c>
      <c r="C2">
        <f>-(résultats!T58-résultats!T40)+(résultats!T22-résultats!T4)</f>
        <v>0</v>
      </c>
      <c r="D2">
        <f>-(résultats!U58-résultats!U40)+(résultats!U22-résultats!U4)</f>
        <v>0</v>
      </c>
      <c r="E2">
        <f>+(résultats!V58-résultats!V40)-(résultats!V22-résultats!V4)</f>
        <v>0</v>
      </c>
      <c r="F2" s="22">
        <f>+(résultats!W58-résultats!W40)-(résultats!W22-résultats!W4)</f>
        <v>0</v>
      </c>
      <c r="G2" s="22">
        <f>+(résultats!X58-résultats!X40)-(résultats!X22-résultats!X4)</f>
        <v>-225.94500000006519</v>
      </c>
      <c r="H2" s="22">
        <f>+(résultats!Y58-résultats!Y40)-(résultats!Y22-résultats!Y4)</f>
        <v>51.044999999925494</v>
      </c>
      <c r="I2" s="22">
        <f>+(résultats!Z58-résultats!Z40)-(résultats!Z22-résultats!Z4)</f>
        <v>637.5930000001099</v>
      </c>
      <c r="J2" s="22">
        <f>+(résultats!AA58-résultats!AA40)-(résultats!AA22-résultats!AA4)</f>
        <v>1229.9609999998938</v>
      </c>
      <c r="K2" s="22">
        <f>+(résultats!AB58-résultats!AB40)-(résultats!AB22-résultats!AB4)</f>
        <v>1661.8680000000168</v>
      </c>
      <c r="L2" s="22">
        <f>+(résultats!AC58-résultats!AC40)-(résultats!AC22-résultats!AC4)</f>
        <v>1963.8489999999292</v>
      </c>
      <c r="M2" s="22">
        <f>+(résultats!AD58-résultats!AD40)-(résultats!AD22-résultats!AD4)</f>
        <v>2249.6820000002626</v>
      </c>
      <c r="N2" s="22">
        <f>+(résultats!AE58-résultats!AE40)-(résultats!AE22-résultats!AE4)</f>
        <v>3109.7330000002403</v>
      </c>
      <c r="O2" s="22">
        <f>+(résultats!AF58-résultats!AF40)-(résultats!AF22-résultats!AF4)</f>
        <v>2936.6870000001509</v>
      </c>
      <c r="P2" s="22">
        <f>+(résultats!AG58-résultats!AG40)-(résultats!AG22-résultats!AG4)</f>
        <v>2647.0800000000745</v>
      </c>
      <c r="Q2" s="22">
        <f>+(résultats!AH58-résultats!AH40)-(résultats!AH22-résultats!AH4)</f>
        <v>2305.8429999998771</v>
      </c>
      <c r="R2" s="22">
        <f>+(résultats!AI58-résultats!AI40)-(résultats!AI22-résultats!AI4)</f>
        <v>2073.9769999994896</v>
      </c>
      <c r="S2" s="22">
        <f>+(résultats!AJ58-résultats!AJ40)-(résultats!AJ22-résultats!AJ4)</f>
        <v>1770.5169999999925</v>
      </c>
      <c r="T2" s="22">
        <f>+(résultats!AK58-résultats!AK40)-(résultats!AK22-résultats!AK4)</f>
        <v>1481.9639999999199</v>
      </c>
      <c r="U2" s="22">
        <f>+(résultats!AL58-résultats!AL40)-(résultats!AL22-résultats!AL4)</f>
        <v>1250.6609999998473</v>
      </c>
      <c r="V2" s="22">
        <f>+(résultats!AM58-résultats!AM40)-(résultats!AM22-résultats!AM4)</f>
        <v>1009.5139999999665</v>
      </c>
      <c r="W2" s="22">
        <f>+(résultats!AN58-résultats!AN40)-(résultats!AN22-résultats!AN4)</f>
        <v>783.42700000014156</v>
      </c>
      <c r="X2" s="22">
        <f>+(résultats!AO58-résultats!AO40)-(résultats!AO22-résultats!AO4)</f>
        <v>561.67299999995157</v>
      </c>
      <c r="Y2" s="22">
        <f>+(résultats!AP58-résultats!AP40)-(résultats!AP22-résultats!AP4)</f>
        <v>401.43999999994412</v>
      </c>
      <c r="Z2" s="22">
        <f>+(résultats!AQ58-résultats!AQ40)-(résultats!AQ22-résultats!AQ4)</f>
        <v>266.43899999978021</v>
      </c>
      <c r="AA2" s="22">
        <f>+(résultats!AR58-résultats!AR40)-(résultats!AR22-résultats!AR4)</f>
        <v>140.30899999989197</v>
      </c>
      <c r="AB2" s="22">
        <f>+(résultats!AS58-résultats!AS40)-(résultats!AS22-résultats!AS4)</f>
        <v>30.93099999986589</v>
      </c>
      <c r="AC2" s="22">
        <f>+(résultats!AT58-résultats!AT40)-(résultats!AT22-résultats!AT4)</f>
        <v>-55.485999999567866</v>
      </c>
      <c r="AD2" s="22">
        <f>+(résultats!AU58-résultats!AU40)-(résultats!AU22-résultats!AU4)</f>
        <v>-140.98400000017136</v>
      </c>
      <c r="AE2" s="22">
        <f>+(résultats!AV58-résultats!AV40)-(résultats!AV22-résultats!AV4)</f>
        <v>-205.28300000028685</v>
      </c>
      <c r="AF2" s="22">
        <f>+(résultats!AW58-résultats!AW40)-(résultats!AW22-résultats!AW4)</f>
        <v>-152.3410000000149</v>
      </c>
      <c r="AG2" s="22">
        <f>+(résultats!AX58-résultats!AX40)-(résultats!AX22-résultats!AX4)</f>
        <v>-357.44900000002235</v>
      </c>
      <c r="AH2" s="19">
        <f>E4+E14-E2</f>
        <v>0</v>
      </c>
      <c r="AI2" s="32">
        <f>AG2+(résultats!AX237-résultats!AX236)</f>
        <v>4.9999996554106474E-4</v>
      </c>
    </row>
    <row r="3" spans="1:35" x14ac:dyDescent="0.25">
      <c r="A3" s="7"/>
      <c r="B3" s="15" t="s">
        <v>96</v>
      </c>
      <c r="C3">
        <f>résultats!T39-résultats!T3</f>
        <v>0</v>
      </c>
      <c r="D3">
        <f>résultats!U39-résultats!U3</f>
        <v>0</v>
      </c>
      <c r="E3">
        <f>résultats!V39-résultats!V3</f>
        <v>0</v>
      </c>
      <c r="F3" s="23">
        <f>(résultats!W39-résultats!W3)</f>
        <v>0</v>
      </c>
      <c r="G3" s="23">
        <f>(résultats!X39-résultats!X3)</f>
        <v>7.8299090556191442E-5</v>
      </c>
      <c r="H3" s="23">
        <f>(résultats!Y39-résultats!Y3)</f>
        <v>-5.2499337739791985E-5</v>
      </c>
      <c r="I3" s="23">
        <f>(résultats!Z39-résultats!Z3)</f>
        <v>-3.0078031499299052E-4</v>
      </c>
      <c r="J3" s="23">
        <f>(résultats!AA39-résultats!AA3)</f>
        <v>-5.4496604024160955E-4</v>
      </c>
      <c r="K3" s="23">
        <f>(résultats!AB39-résultats!AB3)</f>
        <v>-7.2559803028560133E-4</v>
      </c>
      <c r="L3" s="23">
        <f>(résultats!AC39-résultats!AC3)</f>
        <v>-8.5830746850480699E-4</v>
      </c>
      <c r="M3" s="23">
        <f>(résultats!AD39-résultats!AD3)</f>
        <v>-9.8118280918289835E-4</v>
      </c>
      <c r="N3" s="23">
        <f>(résultats!AE39-résultats!AE3)</f>
        <v>-1.2775826470080021E-3</v>
      </c>
      <c r="O3" s="23">
        <f>(résultats!AF39-résultats!AF3)</f>
        <v>-1.2330299499214992E-3</v>
      </c>
      <c r="P3" s="23">
        <f>(résultats!AG39-résultats!AG3)</f>
        <v>-1.1540225668019016E-3</v>
      </c>
      <c r="Q3" s="23">
        <f>(résultats!AH39-résultats!AH3)</f>
        <v>-1.0631774084949031E-3</v>
      </c>
      <c r="R3" s="23">
        <f>(résultats!AI39-résultats!AI3)</f>
        <v>-1.005476556533394E-3</v>
      </c>
      <c r="S3" s="23">
        <f>(résultats!AJ39-résultats!AJ3)</f>
        <v>-9.2919033267180318E-4</v>
      </c>
      <c r="T3" s="23">
        <f>(résultats!AK39-résultats!AK3)</f>
        <v>-8.6271666077299136E-4</v>
      </c>
      <c r="U3" s="23">
        <f>(résultats!AL39-résultats!AL3)</f>
        <v>-8.1358852490209799E-4</v>
      </c>
      <c r="V3" s="23">
        <f>(résultats!AM39-résultats!AM3)</f>
        <v>-7.6408748181899799E-4</v>
      </c>
      <c r="W3" s="23">
        <f>(résultats!AN39-résultats!AN3)</f>
        <v>-7.2146002145601074E-4</v>
      </c>
      <c r="X3" s="23">
        <f>(résultats!AO39-résultats!AO3)</f>
        <v>-6.835697441359978E-4</v>
      </c>
      <c r="Y3" s="23">
        <f>(résultats!AP39-résultats!AP3)</f>
        <v>-6.630874116889951E-4</v>
      </c>
      <c r="Z3" s="23">
        <f>(résultats!AQ39-résultats!AQ3)</f>
        <v>-6.4950381440399829E-4</v>
      </c>
      <c r="AA3" s="23">
        <f>(résultats!AR39-résultats!AR3)</f>
        <v>-6.3809207381600175E-4</v>
      </c>
      <c r="AB3" s="23">
        <f>(résultats!AS39-résultats!AS3)</f>
        <v>-6.3159367627599328E-4</v>
      </c>
      <c r="AC3" s="23">
        <f>(résultats!AT39-résultats!AT3)</f>
        <v>-6.3241626839299903E-4</v>
      </c>
      <c r="AD3" s="23">
        <f>(résultats!AU39-résultats!AU3)</f>
        <v>-6.3501411479199854E-4</v>
      </c>
      <c r="AE3" s="23">
        <f>(résultats!AV39-résultats!AV3)</f>
        <v>-6.4310827573899054E-4</v>
      </c>
      <c r="AF3" s="23">
        <f>(résultats!AW39-résultats!AW3)</f>
        <v>-6.7189238843801125E-4</v>
      </c>
      <c r="AG3" s="33">
        <f>(résultats!AX39-résultats!AX3)</f>
        <v>-6.5593352631199142E-4</v>
      </c>
    </row>
    <row r="4" spans="1:35" x14ac:dyDescent="0.25">
      <c r="A4" s="7"/>
      <c r="B4" s="13" t="s">
        <v>126</v>
      </c>
      <c r="C4">
        <f>-(résultats!T40-résultats!T4)</f>
        <v>0</v>
      </c>
      <c r="D4">
        <f>-(résultats!U40-résultats!U4)</f>
        <v>0</v>
      </c>
      <c r="E4">
        <f>-(résultats!V40-résultats!V4)</f>
        <v>0</v>
      </c>
      <c r="F4" s="22">
        <f>-(résultats!W40-résultats!W4)</f>
        <v>0</v>
      </c>
      <c r="G4" s="22">
        <f>-(résultats!X40-résultats!X4)</f>
        <v>390.01600000006147</v>
      </c>
      <c r="H4" s="22">
        <f>-(résultats!Y40-résultats!Y4)</f>
        <v>994.83300000010058</v>
      </c>
      <c r="I4" s="22">
        <f>-(résultats!Z40-résultats!Z4)</f>
        <v>1406.4270000001416</v>
      </c>
      <c r="J4" s="22">
        <f>-(résultats!AA40-résultats!AA4)</f>
        <v>1636.2719999998808</v>
      </c>
      <c r="K4" s="22">
        <f>-(résultats!AB40-résultats!AB4)</f>
        <v>1663.2860000000801</v>
      </c>
      <c r="L4" s="22">
        <f>-(résultats!AC40-résultats!AC4)</f>
        <v>1526.1189999999478</v>
      </c>
      <c r="M4" s="22">
        <f>-(résultats!AD40-résultats!AD4)</f>
        <v>1261.8080000001937</v>
      </c>
      <c r="N4" s="22">
        <f>-(résultats!AE40-résultats!AE4)</f>
        <v>562.18800000008196</v>
      </c>
      <c r="O4" s="22">
        <f>-(résultats!AF40-résultats!AF4)</f>
        <v>-334.19200000003912</v>
      </c>
      <c r="P4" s="22">
        <f>-(résultats!AG40-résultats!AG4)</f>
        <v>-1199.497999999905</v>
      </c>
      <c r="Q4" s="22">
        <f>-(résultats!AH40-résultats!AH4)</f>
        <v>-2003.6959999999963</v>
      </c>
      <c r="R4" s="22">
        <f>-(résultats!AI40-résultats!AI4)</f>
        <v>-2758.6470000003465</v>
      </c>
      <c r="S4" s="22">
        <f>-(résultats!AJ40-résultats!AJ4)</f>
        <v>-3474.3919999999925</v>
      </c>
      <c r="T4" s="22">
        <f>-(résultats!AK40-résultats!AK4)</f>
        <v>-4131.6630000001751</v>
      </c>
      <c r="U4" s="22">
        <f>-(résultats!AL40-résultats!AL4)</f>
        <v>-4750.601000000257</v>
      </c>
      <c r="V4" s="22">
        <f>-(résultats!AM40-résultats!AM4)</f>
        <v>-5350.7269999999553</v>
      </c>
      <c r="W4" s="22">
        <f>-(résultats!AN40-résultats!AN4)</f>
        <v>-5926.688000000082</v>
      </c>
      <c r="X4" s="22">
        <f>-(résultats!AO40-résultats!AO4)</f>
        <v>-6331.6349999997765</v>
      </c>
      <c r="Y4" s="22">
        <f>-(résultats!AP40-résultats!AP4)</f>
        <v>-6693.7700000000186</v>
      </c>
      <c r="Z4" s="22">
        <f>-(résultats!AQ40-résultats!AQ4)</f>
        <v>-7027.4540000003763</v>
      </c>
      <c r="AA4" s="22">
        <f>-(résultats!AR40-résultats!AR4)</f>
        <v>-7332.1009999997914</v>
      </c>
      <c r="AB4" s="22">
        <f>-(résultats!AS40-résultats!AS4)</f>
        <v>-7611.5449999999255</v>
      </c>
      <c r="AC4" s="22">
        <f>-(résultats!AT40-résultats!AT4)</f>
        <v>-7999.7679999996908</v>
      </c>
      <c r="AD4" s="22">
        <f>-(résultats!AU40-résultats!AU4)</f>
        <v>-8401.6409999998286</v>
      </c>
      <c r="AE4" s="22">
        <f>-(résultats!AV40-résultats!AV4)</f>
        <v>-8802.4229999999516</v>
      </c>
      <c r="AF4" s="22">
        <f>-(résultats!AW40-résultats!AW4)</f>
        <v>-9220.535000000149</v>
      </c>
      <c r="AG4" s="22">
        <f>-(résultats!AX40-résultats!AX4)</f>
        <v>-9658.5230000000447</v>
      </c>
      <c r="AH4" s="19">
        <f>SUM(E5:E13)-E4</f>
        <v>0</v>
      </c>
    </row>
    <row r="5" spans="1:35" x14ac:dyDescent="0.25">
      <c r="A5" s="7"/>
      <c r="B5" s="8" t="s">
        <v>99</v>
      </c>
      <c r="C5">
        <f>-(résultats!T42-résultats!T6)</f>
        <v>0</v>
      </c>
      <c r="D5">
        <f>-(résultats!U42-résultats!U6)</f>
        <v>0</v>
      </c>
      <c r="E5">
        <f>-(résultats!V42-résultats!V6)</f>
        <v>0</v>
      </c>
      <c r="F5" s="22">
        <f>-(résultats!W42-résultats!W6)</f>
        <v>0</v>
      </c>
      <c r="G5" s="22">
        <f>-(résultats!X42-résultats!X6)</f>
        <v>0</v>
      </c>
      <c r="H5" s="22">
        <f>-(résultats!Y42-résultats!Y6)</f>
        <v>37.83308019398828</v>
      </c>
      <c r="I5" s="22">
        <f>-(résultats!Z42-résultats!Z6)</f>
        <v>86.710527759991237</v>
      </c>
      <c r="J5" s="22">
        <f>-(résultats!AA42-résultats!AA6)</f>
        <v>137.48254198599898</v>
      </c>
      <c r="K5" s="22">
        <f>-(résultats!AB42-résultats!AB6)</f>
        <v>172.58059967099689</v>
      </c>
      <c r="L5" s="22">
        <f>-(résultats!AC42-résultats!AC6)</f>
        <v>192.85948608798208</v>
      </c>
      <c r="M5" s="22">
        <f>-(résultats!AD42-résultats!AD6)</f>
        <v>199.27298670701566</v>
      </c>
      <c r="N5" s="22">
        <f>-(résultats!AE42-résultats!AE6)</f>
        <v>192.8711464870139</v>
      </c>
      <c r="O5" s="22">
        <f>-(résultats!AF42-résultats!AF6)</f>
        <v>109.5212139239884</v>
      </c>
      <c r="P5" s="22">
        <f>-(résultats!AG42-résultats!AG6)</f>
        <v>43.640612274990417</v>
      </c>
      <c r="Q5" s="22">
        <f>-(résultats!AH42-résultats!AH6)</f>
        <v>-19.115535705001093</v>
      </c>
      <c r="R5" s="22">
        <f>-(résultats!AI42-résultats!AI6)</f>
        <v>-66.365542882005684</v>
      </c>
      <c r="S5" s="22">
        <f>-(résultats!AJ42-résultats!AJ6)</f>
        <v>-122.35707786399871</v>
      </c>
      <c r="T5" s="22">
        <f>-(résultats!AK42-résultats!AK6)</f>
        <v>-162.60767383599887</v>
      </c>
      <c r="U5" s="22">
        <f>-(résultats!AL42-résultats!AL6)</f>
        <v>-193.14579680500901</v>
      </c>
      <c r="V5" s="22">
        <f>-(résultats!AM42-résultats!AM6)</f>
        <v>-226.87466132000554</v>
      </c>
      <c r="W5" s="22">
        <f>-(résultats!AN42-résultats!AN6)</f>
        <v>-259.32170811499236</v>
      </c>
      <c r="X5" s="22">
        <f>-(résultats!AO42-résultats!AO6)</f>
        <v>-289.82578464300605</v>
      </c>
      <c r="Y5" s="22">
        <f>-(résultats!AP42-résultats!AP6)</f>
        <v>-300.70745945803355</v>
      </c>
      <c r="Z5" s="22">
        <f>-(résultats!AQ42-résultats!AQ6)</f>
        <v>-306.84146839298774</v>
      </c>
      <c r="AA5" s="22">
        <f>-(résultats!AR42-résultats!AR6)</f>
        <v>-309.46653741598129</v>
      </c>
      <c r="AB5" s="22">
        <f>-(résultats!AS42-résultats!AS6)</f>
        <v>-307.34717584803002</v>
      </c>
      <c r="AC5" s="22">
        <f>-(résultats!AT42-résultats!AT6)</f>
        <v>-301.57408325595316</v>
      </c>
      <c r="AD5" s="22">
        <f>-(résultats!AU42-résultats!AU6)</f>
        <v>-312.66472628002521</v>
      </c>
      <c r="AE5" s="22">
        <f>-(résultats!AV42-résultats!AV6)</f>
        <v>-323.85628054296831</v>
      </c>
      <c r="AF5" s="22">
        <f>-(résultats!AW42-résultats!AW6)</f>
        <v>-333.15767322498141</v>
      </c>
      <c r="AG5" s="22">
        <f>-(résultats!AX42-résultats!AX6)</f>
        <v>-361.19708054297371</v>
      </c>
    </row>
    <row r="6" spans="1:35" x14ac:dyDescent="0.25">
      <c r="A6" s="7"/>
      <c r="B6" s="8" t="s">
        <v>119</v>
      </c>
      <c r="C6">
        <f>-(résultats!T43-résultats!T7)</f>
        <v>0</v>
      </c>
      <c r="D6">
        <f>-(résultats!U43-résultats!U7)</f>
        <v>0</v>
      </c>
      <c r="E6">
        <f>-(résultats!V43-résultats!V7)</f>
        <v>0</v>
      </c>
      <c r="F6" s="22">
        <f>-(résultats!W43-résultats!W7)</f>
        <v>0</v>
      </c>
      <c r="G6" s="22">
        <f>-(résultats!X43-résultats!X7)</f>
        <v>-1.3262088010505977</v>
      </c>
      <c r="H6" s="22">
        <f>-(résultats!Y43-résultats!Y7)</f>
        <v>-4.0723924101803277</v>
      </c>
      <c r="I6" s="22">
        <f>-(résultats!Z43-résultats!Z7)</f>
        <v>2.2920360636198893</v>
      </c>
      <c r="J6" s="22">
        <f>-(résultats!AA43-résultats!AA7)</f>
        <v>3.1497813090800264</v>
      </c>
      <c r="K6" s="22">
        <f>-(résultats!AB43-résultats!AB7)</f>
        <v>3.1821706181299305</v>
      </c>
      <c r="L6" s="22">
        <f>-(résultats!AC43-résultats!AC7)</f>
        <v>2.6186850664298618</v>
      </c>
      <c r="M6" s="22">
        <f>-(résultats!AD43-résultats!AD7)</f>
        <v>1.6228193915294469</v>
      </c>
      <c r="N6" s="22">
        <f>-(résultats!AE43-résultats!AE7)</f>
        <v>-9.1450631798579707E-3</v>
      </c>
      <c r="O6" s="22">
        <f>-(résultats!AF43-résultats!AF7)</f>
        <v>-2.6370900846995937</v>
      </c>
      <c r="P6" s="22">
        <f>-(résultats!AG43-résultats!AG7)</f>
        <v>-7.4762210437702379</v>
      </c>
      <c r="Q6" s="22">
        <f>-(résultats!AH43-résultats!AH7)</f>
        <v>-7.0582170568795846</v>
      </c>
      <c r="R6" s="22">
        <f>-(résultats!AI43-résultats!AI7)</f>
        <v>-11.668988629218802</v>
      </c>
      <c r="S6" s="22">
        <f>-(résultats!AJ43-résultats!AJ7)</f>
        <v>-13.385692843479774</v>
      </c>
      <c r="T6" s="22">
        <f>-(résultats!AK43-résultats!AK7)</f>
        <v>-12.924391551739973</v>
      </c>
      <c r="U6" s="22">
        <f>-(résultats!AL43-résultats!AL7)</f>
        <v>-14.312783781160761</v>
      </c>
      <c r="V6" s="22">
        <f>-(résultats!AM43-résultats!AM7)</f>
        <v>-15.632611284110681</v>
      </c>
      <c r="W6" s="22">
        <f>-(résultats!AN43-résultats!AN7)</f>
        <v>-16.830438646380571</v>
      </c>
      <c r="X6" s="22">
        <f>-(résultats!AO43-résultats!AO7)</f>
        <v>-17.934317515220755</v>
      </c>
      <c r="Y6" s="22">
        <f>-(résultats!AP43-résultats!AP7)</f>
        <v>-18.762015531199722</v>
      </c>
      <c r="Z6" s="22">
        <f>-(résultats!AQ43-résultats!AQ7)</f>
        <v>-19.605721931789958</v>
      </c>
      <c r="AA6" s="22">
        <f>-(résultats!AR43-résultats!AR7)</f>
        <v>-20.397452945158875</v>
      </c>
      <c r="AB6" s="22">
        <f>-(résultats!AS43-résultats!AS7)</f>
        <v>-21.183740262309584</v>
      </c>
      <c r="AC6" s="22">
        <f>-(résultats!AT43-résultats!AT7)</f>
        <v>-21.999280719470335</v>
      </c>
      <c r="AD6" s="22">
        <f>-(résultats!AU43-résultats!AU7)</f>
        <v>-22.590782685700106</v>
      </c>
      <c r="AE6" s="22">
        <f>-(résultats!AV43-résultats!AV7)</f>
        <v>-23.048541755579208</v>
      </c>
      <c r="AF6" s="22">
        <f>-(résultats!AW43-résultats!AW7)</f>
        <v>-23.551756550859864</v>
      </c>
      <c r="AG6" s="22">
        <f>-(résultats!AX43-résultats!AX7)</f>
        <v>-23.984571990011318</v>
      </c>
    </row>
    <row r="7" spans="1:35" x14ac:dyDescent="0.25">
      <c r="A7" s="7"/>
      <c r="B7" s="8" t="s">
        <v>123</v>
      </c>
      <c r="C7">
        <f>-(résultats!T44-résultats!T8+(résultats!T41-résultats!T5)+(résultats!T45-résultats!T9)+(résultats!T47-résultats!T11))</f>
        <v>0</v>
      </c>
      <c r="D7">
        <f>-(résultats!U44-résultats!U8+(résultats!U41-résultats!U5)+(résultats!U45-résultats!U9)+(résultats!U47-résultats!U11))</f>
        <v>0</v>
      </c>
      <c r="E7">
        <f>-(résultats!V44-résultats!V8+(résultats!V41-résultats!V5)+(résultats!V45-résultats!V9)+(résultats!V47-résultats!V11))</f>
        <v>0</v>
      </c>
      <c r="F7" s="22">
        <f>-(résultats!W44-résultats!W8+(résultats!W41-résultats!W5)+(résultats!W45-résultats!W9)+(résultats!W47-résultats!W11))</f>
        <v>0</v>
      </c>
      <c r="G7" s="22">
        <f>-(résultats!X44-résultats!X8+(résultats!X41-résultats!X5)+(résultats!X45-résultats!X9)+(résultats!X47-résultats!X11))</f>
        <v>34.414416463514499</v>
      </c>
      <c r="H7" s="22">
        <f>-(résultats!Y44-résultats!Y8+(résultats!Y41-résultats!Y5)+(résultats!Y45-résultats!Y9)+(résultats!Y47-résultats!Y11))</f>
        <v>42.15177397228581</v>
      </c>
      <c r="I7" s="22">
        <f>-(résultats!Z44-résultats!Z8+(résultats!Z41-résultats!Z5)+(résultats!Z45-résultats!Z9)+(résultats!Z47-résultats!Z11))</f>
        <v>-43.051541523509513</v>
      </c>
      <c r="J7" s="22">
        <f>-(résultats!AA44-résultats!AA8+(résultats!AA41-résultats!AA5)+(résultats!AA45-résultats!AA9)+(résultats!AA47-résultats!AA11))</f>
        <v>-228.37756278203051</v>
      </c>
      <c r="K7" s="22">
        <f>-(résultats!AB44-résultats!AB8+(résultats!AB41-résultats!AB5)+(résultats!AB45-résultats!AB9)+(résultats!AB47-résultats!AB11))</f>
        <v>-510.14546338211039</v>
      </c>
      <c r="L7" s="22">
        <f>-(résultats!AC44-résultats!AC8+(résultats!AC41-résultats!AC5)+(résultats!AC45-résultats!AC9)+(résultats!AC47-résultats!AC11))</f>
        <v>-868.21997210361224</v>
      </c>
      <c r="M7" s="22">
        <f>-(résultats!AD44-résultats!AD8+(résultats!AD41-résultats!AD5)+(résultats!AD45-résultats!AD9)+(résultats!AD47-résultats!AD11))</f>
        <v>-1287.0967457316856</v>
      </c>
      <c r="N7" s="22">
        <f>-(résultats!AE44-résultats!AE8+(résultats!AE41-résultats!AE5)+(résultats!AE45-résultats!AE9)+(résultats!AE47-résultats!AE11))</f>
        <v>-1811.0041882400328</v>
      </c>
      <c r="O7" s="22">
        <f>-(résultats!AF44-résultats!AF8+(résultats!AF41-résultats!AF5)+(résultats!AF45-résultats!AF9)+(résultats!AF47-résultats!AF11))</f>
        <v>-2342.6484170238709</v>
      </c>
      <c r="P7" s="22">
        <f>-(résultats!AG44-résultats!AG8+(résultats!AG41-résultats!AG5)+(résultats!AG45-résultats!AG9)+(résultats!AG47-résultats!AG11))</f>
        <v>-2843.4071943545478</v>
      </c>
      <c r="Q7" s="22">
        <f>-(résultats!AH44-résultats!AH8+(résultats!AH41-résultats!AH5)+(résultats!AH45-résultats!AH9)+(résultats!AH47-résultats!AH11))</f>
        <v>-3307.9769833235368</v>
      </c>
      <c r="R7" s="22">
        <f>-(résultats!AI44-résultats!AI8+(résultats!AI41-résultats!AI5)+(résultats!AI45-résultats!AI9)+(résultats!AI47-résultats!AI11))</f>
        <v>-3736.2576616447659</v>
      </c>
      <c r="S7" s="22">
        <f>-(résultats!AJ44-résultats!AJ8+(résultats!AJ41-résultats!AJ5)+(résultats!AJ45-résultats!AJ9)+(résultats!AJ47-résultats!AJ11))</f>
        <v>-4133.3629514800577</v>
      </c>
      <c r="T7" s="22">
        <f>-(résultats!AK44-résultats!AK8+(résultats!AK41-résultats!AK5)+(résultats!AK45-résultats!AK9)+(résultats!AK47-résultats!AK11))</f>
        <v>-4502.1139877913483</v>
      </c>
      <c r="U7" s="22">
        <f>-(résultats!AL44-résultats!AL8+(résultats!AL41-résultats!AL5)+(résultats!AL45-résultats!AL9)+(résultats!AL47-résultats!AL11))</f>
        <v>-4847.1029430247108</v>
      </c>
      <c r="V7" s="22">
        <f>-(résultats!AM44-résultats!AM8+(résultats!AM41-résultats!AM5)+(résultats!AM45-résultats!AM9)+(résultats!AM47-résultats!AM11))</f>
        <v>-5172.8030186347351</v>
      </c>
      <c r="W7" s="22">
        <f>-(résultats!AN44-résultats!AN8+(résultats!AN41-résultats!AN5)+(résultats!AN45-résultats!AN9)+(résultats!AN47-résultats!AN11))</f>
        <v>-5480.1494265149086</v>
      </c>
      <c r="X7" s="22">
        <f>-(résultats!AO44-résultats!AO8+(résultats!AO41-résultats!AO5)+(résultats!AO45-résultats!AO9)+(résultats!AO47-résultats!AO11))</f>
        <v>-5764.2100832085489</v>
      </c>
      <c r="Y7" s="22">
        <f>-(résultats!AP44-résultats!AP8+(résultats!AP41-résultats!AP5)+(résultats!AP45-résultats!AP9)+(résultats!AP47-résultats!AP11))</f>
        <v>-6035.2049881894636</v>
      </c>
      <c r="Z7" s="22">
        <f>-(résultats!AQ44-résultats!AQ8+(résultats!AQ41-résultats!AQ5)+(résultats!AQ45-résultats!AQ9)+(résultats!AQ47-résultats!AQ11))</f>
        <v>-6296.8941271530457</v>
      </c>
      <c r="AA7" s="22">
        <f>-(résultats!AR44-résultats!AR8+(résultats!AR41-résultats!AR5)+(résultats!AR45-résultats!AR9)+(résultats!AR47-résultats!AR11))</f>
        <v>-6551.5566571197887</v>
      </c>
      <c r="AB7" s="22">
        <f>-(résultats!AS44-résultats!AS8+(résultats!AS41-résultats!AS5)+(résultats!AS45-résultats!AS9)+(résultats!AS47-résultats!AS11))</f>
        <v>-6801.9446853617701</v>
      </c>
      <c r="AC7" s="22">
        <f>-(résultats!AT44-résultats!AT8+(résultats!AT41-résultats!AT5)+(résultats!AT45-résultats!AT9)+(résultats!AT47-résultats!AT11))</f>
        <v>-7056.7345125580032</v>
      </c>
      <c r="AD7" s="22">
        <f>-(résultats!AU44-résultats!AU8+(résultats!AU41-résultats!AU5)+(résultats!AU45-résultats!AU9)+(résultats!AU47-résultats!AU11))</f>
        <v>-7317.2838071072911</v>
      </c>
      <c r="AE7" s="22">
        <f>-(résultats!AV44-résultats!AV8+(résultats!AV41-résultats!AV5)+(résultats!AV45-résultats!AV9)+(résultats!AV47-résultats!AV11))</f>
        <v>-7583.5597146696527</v>
      </c>
      <c r="AF7" s="22">
        <f>-(résultats!AW44-résultats!AW8+(résultats!AW41-résultats!AW5)+(résultats!AW45-résultats!AW9)+(résultats!AW47-résultats!AW11))</f>
        <v>-7861.9220036318475</v>
      </c>
      <c r="AG7" s="22">
        <f>-(résultats!AX44-résultats!AX8+(résultats!AX41-résultats!AX5)+(résultats!AX45-résultats!AX9)+(résultats!AX47-résultats!AX11))</f>
        <v>-8150.4660012434433</v>
      </c>
    </row>
    <row r="8" spans="1:35" x14ac:dyDescent="0.25">
      <c r="A8" s="7"/>
      <c r="B8" s="8" t="s">
        <v>102</v>
      </c>
      <c r="C8">
        <f>-(résultats!T46-résultats!T10)</f>
        <v>0</v>
      </c>
      <c r="D8">
        <f>-(résultats!U46-résultats!U10)</f>
        <v>0</v>
      </c>
      <c r="E8">
        <f>-(résultats!V46-résultats!V10)</f>
        <v>0</v>
      </c>
      <c r="F8" s="22">
        <f>-(résultats!W46-résultats!W10)</f>
        <v>0</v>
      </c>
      <c r="G8" s="22">
        <f>-(résultats!X46-résultats!X10)</f>
        <v>1.7984423344023526</v>
      </c>
      <c r="H8" s="22">
        <f>-(résultats!Y46-résultats!Y10)</f>
        <v>-2.5573333234060556</v>
      </c>
      <c r="I8" s="22">
        <f>-(résultats!Z46-résultats!Z10)</f>
        <v>-16.315255515786703</v>
      </c>
      <c r="J8" s="22">
        <f>-(résultats!AA46-résultats!AA10)</f>
        <v>-36.385539889102802</v>
      </c>
      <c r="K8" s="22">
        <f>-(résultats!AB46-résultats!AB10)</f>
        <v>-62.23017446990707</v>
      </c>
      <c r="L8" s="22">
        <f>-(résultats!AC46-résultats!AC10)</f>
        <v>-92.884264833002817</v>
      </c>
      <c r="M8" s="22">
        <f>-(résultats!AD46-résultats!AD10)</f>
        <v>-128.05759549800132</v>
      </c>
      <c r="N8" s="22">
        <f>-(résultats!AE46-résultats!AE10)</f>
        <v>-168.57085155199456</v>
      </c>
      <c r="O8" s="22">
        <f>-(résultats!AF46-résultats!AF10)</f>
        <v>-210.75319278299867</v>
      </c>
      <c r="P8" s="22">
        <f>-(résultats!AG46-résultats!AG10)</f>
        <v>-251.00731213801191</v>
      </c>
      <c r="Q8" s="22">
        <f>-(résultats!AH46-résultats!AH10)</f>
        <v>-289.69902644300601</v>
      </c>
      <c r="R8" s="22">
        <f>-(résultats!AI46-résultats!AI10)</f>
        <v>-326.78224649900221</v>
      </c>
      <c r="S8" s="22">
        <f>-(résultats!AJ46-résultats!AJ10)</f>
        <v>-363.3454767499934</v>
      </c>
      <c r="T8" s="22">
        <f>-(résultats!AK46-résultats!AK10)</f>
        <v>-399.16710894300195</v>
      </c>
      <c r="U8" s="22">
        <f>-(résultats!AL46-résultats!AL10)</f>
        <v>-433.56382009100344</v>
      </c>
      <c r="V8" s="22">
        <f>-(résultats!AM46-résultats!AM10)</f>
        <v>-467.31709930300713</v>
      </c>
      <c r="W8" s="22">
        <f>-(résultats!AN46-résultats!AN10)</f>
        <v>-500.48318939100136</v>
      </c>
      <c r="X8" s="22">
        <f>-(résultats!AO46-résultats!AO10)</f>
        <v>-532.01895732799312</v>
      </c>
      <c r="Y8" s="22">
        <f>-(résultats!AP46-résultats!AP10)</f>
        <v>-563.01823681901442</v>
      </c>
      <c r="Z8" s="22">
        <f>-(résultats!AQ46-résultats!AQ10)</f>
        <v>-593.53993389901007</v>
      </c>
      <c r="AA8" s="22">
        <f>-(résultats!AR46-résultats!AR10)</f>
        <v>-623.45536887901835</v>
      </c>
      <c r="AB8" s="22">
        <f>-(résultats!AS46-résultats!AS10)</f>
        <v>-652.92771839798661</v>
      </c>
      <c r="AC8" s="22">
        <f>-(résultats!AT46-résultats!AT10)</f>
        <v>-682.72947778800153</v>
      </c>
      <c r="AD8" s="22">
        <f>-(résultats!AU46-résultats!AU10)</f>
        <v>-713.31971575098578</v>
      </c>
      <c r="AE8" s="22">
        <f>-(résultats!AV46-résultats!AV10)</f>
        <v>-744.42676593599026</v>
      </c>
      <c r="AF8" s="22">
        <f>-(résultats!AW46-résultats!AW10)</f>
        <v>-775.70235077600228</v>
      </c>
      <c r="AG8" s="22">
        <f>-(résultats!AX46-résultats!AX10)</f>
        <v>-809.05965690198354</v>
      </c>
    </row>
    <row r="9" spans="1:35" x14ac:dyDescent="0.25">
      <c r="A9" s="7"/>
      <c r="B9" s="8" t="s">
        <v>106</v>
      </c>
      <c r="C9">
        <f>-(résultats!T50-résultats!T14)</f>
        <v>0</v>
      </c>
      <c r="D9">
        <f>-(résultats!U50-résultats!U14)</f>
        <v>0</v>
      </c>
      <c r="E9">
        <f>-(résultats!V50-résultats!V14)</f>
        <v>0</v>
      </c>
      <c r="F9" s="22">
        <f>-(résultats!W50-résultats!W14)</f>
        <v>0</v>
      </c>
      <c r="G9" s="22">
        <f>-(résultats!X50-résultats!X14)</f>
        <v>41.554000000003725</v>
      </c>
      <c r="H9" s="22">
        <f>-(résultats!Y50-résultats!Y14)</f>
        <v>147.77020000002813</v>
      </c>
      <c r="I9" s="22">
        <f>-(résultats!Z50-résultats!Z14)</f>
        <v>282.62369999999646</v>
      </c>
      <c r="J9" s="22">
        <f>-(résultats!AA50-résultats!AA14)</f>
        <v>382.81920000002719</v>
      </c>
      <c r="K9" s="22">
        <f>-(résultats!AB50-résultats!AB14)</f>
        <v>422.000800000038</v>
      </c>
      <c r="L9" s="22">
        <f>-(résultats!AC50-résultats!AC14)</f>
        <v>405.46630000008736</v>
      </c>
      <c r="M9" s="22">
        <f>-(résultats!AD50-résultats!AD14)</f>
        <v>341.21120000001974</v>
      </c>
      <c r="N9" s="22">
        <f>-(résultats!AE50-résultats!AE14)</f>
        <v>154.27700000000186</v>
      </c>
      <c r="O9" s="22">
        <f>-(résultats!AF50-résultats!AF14)</f>
        <v>-122.33519999997225</v>
      </c>
      <c r="P9" s="22">
        <f>-(résultats!AG50-résultats!AG14)</f>
        <v>-414.94990000000689</v>
      </c>
      <c r="Q9" s="22">
        <f>-(résultats!AH50-résultats!AH14)</f>
        <v>-694.35860000003595</v>
      </c>
      <c r="R9" s="22">
        <f>-(résultats!AI50-résultats!AI14)</f>
        <v>-979.40190000005532</v>
      </c>
      <c r="S9" s="22">
        <f>-(résultats!AJ50-résultats!AJ14)</f>
        <v>-1264.8321999999462</v>
      </c>
      <c r="T9" s="22">
        <f>-(résultats!AK50-résultats!AK14)</f>
        <v>-1542.1321999999927</v>
      </c>
      <c r="U9" s="22">
        <f>-(résultats!AL50-résultats!AL14)</f>
        <v>-1818.6321999999927</v>
      </c>
      <c r="V9" s="22">
        <f>-(résultats!AM50-résultats!AM14)</f>
        <v>-2097.1495000000577</v>
      </c>
      <c r="W9" s="22">
        <f>-(résultats!AN50-résultats!AN14)</f>
        <v>-2374.5719999999274</v>
      </c>
      <c r="X9" s="22">
        <f>-(résultats!AO50-résultats!AO14)</f>
        <v>-2640.1520000000019</v>
      </c>
      <c r="Y9" s="22">
        <f>-(résultats!AP50-résultats!AP14)</f>
        <v>-2898.1609999998473</v>
      </c>
      <c r="Z9" s="22">
        <f>-(résultats!AQ50-résultats!AQ14)</f>
        <v>-3150.8890000001993</v>
      </c>
      <c r="AA9" s="22">
        <f>-(résultats!AR50-résultats!AR14)</f>
        <v>-3398.3559999999125</v>
      </c>
      <c r="AB9" s="22">
        <f>-(résultats!AS50-résultats!AS14)</f>
        <v>-3640.6630000001751</v>
      </c>
      <c r="AC9" s="22">
        <f>-(résultats!AT50-résultats!AT14)</f>
        <v>-3889.7250000000931</v>
      </c>
      <c r="AD9" s="22">
        <f>-(résultats!AU50-résultats!AU14)</f>
        <v>-4142.3690000001807</v>
      </c>
      <c r="AE9" s="22">
        <f>-(résultats!AV50-résultats!AV14)</f>
        <v>-4394.1810000000987</v>
      </c>
      <c r="AF9" s="22">
        <f>-(résultats!AW50-résultats!AW14)</f>
        <v>-4659.6820000000298</v>
      </c>
      <c r="AG9" s="22">
        <f>-(résultats!AX50-résultats!AX14)</f>
        <v>-4921.8049999999348</v>
      </c>
    </row>
    <row r="10" spans="1:35" x14ac:dyDescent="0.25">
      <c r="A10" s="7"/>
      <c r="B10" s="8" t="s">
        <v>124</v>
      </c>
      <c r="C10">
        <f>-((résultats!T49-résultats!T13)+(résultats!T48-résultats!T12))</f>
        <v>0</v>
      </c>
      <c r="D10">
        <f>-((résultats!U49-résultats!U13)+(résultats!U48-résultats!U12))</f>
        <v>0</v>
      </c>
      <c r="E10">
        <f>-((résultats!V49-résultats!V13)+(résultats!V48-résultats!V12))</f>
        <v>0</v>
      </c>
      <c r="F10" s="22">
        <f>-((résultats!W49-résultats!W13)+(résultats!W48-résultats!W12))</f>
        <v>0</v>
      </c>
      <c r="G10" s="22">
        <f>-((résultats!X49-résultats!X13)+(résultats!X48-résultats!X12))</f>
        <v>-43.044195892500284</v>
      </c>
      <c r="H10" s="22">
        <f>-((résultats!Y49-résultats!Y13)+(résultats!Y48-résultats!Y12))</f>
        <v>-89.096295754701714</v>
      </c>
      <c r="I10" s="22">
        <f>-((résultats!Z49-résultats!Z13)+(résultats!Z48-résultats!Z12))</f>
        <v>-132.41674722150128</v>
      </c>
      <c r="J10" s="22">
        <f>-((résultats!AA49-résultats!AA13)+(résultats!AA48-résultats!AA12))</f>
        <v>-170.61828147180495</v>
      </c>
      <c r="K10" s="22">
        <f>-((résultats!AB49-résultats!AB13)+(résultats!AB48-résultats!AB12))</f>
        <v>-205.53716126880136</v>
      </c>
      <c r="L10" s="22">
        <f>-((résultats!AC49-résultats!AC13)+(résultats!AC48-résultats!AC12))</f>
        <v>-238.70030073519592</v>
      </c>
      <c r="M10" s="22">
        <f>-((résultats!AD49-résultats!AD13)+(résultats!AD48-résultats!AD12))</f>
        <v>-270.90303661230064</v>
      </c>
      <c r="N10" s="22">
        <f>-((résultats!AE49-résultats!AE13)+(résultats!AE48-résultats!AE12))</f>
        <v>-289.68739996950535</v>
      </c>
      <c r="O10" s="22">
        <f>-((résultats!AF49-résultats!AF13)+(résultats!AF48-résultats!AF12))</f>
        <v>-304.93297819350119</v>
      </c>
      <c r="P10" s="22">
        <f>-((résultats!AG49-résultats!AG13)+(résultats!AG48-résultats!AG12))</f>
        <v>-319.39743255689973</v>
      </c>
      <c r="Q10" s="22">
        <f>-((résultats!AH49-résultats!AH13)+(résultats!AH48-résultats!AH12))</f>
        <v>-332.60893008190396</v>
      </c>
      <c r="R10" s="22">
        <f>-((résultats!AI49-résultats!AI13)+(résultats!AI48-résultats!AI12))</f>
        <v>-344.1384277439065</v>
      </c>
      <c r="S10" s="22">
        <f>-((résultats!AJ49-résultats!AJ13)+(résultats!AJ48-résultats!AJ12))</f>
        <v>-355.44939562120271</v>
      </c>
      <c r="T10" s="22">
        <f>-((résultats!AK49-résultats!AK13)+(résultats!AK48-résultats!AK12))</f>
        <v>-367.33405846479582</v>
      </c>
      <c r="U10" s="22">
        <f>-((résultats!AL49-résultats!AL13)+(résultats!AL48-résultats!AL12))</f>
        <v>-378.2519252384991</v>
      </c>
      <c r="V10" s="22">
        <f>-((résultats!AM49-résultats!AM13)+(résultats!AM48-résultats!AM12))</f>
        <v>-388.71244103139907</v>
      </c>
      <c r="W10" s="22">
        <f>-((résultats!AN49-résultats!AN13)+(résultats!AN48-résultats!AN12))</f>
        <v>-398.97973262489904</v>
      </c>
      <c r="X10" s="22">
        <f>-((résultats!AO49-résultats!AO13)+(résultats!AO48-résultats!AO12))</f>
        <v>-406.84157890899951</v>
      </c>
      <c r="Y10" s="22">
        <f>-((résultats!AP49-résultats!AP13)+(résultats!AP48-résultats!AP12))</f>
        <v>-414.52839848459917</v>
      </c>
      <c r="Z10" s="22">
        <f>-((résultats!AQ49-résultats!AQ13)+(résultats!AQ48-résultats!AQ12))</f>
        <v>-421.81100491590041</v>
      </c>
      <c r="AA10" s="22">
        <f>-((résultats!AR49-résultats!AR13)+(résultats!AR48-résultats!AR12))</f>
        <v>-428.65091502350697</v>
      </c>
      <c r="AB10" s="22">
        <f>-((résultats!AS49-résultats!AS13)+(résultats!AS48-résultats!AS12))</f>
        <v>-435.28299647679887</v>
      </c>
      <c r="AC10" s="22">
        <f>-((résultats!AT49-résultats!AT13)+(résultats!AT48-résultats!AT12))</f>
        <v>-443.75253241370592</v>
      </c>
      <c r="AD10" s="22">
        <f>-((résultats!AU49-résultats!AU13)+(résultats!AU48-résultats!AU12))</f>
        <v>-453.04023966940076</v>
      </c>
      <c r="AE10" s="22">
        <f>-((résultats!AV49-résultats!AV13)+(résultats!AV48-résultats!AV12))</f>
        <v>-462.60086944930299</v>
      </c>
      <c r="AF10" s="22">
        <f>-((résultats!AW49-résultats!AW13)+(résultats!AW48-résultats!AW12))</f>
        <v>-471.71634350080058</v>
      </c>
      <c r="AG10" s="22">
        <f>-((résultats!AX49-résultats!AX13)+(résultats!AX48-résultats!AX12))</f>
        <v>-482.53370259009898</v>
      </c>
    </row>
    <row r="11" spans="1:35" x14ac:dyDescent="0.25">
      <c r="A11" s="7"/>
      <c r="B11" s="8" t="s">
        <v>107</v>
      </c>
      <c r="C11">
        <f>-(résultats!T51-résultats!T15)</f>
        <v>0</v>
      </c>
      <c r="D11">
        <f>-(résultats!U51-résultats!U15)</f>
        <v>0</v>
      </c>
      <c r="E11">
        <f>-(résultats!V51-résultats!V15)</f>
        <v>0</v>
      </c>
      <c r="F11" s="22">
        <f>-(résultats!W51-résultats!W15)</f>
        <v>0</v>
      </c>
      <c r="G11" s="22">
        <f>-(résultats!X51-résultats!X15)</f>
        <v>0</v>
      </c>
      <c r="H11" s="22">
        <f>-(résultats!Y51-résultats!Y15)</f>
        <v>0</v>
      </c>
      <c r="I11" s="22">
        <f>-(résultats!Z51-résultats!Z15)</f>
        <v>0</v>
      </c>
      <c r="J11" s="22">
        <f>-(résultats!AA51-résultats!AA15)</f>
        <v>0</v>
      </c>
      <c r="K11" s="22">
        <f>-(résultats!AB51-résultats!AB15)</f>
        <v>0</v>
      </c>
      <c r="L11" s="22">
        <f>-(résultats!AC51-résultats!AC15)</f>
        <v>0</v>
      </c>
      <c r="M11" s="22">
        <f>-(résultats!AD51-résultats!AD15)</f>
        <v>0</v>
      </c>
      <c r="N11" s="22">
        <f>-(résultats!AE51-résultats!AE15)</f>
        <v>0</v>
      </c>
      <c r="O11" s="22">
        <f>-(résultats!AF51-résultats!AF15)</f>
        <v>0</v>
      </c>
      <c r="P11" s="22">
        <f>-(résultats!AG51-résultats!AG15)</f>
        <v>0</v>
      </c>
      <c r="Q11" s="22">
        <f>-(résultats!AH51-résultats!AH15)</f>
        <v>0</v>
      </c>
      <c r="R11" s="22">
        <f>-(résultats!AI51-résultats!AI15)</f>
        <v>0</v>
      </c>
      <c r="S11" s="22">
        <f>-(résultats!AJ51-résultats!AJ15)</f>
        <v>0</v>
      </c>
      <c r="T11" s="22">
        <f>-(résultats!AK51-résultats!AK15)</f>
        <v>0</v>
      </c>
      <c r="U11" s="22">
        <f>-(résultats!AL51-résultats!AL15)</f>
        <v>0</v>
      </c>
      <c r="V11" s="22">
        <f>-(résultats!AM51-résultats!AM15)</f>
        <v>0</v>
      </c>
      <c r="W11" s="22">
        <f>-(résultats!AN51-résultats!AN15)</f>
        <v>0</v>
      </c>
      <c r="X11" s="22">
        <f>-(résultats!AO51-résultats!AO15)</f>
        <v>0</v>
      </c>
      <c r="Y11" s="22">
        <f>-(résultats!AP51-résultats!AP15)</f>
        <v>0</v>
      </c>
      <c r="Z11" s="22">
        <f>-(résultats!AQ51-résultats!AQ15)</f>
        <v>0</v>
      </c>
      <c r="AA11" s="22">
        <f>-(résultats!AR51-résultats!AR15)</f>
        <v>0</v>
      </c>
      <c r="AB11" s="22">
        <f>-(résultats!AS51-résultats!AS15)</f>
        <v>0</v>
      </c>
      <c r="AC11" s="22">
        <f>-(résultats!AT51-résultats!AT15)</f>
        <v>0</v>
      </c>
      <c r="AD11" s="22">
        <f>-(résultats!AU51-résultats!AU15)</f>
        <v>0</v>
      </c>
      <c r="AE11" s="22">
        <f>-(résultats!AV51-résultats!AV15)</f>
        <v>0</v>
      </c>
      <c r="AF11" s="22">
        <f>-(résultats!AW51-résultats!AW15)</f>
        <v>0</v>
      </c>
      <c r="AG11" s="22">
        <f>-(résultats!AX51-résultats!AX15)</f>
        <v>0</v>
      </c>
    </row>
    <row r="12" spans="1:35" x14ac:dyDescent="0.25">
      <c r="A12" s="7"/>
      <c r="B12" s="8" t="s">
        <v>127</v>
      </c>
      <c r="C12">
        <f>-(résultats!T52-résultats!T16)</f>
        <v>0</v>
      </c>
      <c r="D12">
        <f>-(résultats!U52-résultats!U16)</f>
        <v>0</v>
      </c>
      <c r="E12">
        <f>-(résultats!V52-résultats!V16)</f>
        <v>0</v>
      </c>
      <c r="F12" s="22">
        <f>-(résultats!W52-résultats!W16)</f>
        <v>0</v>
      </c>
      <c r="G12" s="22">
        <f>-(résultats!X52-résultats!X16)</f>
        <v>0.79054500000006556</v>
      </c>
      <c r="H12" s="22">
        <f>-(résultats!Y52-résultats!Y16)</f>
        <v>2.152495799999997</v>
      </c>
      <c r="I12" s="22">
        <f>-(résultats!Z52-résultats!Z16)</f>
        <v>2.3574249999999211</v>
      </c>
      <c r="J12" s="22">
        <f>-(résultats!AA52-résultats!AA16)</f>
        <v>1.7808381000000395</v>
      </c>
      <c r="K12" s="22">
        <f>-(résultats!AB52-résultats!AB16)</f>
        <v>0.94805089999999836</v>
      </c>
      <c r="L12" s="22">
        <f>-(résultats!AC52-résultats!AC16)</f>
        <v>0.26746950000000425</v>
      </c>
      <c r="M12" s="22">
        <f>-(résultats!AD52-résultats!AD16)</f>
        <v>-0.22902190000002065</v>
      </c>
      <c r="N12" s="22">
        <f>-(résultats!AE52-résultats!AE16)</f>
        <v>-0.19340650000003734</v>
      </c>
      <c r="O12" s="22">
        <f>-(résultats!AF52-résultats!AF16)</f>
        <v>-0.37751699999989796</v>
      </c>
      <c r="P12" s="22">
        <f>-(résultats!AG52-résultats!AG16)</f>
        <v>4.3153999999958614E-2</v>
      </c>
      <c r="Q12" s="22">
        <f>-(résultats!AH52-résultats!AH16)</f>
        <v>0.18398999999999432</v>
      </c>
      <c r="R12" s="22">
        <f>-(résultats!AI52-résultats!AI16)</f>
        <v>0.45994399999995039</v>
      </c>
      <c r="S12" s="22">
        <f>-(résultats!AJ52-résultats!AJ16)</f>
        <v>0.78085600000008526</v>
      </c>
      <c r="T12" s="22">
        <f>-(résultats!AK52-résultats!AK16)</f>
        <v>0.98900299999991148</v>
      </c>
      <c r="U12" s="22">
        <f>-(résultats!AL52-résultats!AL16)</f>
        <v>1.2006810000002588</v>
      </c>
      <c r="V12" s="22">
        <f>-(résultats!AM52-résultats!AM16)</f>
        <v>1.4250120000001516</v>
      </c>
      <c r="W12" s="22">
        <f>-(résultats!AN52-résultats!AN16)</f>
        <v>1.5990489999999227</v>
      </c>
      <c r="X12" s="22">
        <f>-(résultats!AO52-résultats!AO16)</f>
        <v>1.6308439999997972</v>
      </c>
      <c r="Y12" s="22">
        <f>-(résultats!AP52-résultats!AP16)</f>
        <v>1.6326170000002094</v>
      </c>
      <c r="Z12" s="22">
        <f>-(résultats!AQ52-résultats!AQ16)</f>
        <v>1.6509000000000924</v>
      </c>
      <c r="AA12" s="22">
        <f>-(résultats!AR52-résultats!AR16)</f>
        <v>1.6676959999999781</v>
      </c>
      <c r="AB12" s="22">
        <f>-(résultats!AS52-résultats!AS16)</f>
        <v>1.6745820000001004</v>
      </c>
      <c r="AC12" s="22">
        <f>-(résultats!AT52-résultats!AT16)</f>
        <v>1.7980229999998301</v>
      </c>
      <c r="AD12" s="22">
        <f>-(résultats!AU52-résultats!AU16)</f>
        <v>1.8078380000001744</v>
      </c>
      <c r="AE12" s="22">
        <f>-(résultats!AV52-résultats!AV16)</f>
        <v>1.7528319999996711</v>
      </c>
      <c r="AF12" s="22">
        <f>-(résultats!AW52-résultats!AW16)</f>
        <v>2.1132720000000518</v>
      </c>
      <c r="AG12" s="22">
        <f>-(résultats!AX52-résultats!AX16)</f>
        <v>2.0206889999999476</v>
      </c>
    </row>
    <row r="13" spans="1:35" x14ac:dyDescent="0.25">
      <c r="A13" s="7"/>
      <c r="B13" s="8" t="s">
        <v>226</v>
      </c>
      <c r="C13">
        <f>SUM(résultats!T53:T57)-SUM(résultats!T17:T21)</f>
        <v>0</v>
      </c>
      <c r="D13">
        <f>SUM(résultats!U53:U57)-SUM(résultats!U17:U21)</f>
        <v>0</v>
      </c>
      <c r="E13">
        <f>SUM(résultats!V53:V57)-SUM(résultats!V17:V21)</f>
        <v>0</v>
      </c>
      <c r="F13" s="22">
        <f>-(SUM(résultats!W53:W57)-SUM(résultats!W17:W21))</f>
        <v>0</v>
      </c>
      <c r="G13" s="22">
        <f>-(SUM(résultats!X53:X57)-SUM(résultats!X17:X21))</f>
        <v>355.82958299999882</v>
      </c>
      <c r="H13" s="22">
        <f>-(SUM(résultats!Y53:Y57)-SUM(résultats!Y17:Y21))</f>
        <v>860.6525359999996</v>
      </c>
      <c r="I13" s="22">
        <f>-(SUM(résultats!Z53:Z57)-SUM(résultats!Z17:Z21))</f>
        <v>1224.2261210000015</v>
      </c>
      <c r="J13" s="22">
        <f>-(SUM(résultats!AA53:AA57)-SUM(résultats!AA17:AA21))</f>
        <v>1546.4214000000029</v>
      </c>
      <c r="K13" s="22">
        <f>-(SUM(résultats!AB53:AB57)-SUM(résultats!AB17:AB21))</f>
        <v>1842.4870630000023</v>
      </c>
      <c r="L13" s="22">
        <f>-(SUM(résultats!AC53:AC57)-SUM(résultats!AC17:AC21))</f>
        <v>2124.7108640000006</v>
      </c>
      <c r="M13" s="22">
        <f>-(SUM(résultats!AD53:AD57)-SUM(résultats!AD17:AD21))</f>
        <v>2405.9871500000008</v>
      </c>
      <c r="N13" s="22">
        <f>-(SUM(résultats!AE53:AE57)-SUM(résultats!AE17:AE21))</f>
        <v>2484.5040349999999</v>
      </c>
      <c r="O13" s="22">
        <f>-(SUM(résultats!AF53:AF57)-SUM(résultats!AF17:AF21))</f>
        <v>2539.9716260000005</v>
      </c>
      <c r="P13" s="22">
        <f>-(SUM(résultats!AG53:AG57)-SUM(résultats!AG17:AG21))</f>
        <v>2593.0564949999989</v>
      </c>
      <c r="Q13" s="22">
        <f>-(SUM(résultats!AH53:AH57)-SUM(résultats!AH17:AH21))</f>
        <v>2646.9371720000017</v>
      </c>
      <c r="R13" s="22">
        <f>-(SUM(résultats!AI53:AI57)-SUM(résultats!AI17:AI21))</f>
        <v>2705.5074359999999</v>
      </c>
      <c r="S13" s="22">
        <f>-(SUM(résultats!AJ53:AJ57)-SUM(résultats!AJ17:AJ21))</f>
        <v>2777.559831999999</v>
      </c>
      <c r="T13" s="22">
        <f>-(SUM(résultats!AK53:AK57)-SUM(résultats!AK17:AK21))</f>
        <v>2853.6275870000009</v>
      </c>
      <c r="U13" s="22">
        <f>-(SUM(résultats!AL53:AL57)-SUM(résultats!AL17:AL21))</f>
        <v>2933.2075299999997</v>
      </c>
      <c r="V13" s="22">
        <f>-(SUM(résultats!AM53:AM57)-SUM(résultats!AM17:AM21))</f>
        <v>3016.336847999999</v>
      </c>
      <c r="W13" s="22">
        <f>-(SUM(résultats!AN53:AN57)-SUM(résultats!AN17:AN21))</f>
        <v>3102.0482920000013</v>
      </c>
      <c r="X13" s="22">
        <f>-(SUM(résultats!AO53:AO57)-SUM(résultats!AO17:AO21))</f>
        <v>3317.7171309999994</v>
      </c>
      <c r="Y13" s="22">
        <f>-(SUM(résultats!AP53:AP57)-SUM(résultats!AP17:AP21))</f>
        <v>3534.9793630000022</v>
      </c>
      <c r="Z13" s="22">
        <f>-(SUM(résultats!AQ53:AQ57)-SUM(résultats!AQ17:AQ21))</f>
        <v>3760.4756249999991</v>
      </c>
      <c r="AA13" s="22">
        <f>-(SUM(résultats!AR53:AR57)-SUM(résultats!AR17:AR21))</f>
        <v>3998.1147470000014</v>
      </c>
      <c r="AB13" s="22">
        <f>-(SUM(résultats!AS53:AS57)-SUM(résultats!AS17:AS21))</f>
        <v>4246.1287219999995</v>
      </c>
      <c r="AC13" s="22">
        <f>-(SUM(résultats!AT53:AT57)-SUM(résultats!AT17:AT21))</f>
        <v>4394.9494740000027</v>
      </c>
      <c r="AD13" s="22">
        <f>-(SUM(résultats!AU53:AU57)-SUM(résultats!AU17:AU21))</f>
        <v>4557.819733999997</v>
      </c>
      <c r="AE13" s="22">
        <f>-(SUM(résultats!AV53:AV57)-SUM(résultats!AV17:AV21))</f>
        <v>4727.4984619999996</v>
      </c>
      <c r="AF13" s="22">
        <f>-(SUM(résultats!AW53:AW57)-SUM(résultats!AW17:AW21))</f>
        <v>4903.0840829999979</v>
      </c>
      <c r="AG13" s="22">
        <f>-(SUM(résultats!AX53:AX57)-SUM(résultats!AX17:AX21))</f>
        <v>5088.5008220000018</v>
      </c>
    </row>
    <row r="14" spans="1:35" x14ac:dyDescent="0.25">
      <c r="A14" s="7"/>
      <c r="B14" s="12" t="s">
        <v>125</v>
      </c>
      <c r="C14">
        <f>(résultats!T58-résultats!T22)</f>
        <v>0</v>
      </c>
      <c r="D14">
        <f>(résultats!U58-résultats!U22)</f>
        <v>0</v>
      </c>
      <c r="E14">
        <f>(résultats!V58-résultats!V22)</f>
        <v>0</v>
      </c>
      <c r="F14" s="22">
        <f>(résultats!W58-résultats!W22)</f>
        <v>0</v>
      </c>
      <c r="G14" s="22">
        <f>(résultats!X58-résultats!X22)</f>
        <v>-615.96100000012666</v>
      </c>
      <c r="H14" s="22">
        <f>(résultats!Y58-résultats!Y22)</f>
        <v>-943.78800000017509</v>
      </c>
      <c r="I14" s="22">
        <f>(résultats!Z58-résultats!Z22)</f>
        <v>-768.83400000003166</v>
      </c>
      <c r="J14" s="22">
        <f>(résultats!AA58-résultats!AA22)</f>
        <v>-406.31099999998696</v>
      </c>
      <c r="K14" s="22">
        <f>(résultats!AB58-résultats!AB22)</f>
        <v>-1.4180000000633299</v>
      </c>
      <c r="L14" s="22">
        <f>(résultats!AC58-résultats!AC22)</f>
        <v>437.72999999998137</v>
      </c>
      <c r="M14" s="22">
        <f>(résultats!AD58-résultats!AD22)</f>
        <v>987.87400000006892</v>
      </c>
      <c r="N14" s="22">
        <f>(résultats!AE58-résultats!AE22)</f>
        <v>2547.5450000001583</v>
      </c>
      <c r="O14" s="22">
        <f>(résultats!AF58-résultats!AF22)</f>
        <v>3270.87900000019</v>
      </c>
      <c r="P14" s="22">
        <f>(résultats!AG58-résultats!AG22)</f>
        <v>3846.5779999999795</v>
      </c>
      <c r="Q14" s="22">
        <f>(résultats!AH58-résultats!AH22)</f>
        <v>4309.5389999998733</v>
      </c>
      <c r="R14" s="22">
        <f>(résultats!AI58-résultats!AI22)</f>
        <v>4832.6239999998361</v>
      </c>
      <c r="S14" s="22">
        <f>(résultats!AJ58-résultats!AJ22)</f>
        <v>5244.9089999999851</v>
      </c>
      <c r="T14" s="22">
        <f>(résultats!AK58-résultats!AK22)</f>
        <v>5613.627000000095</v>
      </c>
      <c r="U14" s="22">
        <f>(résultats!AL58-résultats!AL22)</f>
        <v>6001.2620000001043</v>
      </c>
      <c r="V14" s="22">
        <f>(résultats!AM58-résultats!AM22)</f>
        <v>6360.2409999999218</v>
      </c>
      <c r="W14" s="22">
        <f>(résultats!AN58-résultats!AN22)</f>
        <v>6710.1150000002235</v>
      </c>
      <c r="X14" s="22">
        <f>(résultats!AO58-résultats!AO22)</f>
        <v>6893.3079999997281</v>
      </c>
      <c r="Y14" s="22">
        <f>(résultats!AP58-résultats!AP22)</f>
        <v>7095.2099999999627</v>
      </c>
      <c r="Z14" s="22">
        <f>(résultats!AQ58-résultats!AQ22)</f>
        <v>7293.8930000001565</v>
      </c>
      <c r="AA14" s="22">
        <f>(résultats!AR58-résultats!AR22)</f>
        <v>7472.4099999996834</v>
      </c>
      <c r="AB14" s="22">
        <f>(résultats!AS58-résultats!AS22)</f>
        <v>7642.4759999997914</v>
      </c>
      <c r="AC14" s="22">
        <f>(résultats!AT58-résultats!AT22)</f>
        <v>7944.2820000001229</v>
      </c>
      <c r="AD14" s="22">
        <f>(résultats!AU58-résultats!AU22)</f>
        <v>8260.6569999996573</v>
      </c>
      <c r="AE14" s="22">
        <f>(résultats!AV58-résultats!AV22)</f>
        <v>8597.1399999996647</v>
      </c>
      <c r="AF14" s="22">
        <f>(résultats!AW58-résultats!AW22)</f>
        <v>9068.1940000001341</v>
      </c>
      <c r="AG14" s="22">
        <f>(résultats!AX58-résultats!AX22)</f>
        <v>9301.0740000000224</v>
      </c>
    </row>
    <row r="15" spans="1:35" x14ac:dyDescent="0.25">
      <c r="A15" s="7"/>
      <c r="B15" s="9" t="s">
        <v>112</v>
      </c>
      <c r="C15">
        <f>(résultats!T59-résultats!T23+(résultats!T60-résultats!T24)+(résultats!T61-résultats!T25))</f>
        <v>0</v>
      </c>
      <c r="D15">
        <f>(résultats!U59-résultats!U23+(résultats!U60-résultats!U24)+(résultats!U61-résultats!U25))</f>
        <v>0</v>
      </c>
      <c r="E15">
        <f>(résultats!V59-résultats!V23+(résultats!V60-résultats!V24)+(résultats!V61-résultats!V25))</f>
        <v>0</v>
      </c>
      <c r="F15" s="22">
        <f>(résultats!W59-résultats!W23+(résultats!W60-résultats!W24)+(résultats!W61-résultats!W25))</f>
        <v>0</v>
      </c>
      <c r="G15" s="22">
        <f>(résultats!X59-résultats!X23+(résultats!X60-résultats!X24)+(résultats!X61-résultats!X25))</f>
        <v>10.375426999957199</v>
      </c>
      <c r="H15" s="22">
        <f>(résultats!Y59-résultats!Y23+(résultats!Y60-résultats!Y24)+(résultats!Y61-résultats!Y25))</f>
        <v>105.54580500002339</v>
      </c>
      <c r="I15" s="22">
        <f>(résultats!Z59-résultats!Z23+(résultats!Z60-résultats!Z24)+(résultats!Z61-résultats!Z25))</f>
        <v>286.75069599995186</v>
      </c>
      <c r="J15" s="22">
        <f>(résultats!AA59-résultats!AA23+(résultats!AA60-résultats!AA24)+(résultats!AA61-résultats!AA25))</f>
        <v>481.40511800002787</v>
      </c>
      <c r="K15" s="22">
        <f>(résultats!AB59-résultats!AB23+(résultats!AB60-résultats!AB24)+(résultats!AB61-résultats!AB25))</f>
        <v>674.59410300001764</v>
      </c>
      <c r="L15" s="22">
        <f>(résultats!AC59-résultats!AC23+(résultats!AC60-résultats!AC24)+(résultats!AC61-résultats!AC25))</f>
        <v>869.55672600002799</v>
      </c>
      <c r="M15" s="22">
        <f>(résultats!AD59-résultats!AD23+(résultats!AD60-résultats!AD24)+(résultats!AD61-résultats!AD25))</f>
        <v>1059.3474099999967</v>
      </c>
      <c r="N15" s="22">
        <f>(résultats!AE59-résultats!AE23+(résultats!AE60-résultats!AE24)+(résultats!AE61-résultats!AE25))</f>
        <v>1173.1918500000065</v>
      </c>
      <c r="O15" s="22">
        <f>(résultats!AF59-résultats!AF23+(résultats!AF60-résultats!AF24)+(résultats!AF61-résultats!AF25))</f>
        <v>1305.0709800000404</v>
      </c>
      <c r="P15" s="22">
        <f>(résultats!AG59-résultats!AG23+(résultats!AG60-résultats!AG24)+(résultats!AG61-résultats!AG25))</f>
        <v>1407.1026799999599</v>
      </c>
      <c r="Q15" s="22">
        <f>(résultats!AH59-résultats!AH23+(résultats!AH60-résultats!AH24)+(résultats!AH61-résultats!AH25))</f>
        <v>1513.5531299999639</v>
      </c>
      <c r="R15" s="22">
        <f>(résultats!AI59-résultats!AI23+(résultats!AI60-résultats!AI24)+(résultats!AI61-résultats!AI25))</f>
        <v>1604.5241600000354</v>
      </c>
      <c r="S15" s="22">
        <f>(résultats!AJ59-résultats!AJ23+(résultats!AJ60-résultats!AJ24)+(résultats!AJ61-résultats!AJ25))</f>
        <v>1685.5734000000048</v>
      </c>
      <c r="T15" s="22">
        <f>(résultats!AK59-résultats!AK23+(résultats!AK60-résultats!AK24)+(résultats!AK61-résultats!AK25))</f>
        <v>1763.6941000000188</v>
      </c>
      <c r="U15" s="22">
        <f>(résultats!AL59-résultats!AL23+(résultats!AL60-résultats!AL24)+(résultats!AL61-résultats!AL25))</f>
        <v>1837.2444600000345</v>
      </c>
      <c r="V15" s="22">
        <f>(résultats!AM59-résultats!AM23+(résultats!AM60-résultats!AM24)+(résultats!AM61-résultats!AM25))</f>
        <v>1906.3103299999875</v>
      </c>
      <c r="W15" s="22">
        <f>(résultats!AN59-résultats!AN23+(résultats!AN60-résultats!AN24)+(résultats!AN61-résultats!AN25))</f>
        <v>1972.6456399999824</v>
      </c>
      <c r="X15" s="22">
        <f>(résultats!AO59-résultats!AO23+(résultats!AO60-résultats!AO24)+(résultats!AO61-résultats!AO25))</f>
        <v>2031.6140400000368</v>
      </c>
      <c r="Y15" s="22">
        <f>(résultats!AP59-résultats!AP23+(résultats!AP60-résultats!AP24)+(résultats!AP61-résultats!AP25))</f>
        <v>2095.0624100000005</v>
      </c>
      <c r="Z15" s="22">
        <f>(résultats!AQ59-résultats!AQ23+(résultats!AQ60-résultats!AQ24)+(résultats!AQ61-résultats!AQ25))</f>
        <v>2162.5580000000427</v>
      </c>
      <c r="AA15" s="22">
        <f>(résultats!AR59-résultats!AR23+(résultats!AR60-résultats!AR24)+(résultats!AR61-résultats!AR25))</f>
        <v>2229.6937800000342</v>
      </c>
      <c r="AB15" s="22">
        <f>(résultats!AS59-résultats!AS23+(résultats!AS60-résultats!AS24)+(résultats!AS61-résultats!AS25))</f>
        <v>2296.4911700000375</v>
      </c>
      <c r="AC15" s="22">
        <f>(résultats!AT59-résultats!AT23+(résultats!AT60-résultats!AT24)+(résultats!AT61-résultats!AT25))</f>
        <v>2372.4529699999221</v>
      </c>
      <c r="AD15" s="22">
        <f>(résultats!AU59-résultats!AU23+(résultats!AU60-résultats!AU24)+(résultats!AU61-résultats!AU25))</f>
        <v>2457.7882199999367</v>
      </c>
      <c r="AE15" s="22">
        <f>(résultats!AV59-résultats!AV23+(résultats!AV60-résultats!AV24)+(résultats!AV61-résultats!AV25))</f>
        <v>2549.5190199999233</v>
      </c>
      <c r="AF15" s="22">
        <f>(résultats!AW59-résultats!AW23+(résultats!AW60-résultats!AW24)+(résultats!AW61-résultats!AW25))</f>
        <v>2633.3952000000027</v>
      </c>
      <c r="AG15" s="22">
        <f>(résultats!AX59-résultats!AX23+(résultats!AX60-résultats!AX24)+(résultats!AX61-résultats!AX25))</f>
        <v>2745.7342899999676</v>
      </c>
    </row>
    <row r="16" spans="1:35" x14ac:dyDescent="0.25">
      <c r="A16" s="7"/>
      <c r="B16" s="9" t="s">
        <v>114</v>
      </c>
      <c r="C16">
        <f>(résultats!T63-résultats!T27)</f>
        <v>0</v>
      </c>
      <c r="D16">
        <f>(résultats!U63-résultats!U27)</f>
        <v>0</v>
      </c>
      <c r="E16">
        <f>(résultats!V63-résultats!V27)</f>
        <v>0</v>
      </c>
      <c r="F16" s="22">
        <f>(résultats!W63-résultats!W27)</f>
        <v>0</v>
      </c>
      <c r="G16" s="22">
        <f>(résultats!X63-résultats!X27)</f>
        <v>-83.160999822022859</v>
      </c>
      <c r="H16" s="22">
        <f>(résultats!Y63-résultats!Y27)</f>
        <v>-126.12892631802242</v>
      </c>
      <c r="I16" s="22">
        <f>(résultats!Z63-résultats!Z27)</f>
        <v>-115.95109532598872</v>
      </c>
      <c r="J16" s="22">
        <f>(résultats!AA63-résultats!AA27)</f>
        <v>-87.714401178993285</v>
      </c>
      <c r="K16" s="22">
        <f>(résultats!AB63-résultats!AB27)</f>
        <v>-45.412091956997756</v>
      </c>
      <c r="L16" s="22">
        <f>(résultats!AC63-résultats!AC27)</f>
        <v>14.883403774991166</v>
      </c>
      <c r="M16" s="22">
        <f>(résultats!AD63-résultats!AD27)</f>
        <v>86.804258437012322</v>
      </c>
      <c r="N16" s="22">
        <f>(résultats!AE63-résultats!AE27)</f>
        <v>206.30481315095676</v>
      </c>
      <c r="O16" s="22">
        <f>(résultats!AF63-résultats!AF27)</f>
        <v>304.86580131301889</v>
      </c>
      <c r="P16" s="22">
        <f>(résultats!AG63-résultats!AG27)</f>
        <v>410.98135418700986</v>
      </c>
      <c r="Q16" s="22">
        <f>(résultats!AH63-résultats!AH27)</f>
        <v>512.26225634198636</v>
      </c>
      <c r="R16" s="22">
        <f>(résultats!AI63-résultats!AI27)</f>
        <v>602.78094969899394</v>
      </c>
      <c r="S16" s="22">
        <f>(résultats!AJ63-résultats!AJ27)</f>
        <v>676.44847812398802</v>
      </c>
      <c r="T16" s="22">
        <f>(résultats!AK63-résultats!AK27)</f>
        <v>743.31083023699466</v>
      </c>
      <c r="U16" s="22">
        <f>(résultats!AL63-résultats!AL27)</f>
        <v>801.8540482519893</v>
      </c>
      <c r="V16" s="22">
        <f>(résultats!AM63-résultats!AM27)</f>
        <v>852.47937989898492</v>
      </c>
      <c r="W16" s="22">
        <f>(résultats!AN63-résultats!AN27)</f>
        <v>899.94393698399654</v>
      </c>
      <c r="X16" s="22">
        <f>(résultats!AO63-résultats!AO27)</f>
        <v>935.83829543803586</v>
      </c>
      <c r="Y16" s="22">
        <f>(résultats!AP63-résultats!AP27)</f>
        <v>972.5878862660029</v>
      </c>
      <c r="Z16" s="22">
        <f>(résultats!AQ63-résultats!AQ27)</f>
        <v>1006.8819509270252</v>
      </c>
      <c r="AA16" s="22">
        <f>(résultats!AR63-résultats!AR27)</f>
        <v>1034.9491752989707</v>
      </c>
      <c r="AB16" s="22">
        <f>(résultats!AS63-résultats!AS27)</f>
        <v>1063.8957488140441</v>
      </c>
      <c r="AC16" s="22">
        <f>(résultats!AT63-résultats!AT27)</f>
        <v>1101.9125115530333</v>
      </c>
      <c r="AD16" s="22">
        <f>(résultats!AU63-résultats!AU27)</f>
        <v>1147.825636880938</v>
      </c>
      <c r="AE16" s="22">
        <f>(résultats!AV63-résultats!AV27)</f>
        <v>1199.5585281060776</v>
      </c>
      <c r="AF16" s="22">
        <f>(résultats!AW63-résultats!AW27)</f>
        <v>1245.3874118149979</v>
      </c>
      <c r="AG16" s="22">
        <f>(résultats!AX63-résultats!AX27)</f>
        <v>1312.2078349390067</v>
      </c>
    </row>
    <row r="17" spans="1:33" x14ac:dyDescent="0.25">
      <c r="A17" s="7"/>
      <c r="B17" s="9" t="s">
        <v>225</v>
      </c>
      <c r="C17" s="32">
        <f>SUM(résultats!T69:T73)-SUM(résultats!T33:T37)</f>
        <v>0</v>
      </c>
      <c r="D17" s="32">
        <f>SUM(résultats!U69:U73)-SUM(résultats!U33:U37)</f>
        <v>0</v>
      </c>
      <c r="E17" s="32">
        <f>SUM(résultats!V69:V73)-SUM(résultats!V33:V37)</f>
        <v>0</v>
      </c>
      <c r="F17" s="22">
        <f>SUM(résultats!W69:W73)-SUM(résultats!W33:W37)</f>
        <v>0</v>
      </c>
      <c r="G17" s="22">
        <f>SUM(résultats!X69:X73)-SUM(résultats!X33:X37)</f>
        <v>-355.82958299999882</v>
      </c>
      <c r="H17" s="22">
        <f>SUM(résultats!Y69:Y73)-SUM(résultats!Y33:Y37)</f>
        <v>-860.6525359999996</v>
      </c>
      <c r="I17" s="22">
        <f>SUM(résultats!Z69:Z73)-SUM(résultats!Z33:Z37)</f>
        <v>-1224.2261209999997</v>
      </c>
      <c r="J17" s="22">
        <f>SUM(résultats!AA69:AA73)-SUM(résultats!AA33:AA37)</f>
        <v>-1546.4214000000011</v>
      </c>
      <c r="K17" s="22">
        <f>SUM(résultats!AB69:AB73)-SUM(résultats!AB33:AB37)</f>
        <v>-1842.4870629999987</v>
      </c>
      <c r="L17" s="22">
        <f>SUM(résultats!AC69:AC73)-SUM(résultats!AC33:AC37)</f>
        <v>-2124.7108639999988</v>
      </c>
      <c r="M17" s="22">
        <f>SUM(résultats!AD69:AD73)-SUM(résultats!AD33:AD37)</f>
        <v>-2405.9871500000008</v>
      </c>
      <c r="N17" s="22">
        <f>SUM(résultats!AE69:AE73)-SUM(résultats!AE33:AE37)</f>
        <v>-2484.5040349999999</v>
      </c>
      <c r="O17" s="22">
        <f>SUM(résultats!AF69:AF73)-SUM(résultats!AF33:AF37)</f>
        <v>-2539.9716260000005</v>
      </c>
      <c r="P17" s="22">
        <f>SUM(résultats!AG69:AG73)-SUM(résultats!AG33:AG37)</f>
        <v>-2593.0564950000007</v>
      </c>
      <c r="Q17" s="22">
        <f>SUM(résultats!AH69:AH73)-SUM(résultats!AH33:AH37)</f>
        <v>-2646.9371719999999</v>
      </c>
      <c r="R17" s="22">
        <f>SUM(résultats!AI69:AI73)-SUM(résultats!AI33:AI37)</f>
        <v>-2705.5074359999999</v>
      </c>
      <c r="S17" s="22">
        <f>SUM(résultats!AJ69:AJ73)-SUM(résultats!AJ33:AJ37)</f>
        <v>-2777.559831999999</v>
      </c>
      <c r="T17" s="22">
        <f>SUM(résultats!AK69:AK73)-SUM(résultats!AK33:AK37)</f>
        <v>-2853.6275870000009</v>
      </c>
      <c r="U17" s="22">
        <f>SUM(résultats!AL69:AL73)-SUM(résultats!AL33:AL37)</f>
        <v>-2933.2075299999997</v>
      </c>
      <c r="V17" s="22">
        <f>SUM(résultats!AM69:AM73)-SUM(résultats!AM33:AM37)</f>
        <v>-3016.336847999999</v>
      </c>
      <c r="W17" s="22">
        <f>SUM(résultats!AN69:AN73)-SUM(résultats!AN33:AN37)</f>
        <v>-3102.0482920000013</v>
      </c>
      <c r="X17" s="22">
        <f>SUM(résultats!AO69:AO73)-SUM(résultats!AO33:AO37)</f>
        <v>-3317.7171309999976</v>
      </c>
      <c r="Y17" s="22">
        <f>SUM(résultats!AP69:AP73)-SUM(résultats!AP33:AP37)</f>
        <v>-3534.9793629999986</v>
      </c>
      <c r="Z17" s="22">
        <f>SUM(résultats!AQ69:AQ73)-SUM(résultats!AQ33:AQ37)</f>
        <v>-3760.4756249999991</v>
      </c>
      <c r="AA17" s="22">
        <f>SUM(résultats!AR69:AR73)-SUM(résultats!AR33:AR37)</f>
        <v>-3998.1147469999978</v>
      </c>
      <c r="AB17" s="22">
        <f>SUM(résultats!AS69:AS73)-SUM(résultats!AS33:AS37)</f>
        <v>-4246.1287219999977</v>
      </c>
      <c r="AC17" s="22">
        <f>SUM(résultats!AT69:AT73)-SUM(résultats!AT33:AT37)</f>
        <v>-4394.9494740000027</v>
      </c>
      <c r="AD17" s="22">
        <f>SUM(résultats!AU69:AU73)-SUM(résultats!AU33:AU37)</f>
        <v>-4557.819733999997</v>
      </c>
      <c r="AE17" s="22">
        <f>SUM(résultats!AV69:AV73)-SUM(résultats!AV33:AV37)</f>
        <v>-4727.4984619999959</v>
      </c>
      <c r="AF17" s="22">
        <f>SUM(résultats!AW69:AW73)-SUM(résultats!AW33:AW37)</f>
        <v>-4903.0840829999979</v>
      </c>
      <c r="AG17" s="22">
        <f>SUM(résultats!AX69:AX73)-SUM(résultats!AX33:AX37)</f>
        <v>-5088.5008220000018</v>
      </c>
    </row>
    <row r="18" spans="1:33" x14ac:dyDescent="0.25">
      <c r="A18" s="7"/>
      <c r="B18" s="9" t="s">
        <v>105</v>
      </c>
      <c r="C18">
        <f>(résultats!T64-résultats!T28)</f>
        <v>0</v>
      </c>
      <c r="D18">
        <f>(résultats!U64-résultats!U28)</f>
        <v>0</v>
      </c>
      <c r="E18">
        <f>(résultats!V64-résultats!V28)</f>
        <v>0</v>
      </c>
      <c r="F18" s="22">
        <f>(résultats!W64-résultats!W28)</f>
        <v>0</v>
      </c>
      <c r="G18" s="22">
        <f>(résultats!X64-résultats!X28)</f>
        <v>30.948442009001155</v>
      </c>
      <c r="H18" s="22">
        <f>(résultats!Y64-résultats!Y28)</f>
        <v>86.60669841899653</v>
      </c>
      <c r="I18" s="22">
        <f>(résultats!Z64-résultats!Z28)</f>
        <v>151.7340432350029</v>
      </c>
      <c r="J18" s="22">
        <f>(résultats!AA64-résultats!AA28)</f>
        <v>218.55816682199656</v>
      </c>
      <c r="K18" s="22">
        <f>(résultats!AB64-résultats!AB28)</f>
        <v>287.53752121899743</v>
      </c>
      <c r="L18" s="22">
        <f>(résultats!AC64-résultats!AC28)</f>
        <v>359.63591008599906</v>
      </c>
      <c r="M18" s="22">
        <f>(résultats!AD64-résultats!AD28)</f>
        <v>435.06480259200907</v>
      </c>
      <c r="N18" s="22">
        <f>(résultats!AE64-résultats!AE28)</f>
        <v>504.25187955299043</v>
      </c>
      <c r="O18" s="22">
        <f>(résultats!AF64-résultats!AF28)</f>
        <v>561.58785057498608</v>
      </c>
      <c r="P18" s="22">
        <f>(résultats!AG64-résultats!AG28)</f>
        <v>616.14435153600061</v>
      </c>
      <c r="Q18" s="22">
        <f>(résultats!AH64-résultats!AH28)</f>
        <v>665.28208723198622</v>
      </c>
      <c r="R18" s="22">
        <f>(résultats!AI64-résultats!AI28)</f>
        <v>710.66905681500793</v>
      </c>
      <c r="S18" s="22">
        <f>(résultats!AJ64-résultats!AJ28)</f>
        <v>750.61132138301036</v>
      </c>
      <c r="T18" s="22">
        <f>(résultats!AK64-résultats!AK28)</f>
        <v>788.31299561899505</v>
      </c>
      <c r="U18" s="22">
        <f>(résultats!AL64-résultats!AL28)</f>
        <v>823.9539562240243</v>
      </c>
      <c r="V18" s="22">
        <f>(résultats!AM64-résultats!AM28)</f>
        <v>857.30469647300197</v>
      </c>
      <c r="W18" s="22">
        <f>(résultats!AN64-résultats!AN28)</f>
        <v>889.48470976302633</v>
      </c>
      <c r="X18" s="22">
        <f>(résultats!AO64-résultats!AO28)</f>
        <v>915.73618085499038</v>
      </c>
      <c r="Y18" s="22">
        <f>(résultats!AP64-résultats!AP28)</f>
        <v>941.86805958198966</v>
      </c>
      <c r="Z18" s="22">
        <f>(résultats!AQ64-résultats!AQ28)</f>
        <v>967.14348341702134</v>
      </c>
      <c r="AA18" s="22">
        <f>(résultats!AR64-résultats!AR28)</f>
        <v>990.94828923101886</v>
      </c>
      <c r="AB18" s="22">
        <f>(résultats!AS64-résultats!AS28)</f>
        <v>1014.8404578659975</v>
      </c>
      <c r="AC18" s="22">
        <f>(résultats!AT64-résultats!AT28)</f>
        <v>1042.3804147010087</v>
      </c>
      <c r="AD18" s="22">
        <f>(résultats!AU64-résultats!AU28)</f>
        <v>1072.2071487259818</v>
      </c>
      <c r="AE18" s="22">
        <f>(résultats!AV64-résultats!AV28)</f>
        <v>1103.2946982180001</v>
      </c>
      <c r="AF18" s="22">
        <f>(résultats!AW64-résultats!AW28)</f>
        <v>1133.8572973900009</v>
      </c>
      <c r="AG18" s="22">
        <f>(résultats!AX64-résultats!AX28)</f>
        <v>1169.8589613119839</v>
      </c>
    </row>
    <row r="19" spans="1:33" x14ac:dyDescent="0.25">
      <c r="A19" s="7"/>
      <c r="B19" s="9" t="s">
        <v>115</v>
      </c>
      <c r="C19">
        <f>(résultats!T65-résultats!T29)</f>
        <v>0</v>
      </c>
      <c r="D19">
        <f>(résultats!U65-résultats!U29)</f>
        <v>0</v>
      </c>
      <c r="E19">
        <f>(résultats!V65-résultats!V29)</f>
        <v>0</v>
      </c>
      <c r="F19" s="22">
        <f>(résultats!W65-résultats!W29)</f>
        <v>0</v>
      </c>
      <c r="G19" s="22">
        <f>(résultats!X65-résultats!X29)</f>
        <v>-244.85271023929818</v>
      </c>
      <c r="H19" s="22">
        <f>(résultats!Y65-résultats!Y29)</f>
        <v>-369.08619217340311</v>
      </c>
      <c r="I19" s="22">
        <f>(résultats!Z65-résultats!Z29)</f>
        <v>-444.58739083960245</v>
      </c>
      <c r="J19" s="22">
        <f>(résultats!AA65-résultats!AA29)</f>
        <v>-466.50742856290162</v>
      </c>
      <c r="K19" s="22">
        <f>(résultats!AB65-résultats!AB29)</f>
        <v>-509.95766338869726</v>
      </c>
      <c r="L19" s="22">
        <f>(résultats!AC65-résultats!AC29)</f>
        <v>-575.5153691493033</v>
      </c>
      <c r="M19" s="22">
        <f>(résultats!AD65-résultats!AD29)</f>
        <v>-565.07179929809354</v>
      </c>
      <c r="N19" s="22">
        <f>(résultats!AE65-résultats!AE29)</f>
        <v>306.91597523140081</v>
      </c>
      <c r="O19" s="22">
        <f>(résultats!AF65-résultats!AF29)</f>
        <v>382.03271941348794</v>
      </c>
      <c r="P19" s="22">
        <f>(résultats!AG65-résultats!AG29)</f>
        <v>375.82340026569727</v>
      </c>
      <c r="Q19" s="22">
        <f>(résultats!AH65-résultats!AH29)</f>
        <v>266.03622081089998</v>
      </c>
      <c r="R19" s="22">
        <f>(résultats!AI65-résultats!AI29)</f>
        <v>267.51912416840787</v>
      </c>
      <c r="S19" s="22">
        <f>(résultats!AJ65-résultats!AJ29)</f>
        <v>210.56451241769537</v>
      </c>
      <c r="T19" s="22">
        <f>(résultats!AK65-résultats!AK29)</f>
        <v>130.7187577082077</v>
      </c>
      <c r="U19" s="22">
        <f>(résultats!AL65-résultats!AL29)</f>
        <v>103.48744553911092</v>
      </c>
      <c r="V19" s="22">
        <f>(résultats!AM65-résultats!AM29)</f>
        <v>75.856570011499571</v>
      </c>
      <c r="W19" s="22">
        <f>(résultats!AN65-résultats!AN29)</f>
        <v>56.229044669802533</v>
      </c>
      <c r="X19" s="22">
        <f>(résultats!AO65-résultats!AO29)</f>
        <v>35.612208542588633</v>
      </c>
      <c r="Y19" s="22">
        <f>(résultats!AP65-résultats!AP29)</f>
        <v>32.636246241803747</v>
      </c>
      <c r="Z19" s="22">
        <f>(résultats!AQ65-résultats!AQ29)</f>
        <v>35.978051854894147</v>
      </c>
      <c r="AA19" s="22">
        <f>(résultats!AR65-résultats!AR29)</f>
        <v>42.438490475309663</v>
      </c>
      <c r="AB19" s="22">
        <f>(résultats!AS65-résultats!AS29)</f>
        <v>50.316684848992736</v>
      </c>
      <c r="AC19" s="22">
        <f>(résultats!AT65-résultats!AT29)</f>
        <v>64.289111428995966</v>
      </c>
      <c r="AD19" s="22">
        <f>(résultats!AU65-résultats!AU29)</f>
        <v>76.201706733991159</v>
      </c>
      <c r="AE19" s="22">
        <f>(résultats!AV65-résultats!AV29)</f>
        <v>89.380112345999805</v>
      </c>
      <c r="AF19" s="22">
        <f>(résultats!AW65-résultats!AW29)</f>
        <v>255.09521656199649</v>
      </c>
      <c r="AG19" s="22">
        <f>(résultats!AX65-résultats!AX29)</f>
        <v>116.53324568799871</v>
      </c>
    </row>
    <row r="20" spans="1:33" x14ac:dyDescent="0.25">
      <c r="A20" s="7"/>
      <c r="B20" s="9" t="s">
        <v>98</v>
      </c>
      <c r="C20">
        <f>(résultats!T66-résultats!T30)</f>
        <v>0</v>
      </c>
      <c r="D20">
        <f>(résultats!U66-résultats!U30)</f>
        <v>0</v>
      </c>
      <c r="E20">
        <f>(résultats!V66-résultats!V30)</f>
        <v>0</v>
      </c>
      <c r="F20" s="22">
        <f>(résultats!W66-résultats!W30)</f>
        <v>0</v>
      </c>
      <c r="G20" s="22">
        <f>(résultats!X66-résultats!X30)</f>
        <v>3.4309129830216989</v>
      </c>
      <c r="H20" s="22">
        <f>(résultats!Y66-résultats!Y30)</f>
        <v>179.35576381208375</v>
      </c>
      <c r="I20" s="22">
        <f>(résultats!Z66-résultats!Z30)</f>
        <v>567.93860863696318</v>
      </c>
      <c r="J20" s="22">
        <f>(résultats!AA66-résultats!AA30)</f>
        <v>1087.3729796999833</v>
      </c>
      <c r="K20" s="22">
        <f>(résultats!AB66-résultats!AB30)</f>
        <v>1688.7795960400254</v>
      </c>
      <c r="L20" s="22">
        <f>(résultats!AC66-résultats!AC30)</f>
        <v>2346.9559645990375</v>
      </c>
      <c r="M20" s="22">
        <f>(résultats!AD66-résultats!AD30)</f>
        <v>3051.2174884630367</v>
      </c>
      <c r="N20" s="22">
        <f>(résultats!AE66-résultats!AE30)</f>
        <v>3783.6012994239572</v>
      </c>
      <c r="O20" s="22">
        <f>(résultats!AF66-résultats!AF30)</f>
        <v>4453.2209810139611</v>
      </c>
      <c r="P20" s="22">
        <f>(résultats!AG66-résultats!AG30)</f>
        <v>5029.7355311559513</v>
      </c>
      <c r="Q20" s="22">
        <f>(résultats!AH66-résultats!AH30)</f>
        <v>5548.9955014910083</v>
      </c>
      <c r="R20" s="22">
        <f>(résultats!AI66-résultats!AI30)</f>
        <v>6010.5771428649314</v>
      </c>
      <c r="S20" s="22">
        <f>(résultats!AJ66-résultats!AJ30)</f>
        <v>6421.6682353840442</v>
      </c>
      <c r="T20" s="22">
        <f>(résultats!AK66-résultats!AK30)</f>
        <v>6788.9046225999482</v>
      </c>
      <c r="U20" s="22">
        <f>(résultats!AL66-résultats!AL30)</f>
        <v>7114.5928346139845</v>
      </c>
      <c r="V20" s="22">
        <f>(résultats!AM66-résultats!AM30)</f>
        <v>7406.9043159090215</v>
      </c>
      <c r="W20" s="22">
        <f>(résultats!AN66-résultats!AN30)</f>
        <v>7670.1840783979278</v>
      </c>
      <c r="X20" s="22">
        <f>(résultats!AO66-résultats!AO30)</f>
        <v>7900.1693373629823</v>
      </c>
      <c r="Y20" s="22">
        <f>(résultats!AP66-résultats!AP30)</f>
        <v>8112.9662508179899</v>
      </c>
      <c r="Z20" s="22">
        <f>(résultats!AQ66-résultats!AQ30)</f>
        <v>8314.2058322400553</v>
      </c>
      <c r="AA20" s="22">
        <f>(résultats!AR66-résultats!AR30)</f>
        <v>8505.9824123800499</v>
      </c>
      <c r="AB20" s="22">
        <f>(résultats!AS66-résultats!AS30)</f>
        <v>8693.9349382300861</v>
      </c>
      <c r="AC20" s="22">
        <f>(résultats!AT66-résultats!AT30)</f>
        <v>8889.7530188800301</v>
      </c>
      <c r="AD20" s="22">
        <f>(résultats!AU66-résultats!AU30)</f>
        <v>9099.1706414201763</v>
      </c>
      <c r="AE20" s="22">
        <f>(résultats!AV66-résultats!AV30)</f>
        <v>9323.0412758199964</v>
      </c>
      <c r="AF20" s="22">
        <f>(résultats!AW66-résultats!AW30)</f>
        <v>9558.2795128000434</v>
      </c>
      <c r="AG20" s="22">
        <f>(résultats!AX66-résultats!AX30)</f>
        <v>9815.4759821200278</v>
      </c>
    </row>
    <row r="21" spans="1:33" x14ac:dyDescent="0.25">
      <c r="A21" s="7"/>
      <c r="B21" s="9" t="s">
        <v>116</v>
      </c>
      <c r="C21">
        <f>(résultats!T67-résultats!T31+(résultats!T68-résultats!T32))</f>
        <v>0</v>
      </c>
      <c r="D21">
        <f>(résultats!U67-résultats!U31+(résultats!U68-résultats!U32))</f>
        <v>0</v>
      </c>
      <c r="E21">
        <f>(résultats!V67-résultats!V31+(résultats!V68-résultats!V32))</f>
        <v>0</v>
      </c>
      <c r="F21" s="22">
        <f>(résultats!W67-résultats!W31+(résultats!W68-résultats!W32))</f>
        <v>0</v>
      </c>
      <c r="G21" s="22">
        <f>(résultats!X67-résultats!X31+(résultats!X68-résultats!X32))</f>
        <v>23.126646687043831</v>
      </c>
      <c r="H21" s="22">
        <f>(résultats!Y67-résultats!Y31+(résultats!Y68-résultats!Y32))</f>
        <v>40.571841406985186</v>
      </c>
      <c r="I21" s="22">
        <f>(résultats!Z67-résultats!Z31+(résultats!Z68-résultats!Z32))</f>
        <v>9.506593045021873</v>
      </c>
      <c r="J21" s="22">
        <f>(résultats!AA67-résultats!AA31+(résultats!AA68-résultats!AA32))</f>
        <v>-93.004128525033593</v>
      </c>
      <c r="K21" s="22">
        <f>(résultats!AB67-résultats!AB31+(résultats!AB68-résultats!AB32))</f>
        <v>-254.47274254902732</v>
      </c>
      <c r="L21" s="22">
        <f>(résultats!AC67-résultats!AC31+(résultats!AC68-résultats!AC32))</f>
        <v>-453.07604164502118</v>
      </c>
      <c r="M21" s="22">
        <f>(résultats!AD67-résultats!AD31+(résultats!AD68-résultats!AD32))</f>
        <v>-673.50188618298853</v>
      </c>
      <c r="N21" s="22">
        <f>(résultats!AE67-résultats!AE31+(résultats!AE68-résultats!AE32))</f>
        <v>-942.21704542997759</v>
      </c>
      <c r="O21" s="22">
        <f>(résultats!AF67-résultats!AF31+(résultats!AF68-résultats!AF32))</f>
        <v>-1195.9275915820035</v>
      </c>
      <c r="P21" s="22">
        <f>(résultats!AG67-résultats!AG31+(résultats!AG68-résultats!AG32))</f>
        <v>-1400.1524937599315</v>
      </c>
      <c r="Q21" s="22">
        <f>(résultats!AH67-résultats!AH31+(résultats!AH68-résultats!AH32))</f>
        <v>-1549.6530245888862</v>
      </c>
      <c r="R21" s="22">
        <f>(résultats!AI67-résultats!AI31+(résultats!AI68-résultats!AI32))</f>
        <v>-1657.9384736760403</v>
      </c>
      <c r="S21" s="22">
        <f>(résultats!AJ67-résultats!AJ31+(résultats!AJ68-résultats!AJ32))</f>
        <v>-1722.3968107329565</v>
      </c>
      <c r="T21" s="22">
        <f>(résultats!AK67-résultats!AK31+(résultats!AK68-résultats!AK32))</f>
        <v>-1747.6864333470585</v>
      </c>
      <c r="U21" s="22">
        <f>(résultats!AL67-résultats!AL31+(résultats!AL68-résultats!AL32))</f>
        <v>-1746.6623639720492</v>
      </c>
      <c r="V21" s="22">
        <f>(résultats!AM67-résultats!AM31+(résultats!AM68-résultats!AM32))</f>
        <v>-1722.2772067619953</v>
      </c>
      <c r="W21" s="22">
        <f>(résultats!AN67-résultats!AN31+(résultats!AN68-résultats!AN32))</f>
        <v>-1676.3234865900595</v>
      </c>
      <c r="X21" s="22">
        <f>(résultats!AO67-résultats!AO31+(résultats!AO68-résultats!AO32))</f>
        <v>-1607.9452917760937</v>
      </c>
      <c r="Y21" s="22">
        <f>(résultats!AP67-résultats!AP31+(résultats!AP68-résultats!AP32))</f>
        <v>-1524.9307699280325</v>
      </c>
      <c r="Z21" s="22">
        <f>(résultats!AQ67-résultats!AQ31+(résultats!AQ68-résultats!AQ32))</f>
        <v>-1432.3996675160015</v>
      </c>
      <c r="AA21" s="22">
        <f>(résultats!AR67-résultats!AR31+(résultats!AR68-résultats!AR32))</f>
        <v>-1333.486907808925</v>
      </c>
      <c r="AB21" s="22">
        <f>(résultats!AS67-résultats!AS31+(résultats!AS68-résultats!AS32))</f>
        <v>-1230.8745517879725</v>
      </c>
      <c r="AC21" s="22">
        <f>(résultats!AT67-résultats!AT31+(résultats!AT68-résultats!AT32))</f>
        <v>-1131.5565095801139</v>
      </c>
      <c r="AD21" s="22">
        <f>(résultats!AU67-résultats!AU31+(résultats!AU68-résultats!AU32))</f>
        <v>-1034.7169798939722</v>
      </c>
      <c r="AE21" s="22">
        <f>(résultats!AV67-résultats!AV31+(résultats!AV68-résultats!AV32))</f>
        <v>-940.15602060395759</v>
      </c>
      <c r="AF21" s="22">
        <f>(résultats!AW67-résultats!AW31+(résultats!AW68-résultats!AW32))</f>
        <v>-854.73733281309251</v>
      </c>
      <c r="AG21" s="22">
        <f>(résultats!AX67-résultats!AX31+(résultats!AX68-résultats!AX32))</f>
        <v>-770.23556382802781</v>
      </c>
    </row>
    <row r="22" spans="1:33" x14ac:dyDescent="0.25">
      <c r="B22" s="17"/>
      <c r="E22">
        <f>SUM(E15:E21,E5:E12)</f>
        <v>0</v>
      </c>
      <c r="F22" s="20">
        <f>SUM(F15:F21,F5:F13)-F2</f>
        <v>0</v>
      </c>
      <c r="G22" s="20">
        <f t="shared" ref="G22:AG22" si="0">SUM(G15:G21,G5:G13)-G2</f>
        <v>-2.8227786219758855E-4</v>
      </c>
      <c r="H22" s="20">
        <f t="shared" si="0"/>
        <v>1.5186247519523022E-3</v>
      </c>
      <c r="I22" s="20">
        <f t="shared" si="0"/>
        <v>-1.4006859494202217E-3</v>
      </c>
      <c r="J22" s="20">
        <f t="shared" si="0"/>
        <v>2.8350735510684899E-4</v>
      </c>
      <c r="K22" s="20">
        <f t="shared" si="0"/>
        <v>-4.5556734903584584E-4</v>
      </c>
      <c r="L22" s="20">
        <f t="shared" si="0"/>
        <v>-1.0033515077338961E-3</v>
      </c>
      <c r="M22" s="20">
        <f t="shared" si="0"/>
        <v>-1.1196327127436234E-3</v>
      </c>
      <c r="N22" s="20">
        <f t="shared" si="0"/>
        <v>-1.0729086029641621E-3</v>
      </c>
      <c r="O22" s="20">
        <f t="shared" si="0"/>
        <v>5.5957228596525965E-4</v>
      </c>
      <c r="P22" s="20">
        <f t="shared" si="0"/>
        <v>5.2956636500312015E-4</v>
      </c>
      <c r="Q22" s="20">
        <f t="shared" si="0"/>
        <v>-1.3132328012943617E-4</v>
      </c>
      <c r="R22" s="20">
        <f t="shared" si="0"/>
        <v>1.3647289233631454E-4</v>
      </c>
      <c r="S22" s="20">
        <f t="shared" si="0"/>
        <v>1.9801711528089072E-4</v>
      </c>
      <c r="T22" s="20">
        <f t="shared" si="0"/>
        <v>4.5523030826188915E-4</v>
      </c>
      <c r="U22" s="20">
        <f t="shared" si="0"/>
        <v>5.9271687132422812E-4</v>
      </c>
      <c r="V22" s="20">
        <f t="shared" si="0"/>
        <v>-2.3404278135785717E-4</v>
      </c>
      <c r="W22" s="20">
        <f t="shared" si="0"/>
        <v>-5.2306757470432785E-4</v>
      </c>
      <c r="X22" s="20">
        <f t="shared" si="0"/>
        <v>-1.0718117982833064E-4</v>
      </c>
      <c r="Y22" s="20">
        <f t="shared" si="0"/>
        <v>6.0149765613459749E-4</v>
      </c>
      <c r="Z22" s="20">
        <f t="shared" si="0"/>
        <v>-1.7053696760740422E-3</v>
      </c>
      <c r="AA22" s="20">
        <f t="shared" si="0"/>
        <v>1.0041932032436307E-3</v>
      </c>
      <c r="AB22" s="20">
        <f t="shared" si="0"/>
        <v>-1.2863757492596051E-3</v>
      </c>
      <c r="AC22" s="20">
        <f t="shared" si="0"/>
        <v>6.5324721617798787E-4</v>
      </c>
      <c r="AD22" s="20">
        <f t="shared" si="0"/>
        <v>-5.9626359870890155E-5</v>
      </c>
      <c r="AE22" s="20">
        <f t="shared" si="0"/>
        <v>2.7353273799235467E-4</v>
      </c>
      <c r="AF22" s="20">
        <f t="shared" si="0"/>
        <v>-5.499305570992874E-4</v>
      </c>
      <c r="AG22" s="20">
        <f t="shared" si="0"/>
        <v>-1.574037466525624E-3</v>
      </c>
    </row>
    <row r="23" spans="1:33" hidden="1" x14ac:dyDescent="0.25">
      <c r="B23" s="17"/>
    </row>
    <row r="24" spans="1:33" hidden="1" x14ac:dyDescent="0.25">
      <c r="B24" s="17"/>
    </row>
    <row r="25" spans="1:33" x14ac:dyDescent="0.25">
      <c r="E25">
        <f>E2+E4+E14</f>
        <v>0</v>
      </c>
      <c r="F25" s="20">
        <f t="shared" ref="F25:AF25" si="1">SUM(F15:F21)-F14</f>
        <v>0</v>
      </c>
      <c r="G25" s="20">
        <f t="shared" si="1"/>
        <v>-8.6438216931128409E-4</v>
      </c>
      <c r="H25" s="20">
        <f t="shared" si="1"/>
        <v>4.5414683881972451E-4</v>
      </c>
      <c r="I25" s="20">
        <f t="shared" si="1"/>
        <v>-6.6624861938180402E-4</v>
      </c>
      <c r="J25" s="20">
        <f t="shared" si="1"/>
        <v>-9.3744934929418378E-5</v>
      </c>
      <c r="K25" s="20">
        <f t="shared" si="1"/>
        <v>-3.4063561724906322E-4</v>
      </c>
      <c r="L25" s="20">
        <f t="shared" si="1"/>
        <v>-2.7033424885303248E-4</v>
      </c>
      <c r="M25" s="20">
        <f t="shared" si="1"/>
        <v>-8.7598909703956451E-4</v>
      </c>
      <c r="N25" s="20">
        <f t="shared" si="1"/>
        <v>-2.6307082407583948E-4</v>
      </c>
      <c r="O25" s="20">
        <f t="shared" si="1"/>
        <v>1.1473330050648656E-4</v>
      </c>
      <c r="P25" s="20">
        <f t="shared" si="1"/>
        <v>3.2838470724527724E-4</v>
      </c>
      <c r="Q25" s="20">
        <f t="shared" si="1"/>
        <v>-7.1291469794232398E-7</v>
      </c>
      <c r="R25" s="20">
        <f t="shared" si="1"/>
        <v>5.2387150026333984E-4</v>
      </c>
      <c r="S25" s="20">
        <f t="shared" si="1"/>
        <v>3.0457580214715563E-4</v>
      </c>
      <c r="T25" s="20">
        <f t="shared" si="1"/>
        <v>2.8581701008079108E-4</v>
      </c>
      <c r="U25" s="20">
        <f t="shared" si="1"/>
        <v>8.5065699022379704E-4</v>
      </c>
      <c r="V25" s="20">
        <f t="shared" si="1"/>
        <v>2.3753057939757127E-4</v>
      </c>
      <c r="W25" s="20">
        <f t="shared" si="1"/>
        <v>6.3122445135377347E-4</v>
      </c>
      <c r="X25" s="20">
        <f t="shared" si="1"/>
        <v>-3.6057718534721062E-4</v>
      </c>
      <c r="Y25" s="20">
        <f t="shared" si="1"/>
        <v>7.1997979284788016E-4</v>
      </c>
      <c r="Z25" s="20">
        <f t="shared" si="1"/>
        <v>-9.7407711837149691E-4</v>
      </c>
      <c r="AA25" s="20">
        <f t="shared" si="1"/>
        <v>4.9257677710556891E-4</v>
      </c>
      <c r="AB25" s="20">
        <f t="shared" si="1"/>
        <v>-2.7402860359870829E-4</v>
      </c>
      <c r="AC25" s="20">
        <f t="shared" si="1"/>
        <v>4.2982750528608449E-5</v>
      </c>
      <c r="AD25" s="20">
        <f t="shared" si="1"/>
        <v>-3.6013260250911117E-4</v>
      </c>
      <c r="AE25" s="20">
        <f t="shared" si="1"/>
        <v>-8.4811362103209831E-4</v>
      </c>
      <c r="AF25" s="20">
        <f t="shared" si="1"/>
        <v>-7.772461831336841E-4</v>
      </c>
      <c r="AG25" s="20">
        <f t="shared" ref="AG25" si="2">SUM(AG15:AG21)-AG14</f>
        <v>-7.1769067290006205E-5</v>
      </c>
    </row>
    <row r="26" spans="1:33" x14ac:dyDescent="0.25">
      <c r="F26" s="20">
        <f t="shared" ref="F26:AF26" si="3">SUM(F5:F13)-F4</f>
        <v>0</v>
      </c>
      <c r="G26" s="20">
        <f t="shared" si="3"/>
        <v>5.8210430711369554E-4</v>
      </c>
      <c r="H26" s="20">
        <f t="shared" si="3"/>
        <v>1.0644779131325777E-3</v>
      </c>
      <c r="I26" s="20">
        <f t="shared" si="3"/>
        <v>-7.3443733003841771E-4</v>
      </c>
      <c r="J26" s="20">
        <f t="shared" si="3"/>
        <v>3.7725229003626737E-4</v>
      </c>
      <c r="K26" s="20">
        <f t="shared" si="3"/>
        <v>-1.1493173178678262E-4</v>
      </c>
      <c r="L26" s="20">
        <f t="shared" si="3"/>
        <v>-7.3301725888086366E-4</v>
      </c>
      <c r="M26" s="20">
        <f t="shared" si="3"/>
        <v>-2.436436157040589E-4</v>
      </c>
      <c r="N26" s="20">
        <f t="shared" si="3"/>
        <v>-8.0983777888832265E-4</v>
      </c>
      <c r="O26" s="20">
        <f t="shared" si="3"/>
        <v>4.448389854587731E-4</v>
      </c>
      <c r="P26" s="20">
        <f t="shared" si="3"/>
        <v>2.0118165775784291E-4</v>
      </c>
      <c r="Q26" s="20">
        <f t="shared" si="3"/>
        <v>-1.306103658862412E-4</v>
      </c>
      <c r="R26" s="20">
        <f t="shared" si="3"/>
        <v>-3.873986079270253E-4</v>
      </c>
      <c r="S26" s="20">
        <f t="shared" si="3"/>
        <v>-1.0655868663889123E-4</v>
      </c>
      <c r="T26" s="20">
        <f t="shared" si="3"/>
        <v>1.694132979537244E-4</v>
      </c>
      <c r="U26" s="20">
        <f t="shared" si="3"/>
        <v>-2.5794011889956892E-4</v>
      </c>
      <c r="V26" s="20">
        <f t="shared" si="3"/>
        <v>-4.7157336121017579E-4</v>
      </c>
      <c r="W26" s="20">
        <f t="shared" si="3"/>
        <v>-1.154292025603354E-3</v>
      </c>
      <c r="X26" s="20">
        <f t="shared" si="3"/>
        <v>2.5339600506413262E-4</v>
      </c>
      <c r="Y26" s="20">
        <f t="shared" si="3"/>
        <v>-1.1848213762277737E-4</v>
      </c>
      <c r="Z26" s="20">
        <f t="shared" si="3"/>
        <v>-7.3129255724779796E-4</v>
      </c>
      <c r="AA26" s="20">
        <f t="shared" si="3"/>
        <v>5.1161642659280915E-4</v>
      </c>
      <c r="AB26" s="20">
        <f t="shared" si="3"/>
        <v>-1.0123471456608968E-3</v>
      </c>
      <c r="AC26" s="20">
        <f t="shared" si="3"/>
        <v>6.1026446564937942E-4</v>
      </c>
      <c r="AD26" s="20">
        <f t="shared" si="3"/>
        <v>3.0050624263822101E-4</v>
      </c>
      <c r="AE26" s="20">
        <f t="shared" si="3"/>
        <v>1.121646359024453E-3</v>
      </c>
      <c r="AF26" s="20">
        <f t="shared" si="3"/>
        <v>2.273156260343967E-4</v>
      </c>
      <c r="AG26" s="20">
        <f t="shared" ref="AG26" si="4">SUM(AG5:AG13)-AG4</f>
        <v>-1.5022683983261231E-3</v>
      </c>
    </row>
    <row r="27" spans="1:33" x14ac:dyDescent="0.25">
      <c r="F27" s="32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Feuil4</vt:lpstr>
      <vt:lpstr>résultats</vt:lpstr>
      <vt:lpstr>T graph</vt:lpstr>
      <vt:lpstr>Graphique2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CALLONNEC Gaël</cp:lastModifiedBy>
  <dcterms:created xsi:type="dcterms:W3CDTF">2022-09-09T10:16:29Z</dcterms:created>
  <dcterms:modified xsi:type="dcterms:W3CDTF">2025-01-10T13:03:53Z</dcterms:modified>
</cp:coreProperties>
</file>