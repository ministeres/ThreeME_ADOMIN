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670" yWindow="50" windowWidth="7720" windowHeight="5590" firstSheet="6" activeTab="10"/>
  </bookViews>
  <sheets>
    <sheet name="sources" sheetId="2" r:id="rId1"/>
    <sheet name="Auto_household" sheetId="15" r:id="rId2"/>
    <sheet name="RDB_household" sheetId="17" r:id="rId3"/>
    <sheet name="RDB" sheetId="4" r:id="rId4"/>
    <sheet name="Matrice" sheetId="3" r:id="rId5"/>
    <sheet name="logement et rev moyen" sheetId="14" r:id="rId6"/>
    <sheet name="repartition RD" sheetId="13" r:id="rId7"/>
    <sheet name="évolution men" sheetId="5" r:id="rId8"/>
    <sheet name="depense EBF 2006" sheetId="6" r:id="rId9"/>
    <sheet name="EL 2006-ANAH" sheetId="7" r:id="rId10"/>
    <sheet name="Km vehicule" sheetId="8" r:id="rId11"/>
    <sheet name="repart trajet selon " sheetId="9" r:id="rId12"/>
    <sheet name="km total longue distance" sheetId="10" r:id="rId13"/>
    <sheet name="en m2" sheetId="12" r:id="rId14"/>
    <sheet name="Feuil1" sheetId="16" r:id="rId15"/>
  </sheets>
  <externalReferences>
    <externalReference r:id="rId16"/>
    <externalReference r:id="rId17"/>
    <externalReference r:id="rId18"/>
  </externalReferences>
  <definedNames>
    <definedName name="_xlnm._FilterDatabase" localSheetId="4" hidden="1">Matrice!#REF!</definedName>
    <definedName name="solver_adj" localSheetId="1" hidden="1">Auto_household!$K$9</definedName>
    <definedName name="solver_adj" localSheetId="13" hidden="1">'en m2'!$U$32</definedName>
    <definedName name="solver_adj" localSheetId="10" hidden="1">'Km vehicule'!$W$29</definedName>
    <definedName name="solver_adj" localSheetId="5" hidden="1">'logement et rev moyen'!$L$9</definedName>
    <definedName name="solver_adj" localSheetId="4" hidden="1">Matrice!$BG$89:$BG$93</definedName>
    <definedName name="solver_adj" localSheetId="2" hidden="1">RDB_household!$K$21,RDB_household!$L$21,RDB_household!$M$21,RDB_household!$N$21,RDB_household!$O$21</definedName>
    <definedName name="solver_cvg" localSheetId="1" hidden="1">0.0001</definedName>
    <definedName name="solver_cvg" localSheetId="13" hidden="1">0.0001</definedName>
    <definedName name="solver_cvg" localSheetId="10" hidden="1">0.0001</definedName>
    <definedName name="solver_cvg" localSheetId="5" hidden="1">0.0001</definedName>
    <definedName name="solver_cvg" localSheetId="4" hidden="1">0.0001</definedName>
    <definedName name="solver_cvg" localSheetId="2" hidden="1">0.000000001</definedName>
    <definedName name="solver_drv" localSheetId="1" hidden="1">1</definedName>
    <definedName name="solver_drv" localSheetId="13" hidden="1">1</definedName>
    <definedName name="solver_drv" localSheetId="10" hidden="1">1</definedName>
    <definedName name="solver_drv" localSheetId="5" hidden="1">1</definedName>
    <definedName name="solver_drv" localSheetId="4" hidden="1">1</definedName>
    <definedName name="solver_drv" localSheetId="2" hidden="1">2</definedName>
    <definedName name="solver_eng" localSheetId="13" hidden="1">1</definedName>
    <definedName name="solver_eng" localSheetId="10" hidden="1">1</definedName>
    <definedName name="solver_eng" localSheetId="4" hidden="1">1</definedName>
    <definedName name="solver_eng" localSheetId="2" hidden="1">1</definedName>
    <definedName name="solver_est" localSheetId="1" hidden="1">1</definedName>
    <definedName name="solver_est" localSheetId="13" hidden="1">1</definedName>
    <definedName name="solver_est" localSheetId="10" hidden="1">1</definedName>
    <definedName name="solver_est" localSheetId="5" hidden="1">1</definedName>
    <definedName name="solver_est" localSheetId="4" hidden="1">1</definedName>
    <definedName name="solver_est" localSheetId="2" hidden="1">1</definedName>
    <definedName name="solver_itr" localSheetId="1" hidden="1">100</definedName>
    <definedName name="solver_itr" localSheetId="13" hidden="1">100</definedName>
    <definedName name="solver_itr" localSheetId="10" hidden="1">2147483647</definedName>
    <definedName name="solver_itr" localSheetId="5" hidden="1">100</definedName>
    <definedName name="solver_itr" localSheetId="4" hidden="1">100</definedName>
    <definedName name="solver_itr" localSheetId="2" hidden="1">2147483647</definedName>
    <definedName name="solver_lhs1" localSheetId="10" hidden="1">'Km vehicule'!$W$26:$W$30</definedName>
    <definedName name="solver_lhs1" localSheetId="4" hidden="1">Matrice!#REF!</definedName>
    <definedName name="solver_lhs1" localSheetId="2" hidden="1">RDB_household!$P$21</definedName>
    <definedName name="solver_lhs2" localSheetId="10" hidden="1">'Km vehicule'!$R$27</definedName>
    <definedName name="solver_lhs2" localSheetId="4" hidden="1">Matrice!#REF!</definedName>
    <definedName name="solver_lhs2" localSheetId="2" hidden="1">RDB_household!$W$3</definedName>
    <definedName name="solver_lhs3" localSheetId="4" hidden="1">Matrice!#REF!</definedName>
    <definedName name="solver_lhs3" localSheetId="2" hidden="1">RDB_household!$W$3</definedName>
    <definedName name="solver_lhs4" localSheetId="4" hidden="1">Matrice!#REF!</definedName>
    <definedName name="solver_lhs4" localSheetId="2" hidden="1">RDB_household!$W$3</definedName>
    <definedName name="solver_lhs5" localSheetId="4" hidden="1">Matrice!#REF!</definedName>
    <definedName name="solver_lhs6" localSheetId="4" hidden="1">Matrice!#REF!</definedName>
    <definedName name="solver_lhs7" localSheetId="4" hidden="1">Matrice!#REF!</definedName>
    <definedName name="solver_lhs8" localSheetId="4" hidden="1">Matrice!#REF!</definedName>
    <definedName name="solver_lhs9" localSheetId="4" hidden="1">Matrice!#REF!</definedName>
    <definedName name="solver_lin" localSheetId="1" hidden="1">2</definedName>
    <definedName name="solver_lin" localSheetId="13" hidden="1">2</definedName>
    <definedName name="solver_lin" localSheetId="5" hidden="1">2</definedName>
    <definedName name="solver_lin" localSheetId="4" hidden="1">2</definedName>
    <definedName name="solver_mip" localSheetId="13" hidden="1">2147483647</definedName>
    <definedName name="solver_mip" localSheetId="10" hidden="1">2147483647</definedName>
    <definedName name="solver_mip" localSheetId="4" hidden="1">2147483647</definedName>
    <definedName name="solver_mip" localSheetId="2" hidden="1">2147483647</definedName>
    <definedName name="solver_mni" localSheetId="13" hidden="1">30</definedName>
    <definedName name="solver_mni" localSheetId="10" hidden="1">30</definedName>
    <definedName name="solver_mni" localSheetId="4" hidden="1">30</definedName>
    <definedName name="solver_mni" localSheetId="2" hidden="1">30</definedName>
    <definedName name="solver_mrt" localSheetId="13" hidden="1">0.075</definedName>
    <definedName name="solver_mrt" localSheetId="10" hidden="1">0.075</definedName>
    <definedName name="solver_mrt" localSheetId="4" hidden="1">0.075</definedName>
    <definedName name="solver_mrt" localSheetId="2" hidden="1">0.075</definedName>
    <definedName name="solver_msl" localSheetId="13" hidden="1">2</definedName>
    <definedName name="solver_msl" localSheetId="10" hidden="1">2</definedName>
    <definedName name="solver_msl" localSheetId="4" hidden="1">2</definedName>
    <definedName name="solver_msl" localSheetId="2" hidden="1">2</definedName>
    <definedName name="solver_neg" localSheetId="1" hidden="1">2</definedName>
    <definedName name="solver_neg" localSheetId="13" hidden="1">2</definedName>
    <definedName name="solver_neg" localSheetId="10" hidden="1">1</definedName>
    <definedName name="solver_neg" localSheetId="5" hidden="1">2</definedName>
    <definedName name="solver_neg" localSheetId="4" hidden="1">2</definedName>
    <definedName name="solver_neg" localSheetId="2" hidden="1">1</definedName>
    <definedName name="solver_nod" localSheetId="13" hidden="1">2147483647</definedName>
    <definedName name="solver_nod" localSheetId="10" hidden="1">2147483647</definedName>
    <definedName name="solver_nod" localSheetId="4" hidden="1">2147483647</definedName>
    <definedName name="solver_nod" localSheetId="2" hidden="1">2147483647</definedName>
    <definedName name="solver_num" localSheetId="13" hidden="1">0</definedName>
    <definedName name="solver_num" localSheetId="10" hidden="1">0</definedName>
    <definedName name="solver_num" localSheetId="4" hidden="1">0</definedName>
    <definedName name="solver_num" localSheetId="2" hidden="1">1</definedName>
    <definedName name="solver_nwt" localSheetId="1" hidden="1">1</definedName>
    <definedName name="solver_nwt" localSheetId="13" hidden="1">1</definedName>
    <definedName name="solver_nwt" localSheetId="10" hidden="1">1</definedName>
    <definedName name="solver_nwt" localSheetId="5" hidden="1">1</definedName>
    <definedName name="solver_nwt" localSheetId="4" hidden="1">1</definedName>
    <definedName name="solver_nwt" localSheetId="2" hidden="1">1</definedName>
    <definedName name="solver_opt" localSheetId="1" hidden="1">Auto_household!$I$9</definedName>
    <definedName name="solver_opt" localSheetId="13" hidden="1">'en m2'!$I$32</definedName>
    <definedName name="solver_opt" localSheetId="10" hidden="1">'Km vehicule'!$W$33</definedName>
    <definedName name="solver_opt" localSheetId="5" hidden="1">'logement et rev moyen'!$I$9</definedName>
    <definedName name="solver_opt" localSheetId="4" hidden="1">Matrice!$BG$96</definedName>
    <definedName name="solver_opt" localSheetId="2" hidden="1">RDB_household!$R$59</definedName>
    <definedName name="solver_pre" localSheetId="1" hidden="1">0.00000000001</definedName>
    <definedName name="solver_pre" localSheetId="13" hidden="1">0.00000000001</definedName>
    <definedName name="solver_pre" localSheetId="10" hidden="1">0.000001</definedName>
    <definedName name="solver_pre" localSheetId="5" hidden="1">0.00000000001</definedName>
    <definedName name="solver_pre" localSheetId="4" hidden="1">0.00000000001</definedName>
    <definedName name="solver_pre" localSheetId="2" hidden="1">0.000000000000000001</definedName>
    <definedName name="solver_rbv" localSheetId="13" hidden="1">1</definedName>
    <definedName name="solver_rbv" localSheetId="10" hidden="1">1</definedName>
    <definedName name="solver_rbv" localSheetId="4" hidden="1">2</definedName>
    <definedName name="solver_rbv" localSheetId="2" hidden="1">2</definedName>
    <definedName name="solver_rel1" localSheetId="10" hidden="1">6</definedName>
    <definedName name="solver_rel1" localSheetId="4" hidden="1">2</definedName>
    <definedName name="solver_rel1" localSheetId="2" hidden="1">2</definedName>
    <definedName name="solver_rel2" localSheetId="10" hidden="1">1</definedName>
    <definedName name="solver_rel2" localSheetId="4" hidden="1">2</definedName>
    <definedName name="solver_rel2" localSheetId="2" hidden="1">2</definedName>
    <definedName name="solver_rel3" localSheetId="4" hidden="1">2</definedName>
    <definedName name="solver_rel3" localSheetId="2" hidden="1">2</definedName>
    <definedName name="solver_rel4" localSheetId="4" hidden="1">2</definedName>
    <definedName name="solver_rel4" localSheetId="2" hidden="1">2</definedName>
    <definedName name="solver_rel5" localSheetId="4" hidden="1">2</definedName>
    <definedName name="solver_rel6" localSheetId="4" hidden="1">2</definedName>
    <definedName name="solver_rel7" localSheetId="4" hidden="1">2</definedName>
    <definedName name="solver_rel8" localSheetId="4" hidden="1">2</definedName>
    <definedName name="solver_rel9" localSheetId="4" hidden="1">2</definedName>
    <definedName name="solver_rhs1" localSheetId="10" hidden="1">TousDifférents</definedName>
    <definedName name="solver_rhs1" localSheetId="4" hidden="1">1</definedName>
    <definedName name="solver_rhs1" localSheetId="2" hidden="1">1</definedName>
    <definedName name="solver_rhs2" localSheetId="10" hidden="1">0.2</definedName>
    <definedName name="solver_rhs2" localSheetId="4" hidden="1">1</definedName>
    <definedName name="solver_rhs2" localSheetId="2" hidden="1">0</definedName>
    <definedName name="solver_rhs3" localSheetId="4" hidden="1">1</definedName>
    <definedName name="solver_rhs3" localSheetId="2" hidden="1">0</definedName>
    <definedName name="solver_rhs4" localSheetId="4" hidden="1">1</definedName>
    <definedName name="solver_rhs4" localSheetId="2" hidden="1">0</definedName>
    <definedName name="solver_rhs5" localSheetId="4" hidden="1">1</definedName>
    <definedName name="solver_rhs6" localSheetId="4" hidden="1">1</definedName>
    <definedName name="solver_rhs7" localSheetId="4" hidden="1">1</definedName>
    <definedName name="solver_rhs8" localSheetId="4" hidden="1">1</definedName>
    <definedName name="solver_rhs9" localSheetId="4" hidden="1">1</definedName>
    <definedName name="solver_rlx" localSheetId="13" hidden="1">2</definedName>
    <definedName name="solver_rlx" localSheetId="10" hidden="1">2</definedName>
    <definedName name="solver_rlx" localSheetId="4" hidden="1">2</definedName>
    <definedName name="solver_rlx" localSheetId="2" hidden="1">2</definedName>
    <definedName name="solver_rsd" localSheetId="13" hidden="1">0</definedName>
    <definedName name="solver_rsd" localSheetId="10" hidden="1">0</definedName>
    <definedName name="solver_rsd" localSheetId="4" hidden="1">0</definedName>
    <definedName name="solver_rsd" localSheetId="2" hidden="1">0</definedName>
    <definedName name="solver_scl" localSheetId="1" hidden="1">0</definedName>
    <definedName name="solver_scl" localSheetId="13" hidden="1">0</definedName>
    <definedName name="solver_scl" localSheetId="10" hidden="1">1</definedName>
    <definedName name="solver_scl" localSheetId="5" hidden="1">0</definedName>
    <definedName name="solver_scl" localSheetId="4" hidden="1">2</definedName>
    <definedName name="solver_scl" localSheetId="2" hidden="1">2</definedName>
    <definedName name="solver_sho" localSheetId="1" hidden="1">2</definedName>
    <definedName name="solver_sho" localSheetId="13" hidden="1">2</definedName>
    <definedName name="solver_sho" localSheetId="10" hidden="1">2</definedName>
    <definedName name="solver_sho" localSheetId="5" hidden="1">2</definedName>
    <definedName name="solver_sho" localSheetId="4" hidden="1">2</definedName>
    <definedName name="solver_sho" localSheetId="2" hidden="1">2</definedName>
    <definedName name="solver_ssz" localSheetId="13" hidden="1">100</definedName>
    <definedName name="solver_ssz" localSheetId="10" hidden="1">100</definedName>
    <definedName name="solver_ssz" localSheetId="4" hidden="1">100</definedName>
    <definedName name="solver_ssz" localSheetId="2" hidden="1">100</definedName>
    <definedName name="solver_tim" localSheetId="1" hidden="1">100</definedName>
    <definedName name="solver_tim" localSheetId="13" hidden="1">100</definedName>
    <definedName name="solver_tim" localSheetId="10" hidden="1">2147483647</definedName>
    <definedName name="solver_tim" localSheetId="5" hidden="1">100</definedName>
    <definedName name="solver_tim" localSheetId="4" hidden="1">100</definedName>
    <definedName name="solver_tim" localSheetId="2" hidden="1">2147483647</definedName>
    <definedName name="solver_tol" localSheetId="1" hidden="1">0.05</definedName>
    <definedName name="solver_tol" localSheetId="13" hidden="1">0.05</definedName>
    <definedName name="solver_tol" localSheetId="10" hidden="1">0.01</definedName>
    <definedName name="solver_tol" localSheetId="5" hidden="1">0.05</definedName>
    <definedName name="solver_tol" localSheetId="4" hidden="1">0.05</definedName>
    <definedName name="solver_tol" localSheetId="2" hidden="1">0.01</definedName>
    <definedName name="solver_typ" localSheetId="1" hidden="1">3</definedName>
    <definedName name="solver_typ" localSheetId="13" hidden="1">3</definedName>
    <definedName name="solver_typ" localSheetId="10" hidden="1">3</definedName>
    <definedName name="solver_typ" localSheetId="5" hidden="1">3</definedName>
    <definedName name="solver_typ" localSheetId="4" hidden="1">3</definedName>
    <definedName name="solver_typ" localSheetId="2" hidden="1">3</definedName>
    <definedName name="solver_val" localSheetId="1" hidden="1">0</definedName>
    <definedName name="solver_val" localSheetId="13" hidden="1">0</definedName>
    <definedName name="solver_val" localSheetId="10" hidden="1">0</definedName>
    <definedName name="solver_val" localSheetId="5" hidden="1">0</definedName>
    <definedName name="solver_val" localSheetId="4" hidden="1">0</definedName>
    <definedName name="solver_val" localSheetId="2" hidden="1">100</definedName>
    <definedName name="solver_ver" localSheetId="13" hidden="1">3</definedName>
    <definedName name="solver_ver" localSheetId="10" hidden="1">3</definedName>
    <definedName name="solver_ver" localSheetId="4" hidden="1">3</definedName>
    <definedName name="solver_ver" localSheetId="2" hidden="1">3</definedName>
  </definedNames>
  <calcPr calcId="145621"/>
</workbook>
</file>

<file path=xl/calcChain.xml><?xml version="1.0" encoding="utf-8"?>
<calcChain xmlns="http://schemas.openxmlformats.org/spreadsheetml/2006/main">
  <c r="P31" i="8" l="1"/>
  <c r="K26" i="8"/>
  <c r="O26" i="8" l="1"/>
  <c r="C10" i="15" l="1"/>
  <c r="C70" i="17" l="1"/>
  <c r="D70" i="17"/>
  <c r="E70" i="17"/>
  <c r="F70" i="17"/>
  <c r="B70" i="17"/>
  <c r="C69" i="17"/>
  <c r="D69" i="17"/>
  <c r="E69" i="17"/>
  <c r="F69" i="17"/>
  <c r="B69" i="17"/>
  <c r="C84" i="17" l="1"/>
  <c r="D84" i="17"/>
  <c r="E84" i="17"/>
  <c r="G84" i="17" s="1"/>
  <c r="F84" i="17"/>
  <c r="B84" i="17"/>
  <c r="C83" i="17"/>
  <c r="D83" i="17"/>
  <c r="E83" i="17"/>
  <c r="F83" i="17"/>
  <c r="B83" i="17"/>
  <c r="C82" i="17"/>
  <c r="G82" i="17" s="1"/>
  <c r="D82" i="17"/>
  <c r="E82" i="17"/>
  <c r="F82" i="17"/>
  <c r="B82" i="17"/>
  <c r="C81" i="17"/>
  <c r="G81" i="17" s="1"/>
  <c r="D81" i="17"/>
  <c r="E81" i="17"/>
  <c r="F81" i="17"/>
  <c r="B81" i="17"/>
  <c r="X29" i="17"/>
  <c r="C80" i="17"/>
  <c r="D80" i="17"/>
  <c r="E80" i="17"/>
  <c r="F80" i="17"/>
  <c r="B80" i="17"/>
  <c r="G80" i="17" s="1"/>
  <c r="C79" i="17"/>
  <c r="D79" i="17"/>
  <c r="E79" i="17"/>
  <c r="G79" i="17" s="1"/>
  <c r="F79" i="17"/>
  <c r="B79" i="17"/>
  <c r="C78" i="17"/>
  <c r="G78" i="17" s="1"/>
  <c r="D78" i="17"/>
  <c r="E78" i="17"/>
  <c r="F78" i="17"/>
  <c r="B78" i="17"/>
  <c r="C77" i="17"/>
  <c r="D77" i="17"/>
  <c r="E77" i="17"/>
  <c r="F77" i="17"/>
  <c r="G83" i="17"/>
  <c r="G87" i="17"/>
  <c r="X56" i="17"/>
  <c r="X4" i="17"/>
  <c r="X47" i="17"/>
  <c r="X43" i="17"/>
  <c r="X41" i="17"/>
  <c r="X32" i="17"/>
  <c r="X27" i="17"/>
  <c r="X25" i="17"/>
  <c r="X20" i="17"/>
  <c r="X18" i="17"/>
  <c r="X16" i="17"/>
  <c r="X14" i="17"/>
  <c r="G70" i="17"/>
  <c r="G69" i="17"/>
  <c r="B75" i="17"/>
  <c r="B74" i="17"/>
  <c r="E75" i="17"/>
  <c r="D75" i="17"/>
  <c r="C75" i="17"/>
  <c r="X12" i="17" l="1"/>
  <c r="X9" i="17"/>
  <c r="X6" i="17"/>
  <c r="F75" i="17"/>
  <c r="P21" i="17"/>
  <c r="P30" i="17"/>
  <c r="G75" i="17" l="1"/>
  <c r="Y50" i="17"/>
  <c r="Y51" i="17"/>
  <c r="Y52" i="17"/>
  <c r="Y49" i="17"/>
  <c r="M13" i="17"/>
  <c r="B19" i="17" l="1"/>
  <c r="B18" i="17" s="1"/>
  <c r="Y53" i="17"/>
  <c r="Y54" i="17"/>
  <c r="Y55" i="17"/>
  <c r="Y36" i="17"/>
  <c r="Y40" i="17"/>
  <c r="B10" i="17"/>
  <c r="B35" i="17"/>
  <c r="B13" i="17" l="1"/>
  <c r="B12" i="17" s="1"/>
  <c r="G4" i="17"/>
  <c r="K4" i="17" s="1"/>
  <c r="B6" i="17"/>
  <c r="C10" i="17"/>
  <c r="C9" i="17" s="1"/>
  <c r="D10" i="17"/>
  <c r="E10" i="17"/>
  <c r="E9" i="17" s="1"/>
  <c r="F10" i="17"/>
  <c r="F9" i="17" s="1"/>
  <c r="C26" i="17"/>
  <c r="C25" i="17" s="1"/>
  <c r="D26" i="17"/>
  <c r="D25" i="17" s="1"/>
  <c r="D27" i="17"/>
  <c r="C27" i="17"/>
  <c r="F28" i="17"/>
  <c r="F27" i="17" s="1"/>
  <c r="E28" i="17"/>
  <c r="E26" i="17" s="1"/>
  <c r="E25" i="17" s="1"/>
  <c r="B28" i="17"/>
  <c r="F19" i="17"/>
  <c r="F18" i="17" s="1"/>
  <c r="E19" i="17"/>
  <c r="E18" i="17" s="1"/>
  <c r="D19" i="17"/>
  <c r="D18" i="17" s="1"/>
  <c r="C19" i="17"/>
  <c r="C18" i="17" s="1"/>
  <c r="L37" i="17"/>
  <c r="M37" i="17"/>
  <c r="N37" i="17"/>
  <c r="K37" i="17"/>
  <c r="C32" i="17"/>
  <c r="D32" i="17"/>
  <c r="E32" i="17"/>
  <c r="F32" i="17"/>
  <c r="B32" i="17"/>
  <c r="C56" i="17"/>
  <c r="D56" i="17"/>
  <c r="E56" i="17"/>
  <c r="F56" i="17"/>
  <c r="B56" i="17"/>
  <c r="C54" i="17"/>
  <c r="D54" i="17"/>
  <c r="E54" i="17"/>
  <c r="F54" i="17"/>
  <c r="B54" i="17"/>
  <c r="C52" i="17"/>
  <c r="D52" i="17"/>
  <c r="E52" i="17"/>
  <c r="F52" i="17"/>
  <c r="B52" i="17"/>
  <c r="C50" i="17"/>
  <c r="D50" i="17"/>
  <c r="E50" i="17"/>
  <c r="F50" i="17"/>
  <c r="B50" i="17"/>
  <c r="C48" i="17"/>
  <c r="C47" i="17" s="1"/>
  <c r="D48" i="17"/>
  <c r="D47" i="17" s="1"/>
  <c r="E48" i="17"/>
  <c r="E47" i="17" s="1"/>
  <c r="F48" i="17"/>
  <c r="F47" i="17" s="1"/>
  <c r="B48" i="17"/>
  <c r="C45" i="17"/>
  <c r="D45" i="17"/>
  <c r="E45" i="17"/>
  <c r="F45" i="17"/>
  <c r="B45" i="17"/>
  <c r="C38" i="17"/>
  <c r="D38" i="17"/>
  <c r="E38" i="17"/>
  <c r="F38" i="17"/>
  <c r="B38" i="17"/>
  <c r="C29" i="17"/>
  <c r="D29" i="17"/>
  <c r="E29" i="17"/>
  <c r="F29" i="17"/>
  <c r="B29" i="17"/>
  <c r="C22" i="17"/>
  <c r="D22" i="17"/>
  <c r="E22" i="17"/>
  <c r="F22" i="17"/>
  <c r="B22" i="17"/>
  <c r="C20" i="17"/>
  <c r="D20" i="17"/>
  <c r="E20" i="17"/>
  <c r="F20" i="17"/>
  <c r="B20" i="17"/>
  <c r="C6" i="17"/>
  <c r="D6" i="17"/>
  <c r="E6" i="17"/>
  <c r="F6" i="17"/>
  <c r="Y11" i="17"/>
  <c r="Y8" i="17"/>
  <c r="Y24" i="17"/>
  <c r="M4" i="17" l="1"/>
  <c r="T20" i="17"/>
  <c r="S20" i="17"/>
  <c r="U20" i="17"/>
  <c r="R20" i="17"/>
  <c r="V20" i="17"/>
  <c r="G38" i="17"/>
  <c r="G39" i="17" s="1"/>
  <c r="C13" i="17"/>
  <c r="C12" i="17" s="1"/>
  <c r="B47" i="17"/>
  <c r="G47" i="17" s="1"/>
  <c r="G48" i="17" s="1"/>
  <c r="B5" i="17"/>
  <c r="E5" i="17"/>
  <c r="G20" i="17"/>
  <c r="G21" i="17" s="1"/>
  <c r="L4" i="17"/>
  <c r="X38" i="17"/>
  <c r="D5" i="17"/>
  <c r="G29" i="17"/>
  <c r="G30" i="17" s="1"/>
  <c r="G22" i="17"/>
  <c r="G23" i="17" s="1"/>
  <c r="G32" i="17"/>
  <c r="G33" i="17" s="1"/>
  <c r="B27" i="17"/>
  <c r="B26" i="17"/>
  <c r="B25" i="17" s="1"/>
  <c r="U16" i="17"/>
  <c r="S16" i="17"/>
  <c r="T16" i="17"/>
  <c r="G45" i="17"/>
  <c r="G46" i="17" s="1"/>
  <c r="O37" i="17"/>
  <c r="P37" i="17" s="1"/>
  <c r="X22" i="17"/>
  <c r="X45" i="17" s="1"/>
  <c r="T14" i="17"/>
  <c r="D76" i="17" s="1"/>
  <c r="U14" i="17"/>
  <c r="E76" i="17" s="1"/>
  <c r="S14" i="17"/>
  <c r="C76" i="17" s="1"/>
  <c r="G6" i="17"/>
  <c r="G7" i="17" s="1"/>
  <c r="G18" i="17"/>
  <c r="K18" i="17" s="1"/>
  <c r="D13" i="17"/>
  <c r="D12" i="17" s="1"/>
  <c r="C5" i="17"/>
  <c r="F13" i="17"/>
  <c r="F12" i="17" s="1"/>
  <c r="F5" i="17"/>
  <c r="E13" i="17"/>
  <c r="E12" i="17" s="1"/>
  <c r="G12" i="17" s="1"/>
  <c r="N4" i="17"/>
  <c r="F26" i="17"/>
  <c r="F25" i="17" s="1"/>
  <c r="E27" i="17"/>
  <c r="G27" i="17" s="1"/>
  <c r="G28" i="17" s="1"/>
  <c r="B34" i="17"/>
  <c r="G52" i="17"/>
  <c r="G53" i="17" s="1"/>
  <c r="G54" i="17"/>
  <c r="G55" i="17" s="1"/>
  <c r="K20" i="17"/>
  <c r="D9" i="17"/>
  <c r="R4" i="17"/>
  <c r="AU13" i="4"/>
  <c r="O4" i="17" l="1"/>
  <c r="P4" i="17" s="1"/>
  <c r="D72" i="17"/>
  <c r="G10" i="17"/>
  <c r="G35" i="17"/>
  <c r="R21" i="17"/>
  <c r="W20" i="17"/>
  <c r="H43" i="17"/>
  <c r="H44" i="17" s="1"/>
  <c r="L12" i="17"/>
  <c r="K12" i="17"/>
  <c r="X13" i="17"/>
  <c r="K27" i="17"/>
  <c r="N12" i="17"/>
  <c r="T29" i="17"/>
  <c r="U29" i="17"/>
  <c r="V29" i="17"/>
  <c r="S29" i="17"/>
  <c r="R29" i="17"/>
  <c r="X30" i="17"/>
  <c r="L29" i="17"/>
  <c r="H41" i="17"/>
  <c r="M12" i="17"/>
  <c r="X15" i="17"/>
  <c r="N29" i="17"/>
  <c r="M29" i="17"/>
  <c r="R18" i="17"/>
  <c r="B73" i="17" s="1"/>
  <c r="X34" i="17"/>
  <c r="X35" i="17" s="1"/>
  <c r="K29" i="17"/>
  <c r="M18" i="17"/>
  <c r="T18" i="17" s="1"/>
  <c r="D73" i="17" s="1"/>
  <c r="G19" i="17"/>
  <c r="G13" i="17" s="1"/>
  <c r="N18" i="17"/>
  <c r="U18" i="17" s="1"/>
  <c r="E73" i="17" s="1"/>
  <c r="L18" i="17"/>
  <c r="S18" i="17" s="1"/>
  <c r="C73" i="17" s="1"/>
  <c r="X10" i="17"/>
  <c r="S4" i="17"/>
  <c r="T4" i="17"/>
  <c r="U4" i="17"/>
  <c r="V4" i="17"/>
  <c r="G25" i="17"/>
  <c r="G26" i="17" s="1"/>
  <c r="X17" i="17"/>
  <c r="X7" i="17"/>
  <c r="X39" i="17"/>
  <c r="X21" i="17"/>
  <c r="X19" i="17"/>
  <c r="X44" i="17"/>
  <c r="X33" i="17"/>
  <c r="X42" i="17"/>
  <c r="X48" i="17"/>
  <c r="X57" i="17"/>
  <c r="X28" i="17"/>
  <c r="X26" i="17"/>
  <c r="X46" i="17"/>
  <c r="X23" i="17"/>
  <c r="BB89" i="3"/>
  <c r="I75" i="17"/>
  <c r="I78" i="17"/>
  <c r="I79" i="17"/>
  <c r="I80" i="17"/>
  <c r="I81" i="17"/>
  <c r="I82" i="17"/>
  <c r="I83" i="17"/>
  <c r="I84" i="17"/>
  <c r="C74" i="17"/>
  <c r="C72" i="17" s="1"/>
  <c r="C85" i="17" s="1"/>
  <c r="C86" i="17" s="1"/>
  <c r="D74" i="17"/>
  <c r="E74" i="17"/>
  <c r="E72" i="17" s="1"/>
  <c r="E85" i="17" s="1"/>
  <c r="E86" i="17" s="1"/>
  <c r="F74" i="17"/>
  <c r="C35" i="17"/>
  <c r="D35" i="17"/>
  <c r="E35" i="17"/>
  <c r="F35" i="17"/>
  <c r="BD7" i="13"/>
  <c r="AV6" i="4"/>
  <c r="AV7" i="4"/>
  <c r="AV8" i="4"/>
  <c r="AV9" i="4"/>
  <c r="AV10" i="4"/>
  <c r="AV11" i="4"/>
  <c r="AV12" i="4"/>
  <c r="AV5" i="4"/>
  <c r="B45" i="12"/>
  <c r="D40" i="12"/>
  <c r="D85" i="17" l="1"/>
  <c r="D86" i="17" s="1"/>
  <c r="X37" i="17"/>
  <c r="N25" i="17"/>
  <c r="U25" i="17" s="1"/>
  <c r="U26" i="17" s="1"/>
  <c r="O29" i="17"/>
  <c r="T19" i="17"/>
  <c r="O12" i="17"/>
  <c r="P12" i="17"/>
  <c r="S19" i="17"/>
  <c r="R19" i="17"/>
  <c r="U19" i="17"/>
  <c r="H42" i="17"/>
  <c r="S30" i="17"/>
  <c r="L25" i="17"/>
  <c r="S25" i="17" s="1"/>
  <c r="S26" i="17" s="1"/>
  <c r="M25" i="17"/>
  <c r="T25" i="17" s="1"/>
  <c r="T26" i="17" s="1"/>
  <c r="O18" i="17"/>
  <c r="V18" i="17" s="1"/>
  <c r="F73" i="17" s="1"/>
  <c r="U30" i="17"/>
  <c r="R30" i="17"/>
  <c r="T30" i="17"/>
  <c r="R27" i="17"/>
  <c r="R28" i="17" s="1"/>
  <c r="V30" i="17"/>
  <c r="W4" i="17"/>
  <c r="Y4" i="17" s="1"/>
  <c r="K25" i="17"/>
  <c r="M27" i="17"/>
  <c r="T27" i="17" s="1"/>
  <c r="T28" i="17" s="1"/>
  <c r="L27" i="17"/>
  <c r="S27" i="17" s="1"/>
  <c r="S28" i="17" s="1"/>
  <c r="N27" i="17"/>
  <c r="U27" i="17" s="1"/>
  <c r="U28" i="17" s="1"/>
  <c r="D34" i="17"/>
  <c r="C34" i="17"/>
  <c r="L45" i="17"/>
  <c r="S45" i="17" s="1"/>
  <c r="S46" i="17" s="1"/>
  <c r="G74" i="17"/>
  <c r="K32" i="17"/>
  <c r="K38" i="17"/>
  <c r="B41" i="17" s="1"/>
  <c r="G56" i="17"/>
  <c r="G57" i="17" s="1"/>
  <c r="G5" i="17" s="1"/>
  <c r="G50" i="17"/>
  <c r="G51" i="17" s="1"/>
  <c r="E34" i="17"/>
  <c r="K22" i="17"/>
  <c r="F34" i="17"/>
  <c r="T26" i="8"/>
  <c r="E23" i="15"/>
  <c r="D24" i="15"/>
  <c r="D25" i="15"/>
  <c r="D26" i="15"/>
  <c r="D27" i="15"/>
  <c r="D28" i="15"/>
  <c r="D29" i="15"/>
  <c r="D30" i="15"/>
  <c r="D23" i="15"/>
  <c r="C3" i="15"/>
  <c r="B33" i="15"/>
  <c r="G23" i="15"/>
  <c r="E26" i="15"/>
  <c r="E27" i="15"/>
  <c r="E28" i="15"/>
  <c r="E29" i="15"/>
  <c r="E30" i="15"/>
  <c r="H24" i="15"/>
  <c r="E24" i="15"/>
  <c r="E25" i="15"/>
  <c r="G24" i="15"/>
  <c r="H23" i="15"/>
  <c r="P89" i="6"/>
  <c r="Q89" i="6"/>
  <c r="R89" i="6"/>
  <c r="S89" i="6"/>
  <c r="O89" i="6"/>
  <c r="T89" i="6"/>
  <c r="P87" i="6"/>
  <c r="Q87" i="6"/>
  <c r="R87" i="6"/>
  <c r="S87" i="6"/>
  <c r="O87" i="6"/>
  <c r="T88" i="6"/>
  <c r="O88" i="6"/>
  <c r="P88" i="6"/>
  <c r="Q88" i="6"/>
  <c r="R88" i="6"/>
  <c r="S88" i="6"/>
  <c r="N14" i="6"/>
  <c r="N7" i="6"/>
  <c r="R116" i="6"/>
  <c r="N116" i="6"/>
  <c r="Y3" i="15"/>
  <c r="Q4" i="15"/>
  <c r="C4" i="15"/>
  <c r="Q5" i="15"/>
  <c r="C5" i="15"/>
  <c r="Y5" i="15"/>
  <c r="C6" i="15"/>
  <c r="Y6" i="15"/>
  <c r="Q9" i="15"/>
  <c r="Q7" i="15"/>
  <c r="C7" i="15"/>
  <c r="Y7" i="15"/>
  <c r="Q8" i="15"/>
  <c r="C8" i="15"/>
  <c r="C9" i="15"/>
  <c r="Y9" i="15"/>
  <c r="D3" i="15"/>
  <c r="Z3" i="15"/>
  <c r="R4" i="15"/>
  <c r="D4" i="15"/>
  <c r="Z4" i="15"/>
  <c r="R5" i="15"/>
  <c r="D5" i="15"/>
  <c r="Z5" i="15"/>
  <c r="D6" i="15"/>
  <c r="R9" i="15"/>
  <c r="R7" i="15"/>
  <c r="D7" i="15"/>
  <c r="Z7" i="15"/>
  <c r="R8" i="15"/>
  <c r="D8" i="15"/>
  <c r="Z8" i="15"/>
  <c r="D9" i="15"/>
  <c r="Z9" i="15"/>
  <c r="E3" i="15"/>
  <c r="AA3" i="15"/>
  <c r="S4" i="15"/>
  <c r="E4" i="15"/>
  <c r="AA4" i="15"/>
  <c r="S5" i="15"/>
  <c r="E5" i="15"/>
  <c r="AA5" i="15"/>
  <c r="E6" i="15"/>
  <c r="AA6" i="15"/>
  <c r="S9" i="15"/>
  <c r="S7" i="15"/>
  <c r="E7" i="15"/>
  <c r="AA7" i="15"/>
  <c r="S8" i="15"/>
  <c r="E8" i="15"/>
  <c r="AA8" i="15"/>
  <c r="E9" i="15"/>
  <c r="F3" i="15"/>
  <c r="AB3" i="15"/>
  <c r="T4" i="15"/>
  <c r="F4" i="15"/>
  <c r="AB4" i="15"/>
  <c r="T5" i="15"/>
  <c r="F5" i="15"/>
  <c r="AB5" i="15"/>
  <c r="F6" i="15"/>
  <c r="AB6" i="15"/>
  <c r="T9" i="15"/>
  <c r="T7" i="15"/>
  <c r="F7" i="15"/>
  <c r="AB7" i="15"/>
  <c r="T8" i="15"/>
  <c r="F8" i="15"/>
  <c r="AB8" i="15"/>
  <c r="F9" i="15"/>
  <c r="AB9" i="15"/>
  <c r="G3" i="15"/>
  <c r="AC3" i="15"/>
  <c r="U4" i="15"/>
  <c r="G4" i="15"/>
  <c r="U5" i="15"/>
  <c r="G5" i="15"/>
  <c r="AC5" i="15"/>
  <c r="G6" i="15"/>
  <c r="AC6" i="15"/>
  <c r="U9" i="15"/>
  <c r="U7" i="15"/>
  <c r="G7" i="15"/>
  <c r="AC7" i="15"/>
  <c r="U8" i="15"/>
  <c r="G8" i="15"/>
  <c r="AC8" i="15"/>
  <c r="G9" i="15"/>
  <c r="AC9" i="15"/>
  <c r="J12" i="15"/>
  <c r="I12" i="15"/>
  <c r="J75" i="3"/>
  <c r="C74" i="3"/>
  <c r="X9" i="12"/>
  <c r="X8" i="12"/>
  <c r="X5" i="12"/>
  <c r="X6" i="12"/>
  <c r="AB8" i="12"/>
  <c r="V9" i="15"/>
  <c r="V6" i="15"/>
  <c r="V3" i="15"/>
  <c r="Q116" i="6"/>
  <c r="P116" i="6"/>
  <c r="O116" i="6"/>
  <c r="J26" i="3"/>
  <c r="C26" i="3" s="1"/>
  <c r="AP89" i="3"/>
  <c r="BN89" i="3"/>
  <c r="AP90" i="3"/>
  <c r="BN90" i="3"/>
  <c r="AP91" i="3"/>
  <c r="BN91" i="3"/>
  <c r="AP92" i="3"/>
  <c r="BN92" i="3"/>
  <c r="AP93" i="3"/>
  <c r="BN93" i="3"/>
  <c r="BN95" i="3"/>
  <c r="AP94" i="3"/>
  <c r="BM94" i="3"/>
  <c r="BN94" i="3"/>
  <c r="C3" i="14"/>
  <c r="D3" i="14"/>
  <c r="E3" i="14"/>
  <c r="F3" i="14"/>
  <c r="G3" i="14"/>
  <c r="H3" i="14"/>
  <c r="I3" i="14"/>
  <c r="C4" i="14"/>
  <c r="D4" i="14"/>
  <c r="E4" i="14"/>
  <c r="F4" i="14"/>
  <c r="G4" i="14"/>
  <c r="H4" i="14"/>
  <c r="I4" i="14"/>
  <c r="C5" i="14"/>
  <c r="D5" i="14"/>
  <c r="E5" i="14"/>
  <c r="F5" i="14"/>
  <c r="G5" i="14"/>
  <c r="H5" i="14"/>
  <c r="I5" i="14"/>
  <c r="C6" i="14"/>
  <c r="D6" i="14"/>
  <c r="E6" i="14"/>
  <c r="F6" i="14"/>
  <c r="G6" i="14"/>
  <c r="H6" i="14"/>
  <c r="I6" i="14"/>
  <c r="C7" i="14"/>
  <c r="D7" i="14"/>
  <c r="E7" i="14"/>
  <c r="F7" i="14"/>
  <c r="G7" i="14"/>
  <c r="H7" i="14"/>
  <c r="I7" i="14"/>
  <c r="C8" i="14"/>
  <c r="D8" i="14"/>
  <c r="E8" i="14"/>
  <c r="F8" i="14"/>
  <c r="G8" i="14"/>
  <c r="H8" i="14"/>
  <c r="I8" i="14"/>
  <c r="C9" i="14"/>
  <c r="D9" i="14"/>
  <c r="E9" i="14"/>
  <c r="F9" i="14"/>
  <c r="G9" i="14"/>
  <c r="H9" i="14"/>
  <c r="I9" i="14"/>
  <c r="C10" i="14"/>
  <c r="C11" i="14"/>
  <c r="D10" i="14"/>
  <c r="D11" i="14"/>
  <c r="E10" i="14"/>
  <c r="E11" i="14"/>
  <c r="F10" i="14"/>
  <c r="F11" i="14"/>
  <c r="G10" i="14"/>
  <c r="G11" i="14"/>
  <c r="N5" i="14"/>
  <c r="D14" i="14"/>
  <c r="E14" i="14"/>
  <c r="F14" i="14"/>
  <c r="G14" i="14"/>
  <c r="H14" i="14"/>
  <c r="C14" i="14"/>
  <c r="D17" i="14"/>
  <c r="H17" i="14"/>
  <c r="D18" i="14"/>
  <c r="E17" i="14"/>
  <c r="E18" i="14"/>
  <c r="F17" i="14"/>
  <c r="F18" i="14"/>
  <c r="G17" i="14"/>
  <c r="G18" i="14"/>
  <c r="C17" i="14"/>
  <c r="C18" i="14"/>
  <c r="W4" i="14"/>
  <c r="W5" i="14"/>
  <c r="W6" i="14"/>
  <c r="W7" i="14"/>
  <c r="W8" i="14"/>
  <c r="W9" i="14"/>
  <c r="W3" i="14"/>
  <c r="R31" i="8"/>
  <c r="T31" i="8" s="1"/>
  <c r="J12" i="14"/>
  <c r="Z9" i="14"/>
  <c r="AA9" i="14"/>
  <c r="AB9" i="14"/>
  <c r="AC9" i="14"/>
  <c r="AD9" i="14"/>
  <c r="AE9" i="14"/>
  <c r="Z6" i="14"/>
  <c r="AA6" i="14"/>
  <c r="AB6" i="14"/>
  <c r="AC6" i="14"/>
  <c r="AD6" i="14"/>
  <c r="AE6" i="14"/>
  <c r="Z3" i="14"/>
  <c r="AA3" i="14"/>
  <c r="AB3" i="14"/>
  <c r="AC3" i="14"/>
  <c r="AD3" i="14"/>
  <c r="AE3" i="14"/>
  <c r="H25" i="3"/>
  <c r="G74" i="3"/>
  <c r="F74" i="3"/>
  <c r="E74" i="3"/>
  <c r="D74" i="3"/>
  <c r="D73" i="3"/>
  <c r="J73" i="3"/>
  <c r="L66" i="3"/>
  <c r="M66" i="3"/>
  <c r="N66" i="3"/>
  <c r="L68" i="3"/>
  <c r="L67" i="3"/>
  <c r="H44" i="3"/>
  <c r="I44" i="3"/>
  <c r="AR89" i="3"/>
  <c r="C45" i="3"/>
  <c r="AR90" i="3"/>
  <c r="D45" i="3"/>
  <c r="AR91" i="3"/>
  <c r="E45" i="3"/>
  <c r="AR92" i="3"/>
  <c r="F45" i="3"/>
  <c r="AR93" i="3"/>
  <c r="G45" i="3"/>
  <c r="H45" i="3"/>
  <c r="I45" i="3"/>
  <c r="C46" i="3"/>
  <c r="D46" i="3"/>
  <c r="E46" i="3"/>
  <c r="F46" i="3"/>
  <c r="G46" i="3"/>
  <c r="H46" i="3"/>
  <c r="I46" i="3"/>
  <c r="C47" i="3"/>
  <c r="D47" i="3"/>
  <c r="E47" i="3"/>
  <c r="F47" i="3"/>
  <c r="G47" i="3"/>
  <c r="H47" i="3"/>
  <c r="I47" i="3"/>
  <c r="C48" i="3"/>
  <c r="D48" i="3"/>
  <c r="E48" i="3"/>
  <c r="F48" i="3"/>
  <c r="G48" i="3"/>
  <c r="H48" i="3"/>
  <c r="I48" i="3"/>
  <c r="C49" i="3"/>
  <c r="D49" i="3"/>
  <c r="E49" i="3"/>
  <c r="F49" i="3"/>
  <c r="G49" i="3"/>
  <c r="H49" i="3"/>
  <c r="I49" i="3"/>
  <c r="C50" i="3"/>
  <c r="D50" i="3"/>
  <c r="E50" i="3"/>
  <c r="F50" i="3"/>
  <c r="G50" i="3"/>
  <c r="H50" i="3"/>
  <c r="I50" i="3"/>
  <c r="C51" i="3"/>
  <c r="D51" i="3"/>
  <c r="E51" i="3"/>
  <c r="F51" i="3"/>
  <c r="G51" i="3"/>
  <c r="H51" i="3"/>
  <c r="I51" i="3"/>
  <c r="C52" i="3"/>
  <c r="D52" i="3"/>
  <c r="E52" i="3"/>
  <c r="F52" i="3"/>
  <c r="G52" i="3"/>
  <c r="H52" i="3"/>
  <c r="I52" i="3"/>
  <c r="C53" i="3"/>
  <c r="D53" i="3"/>
  <c r="E53" i="3"/>
  <c r="F53" i="3"/>
  <c r="G53" i="3"/>
  <c r="H53" i="3"/>
  <c r="I53" i="3"/>
  <c r="C54" i="3"/>
  <c r="D54" i="3"/>
  <c r="E54" i="3"/>
  <c r="F54" i="3"/>
  <c r="G54" i="3"/>
  <c r="H54" i="3"/>
  <c r="I54" i="3"/>
  <c r="C55" i="3"/>
  <c r="D55" i="3"/>
  <c r="E55" i="3"/>
  <c r="F55" i="3"/>
  <c r="G55" i="3"/>
  <c r="H55" i="3"/>
  <c r="I55" i="3"/>
  <c r="C56" i="3"/>
  <c r="D56" i="3"/>
  <c r="E56" i="3"/>
  <c r="F56" i="3"/>
  <c r="G56" i="3"/>
  <c r="H56" i="3"/>
  <c r="I56" i="3"/>
  <c r="C57" i="3"/>
  <c r="D57" i="3"/>
  <c r="E57" i="3"/>
  <c r="F57" i="3"/>
  <c r="G57" i="3"/>
  <c r="H57" i="3"/>
  <c r="I57" i="3"/>
  <c r="C58" i="3"/>
  <c r="D58" i="3"/>
  <c r="E58" i="3"/>
  <c r="F58" i="3"/>
  <c r="G58" i="3"/>
  <c r="H58" i="3"/>
  <c r="I58" i="3"/>
  <c r="C59" i="3"/>
  <c r="D59" i="3"/>
  <c r="E59" i="3"/>
  <c r="F59" i="3"/>
  <c r="G59" i="3"/>
  <c r="H59" i="3"/>
  <c r="I59" i="3"/>
  <c r="C60" i="3"/>
  <c r="D60" i="3"/>
  <c r="E60" i="3"/>
  <c r="F60" i="3"/>
  <c r="G60" i="3"/>
  <c r="H60" i="3"/>
  <c r="I60" i="3"/>
  <c r="C61" i="3"/>
  <c r="D61" i="3"/>
  <c r="E61" i="3"/>
  <c r="F61" i="3"/>
  <c r="G61" i="3"/>
  <c r="H61" i="3"/>
  <c r="I61" i="3"/>
  <c r="C62" i="3"/>
  <c r="D62" i="3"/>
  <c r="E62" i="3"/>
  <c r="F62" i="3"/>
  <c r="G62" i="3"/>
  <c r="H62" i="3"/>
  <c r="I62" i="3"/>
  <c r="C63" i="3"/>
  <c r="D63" i="3"/>
  <c r="E63" i="3"/>
  <c r="F63" i="3"/>
  <c r="G63" i="3"/>
  <c r="H63" i="3"/>
  <c r="I63" i="3"/>
  <c r="C64" i="3"/>
  <c r="D64" i="3"/>
  <c r="E64" i="3"/>
  <c r="F64" i="3"/>
  <c r="G64" i="3"/>
  <c r="H64" i="3"/>
  <c r="I64" i="3"/>
  <c r="C65" i="3"/>
  <c r="D65" i="3"/>
  <c r="E65" i="3"/>
  <c r="F65" i="3"/>
  <c r="G65" i="3"/>
  <c r="H65" i="3"/>
  <c r="I65" i="3"/>
  <c r="C66" i="3"/>
  <c r="D66" i="3"/>
  <c r="E66" i="3"/>
  <c r="F66" i="3"/>
  <c r="G66" i="3"/>
  <c r="H66" i="3"/>
  <c r="I66" i="3"/>
  <c r="C67" i="3"/>
  <c r="D67" i="3"/>
  <c r="E67" i="3"/>
  <c r="F67" i="3"/>
  <c r="G67" i="3"/>
  <c r="H67" i="3"/>
  <c r="I67" i="3"/>
  <c r="C68" i="3"/>
  <c r="D68" i="3"/>
  <c r="E68" i="3"/>
  <c r="F68" i="3"/>
  <c r="G68" i="3"/>
  <c r="H68" i="3"/>
  <c r="I68" i="3"/>
  <c r="B45" i="3"/>
  <c r="B46" i="3"/>
  <c r="B47" i="3"/>
  <c r="B48" i="3"/>
  <c r="B49" i="3"/>
  <c r="B50" i="3"/>
  <c r="B51" i="3"/>
  <c r="B52" i="3"/>
  <c r="B53" i="3"/>
  <c r="B54" i="3"/>
  <c r="B55" i="3"/>
  <c r="B56" i="3"/>
  <c r="B57" i="3"/>
  <c r="B58" i="3"/>
  <c r="B59" i="3"/>
  <c r="B60" i="3"/>
  <c r="B61" i="3"/>
  <c r="B62" i="3"/>
  <c r="B63" i="3"/>
  <c r="B64" i="3"/>
  <c r="B65" i="3"/>
  <c r="B66" i="3"/>
  <c r="B67" i="3"/>
  <c r="B68" i="3"/>
  <c r="B119" i="3"/>
  <c r="J28" i="3"/>
  <c r="J29" i="3" s="1"/>
  <c r="J31" i="3"/>
  <c r="AW95" i="3" s="1"/>
  <c r="D26" i="3"/>
  <c r="D28" i="3" s="1"/>
  <c r="D31" i="3"/>
  <c r="F26" i="3"/>
  <c r="F28" i="3" s="1"/>
  <c r="F31" i="3"/>
  <c r="M37" i="3"/>
  <c r="J33" i="3"/>
  <c r="AY95" i="3"/>
  <c r="BP89" i="3" s="1"/>
  <c r="AY89" i="3" s="1"/>
  <c r="J32" i="3"/>
  <c r="AX95" i="3" s="1"/>
  <c r="J34" i="3"/>
  <c r="AZ95" i="3" s="1"/>
  <c r="J30" i="3"/>
  <c r="BB95" i="3" s="1"/>
  <c r="D38" i="3"/>
  <c r="G119" i="3"/>
  <c r="G120" i="3"/>
  <c r="BL94" i="3"/>
  <c r="BL96" i="3"/>
  <c r="J38" i="3"/>
  <c r="BG95" i="3" s="1"/>
  <c r="J37" i="3"/>
  <c r="BE95" i="3" s="1"/>
  <c r="BB90" i="3"/>
  <c r="BB91" i="3"/>
  <c r="BB92" i="3"/>
  <c r="BB93" i="3"/>
  <c r="AU89" i="3"/>
  <c r="AW25" i="13"/>
  <c r="AV24" i="13"/>
  <c r="AW24" i="13"/>
  <c r="AX26" i="13"/>
  <c r="AX25" i="13"/>
  <c r="AX24" i="13"/>
  <c r="AT25" i="13"/>
  <c r="AT24" i="13"/>
  <c r="AV25" i="13"/>
  <c r="AV26" i="13"/>
  <c r="AV27" i="13"/>
  <c r="AV28" i="13"/>
  <c r="AV29" i="13"/>
  <c r="AV30" i="13"/>
  <c r="AV31" i="13"/>
  <c r="AV23" i="13"/>
  <c r="J27" i="3"/>
  <c r="AV95" i="3" s="1"/>
  <c r="BC7" i="13"/>
  <c r="AS24" i="13"/>
  <c r="AS31" i="13"/>
  <c r="AS30" i="13"/>
  <c r="AS29" i="13"/>
  <c r="AS28" i="13"/>
  <c r="AS27" i="13"/>
  <c r="AS25" i="13"/>
  <c r="AU25" i="13"/>
  <c r="AU24" i="13"/>
  <c r="AU26" i="13"/>
  <c r="AS26" i="13"/>
  <c r="AS23" i="13"/>
  <c r="BC16" i="13"/>
  <c r="BC15" i="13"/>
  <c r="BC14" i="13"/>
  <c r="BD14" i="13"/>
  <c r="BC13" i="13"/>
  <c r="BD13" i="13"/>
  <c r="BC12" i="13"/>
  <c r="BD12" i="13"/>
  <c r="BC11" i="13"/>
  <c r="BD11" i="13"/>
  <c r="BC10" i="13"/>
  <c r="BD10" i="13"/>
  <c r="BC9" i="13"/>
  <c r="BD9" i="13"/>
  <c r="BC8" i="13"/>
  <c r="BD8" i="13"/>
  <c r="D37" i="3"/>
  <c r="F37" i="3"/>
  <c r="F36" i="3"/>
  <c r="D35" i="3"/>
  <c r="J35" i="3"/>
  <c r="BC95" i="3" s="1"/>
  <c r="D32" i="3"/>
  <c r="F32" i="3"/>
  <c r="AS92" i="3"/>
  <c r="AS90" i="3"/>
  <c r="BM95" i="3"/>
  <c r="I25" i="3"/>
  <c r="J74" i="3"/>
  <c r="AK93" i="3"/>
  <c r="F44" i="12"/>
  <c r="G44" i="12"/>
  <c r="G35" i="12"/>
  <c r="AK92" i="3"/>
  <c r="F43" i="12"/>
  <c r="G43" i="12"/>
  <c r="F35" i="12"/>
  <c r="AK91" i="3"/>
  <c r="F42" i="12"/>
  <c r="G42" i="12"/>
  <c r="E35" i="12"/>
  <c r="AK90" i="3"/>
  <c r="F41" i="12"/>
  <c r="G41" i="12"/>
  <c r="D35" i="12"/>
  <c r="AK89" i="3"/>
  <c r="F40" i="12"/>
  <c r="G40" i="12"/>
  <c r="C35" i="12"/>
  <c r="C44" i="12"/>
  <c r="D44" i="12"/>
  <c r="G24" i="12"/>
  <c r="C43" i="12"/>
  <c r="D43" i="12"/>
  <c r="F24" i="12"/>
  <c r="C42" i="12"/>
  <c r="D42" i="12"/>
  <c r="E24" i="12"/>
  <c r="C41" i="12"/>
  <c r="D41" i="12"/>
  <c r="D24" i="12"/>
  <c r="C40" i="12"/>
  <c r="C24" i="12"/>
  <c r="F45" i="12"/>
  <c r="E45" i="12"/>
  <c r="D45" i="12"/>
  <c r="D47" i="12"/>
  <c r="G45" i="12"/>
  <c r="G47" i="12"/>
  <c r="G46" i="12"/>
  <c r="H40" i="12"/>
  <c r="H41" i="12"/>
  <c r="H42" i="12"/>
  <c r="H43" i="12"/>
  <c r="H44" i="12"/>
  <c r="H46" i="12"/>
  <c r="C45" i="12"/>
  <c r="H45" i="12"/>
  <c r="D46" i="12"/>
  <c r="C13" i="12"/>
  <c r="D13" i="12"/>
  <c r="E13" i="12"/>
  <c r="F13" i="12"/>
  <c r="G13" i="12"/>
  <c r="H13" i="12"/>
  <c r="J22" i="12"/>
  <c r="H24" i="12"/>
  <c r="J33" i="12"/>
  <c r="J32" i="12"/>
  <c r="J31" i="12"/>
  <c r="J30" i="12"/>
  <c r="J29" i="12"/>
  <c r="J28" i="12"/>
  <c r="J27" i="12"/>
  <c r="J26" i="12"/>
  <c r="J21" i="12"/>
  <c r="J20" i="12"/>
  <c r="J19" i="12"/>
  <c r="J18" i="12"/>
  <c r="J17" i="12"/>
  <c r="J16" i="12"/>
  <c r="J15" i="12"/>
  <c r="J10" i="12"/>
  <c r="J9" i="12"/>
  <c r="J8" i="12"/>
  <c r="J7" i="12"/>
  <c r="J6" i="12"/>
  <c r="J5" i="12"/>
  <c r="J4" i="12"/>
  <c r="J11" i="12"/>
  <c r="O4" i="12"/>
  <c r="C4" i="12"/>
  <c r="O5" i="12"/>
  <c r="C5" i="12"/>
  <c r="O6" i="12"/>
  <c r="C6" i="12"/>
  <c r="O7" i="12"/>
  <c r="C7" i="12"/>
  <c r="O8" i="12"/>
  <c r="C8" i="12"/>
  <c r="O9" i="12"/>
  <c r="C9" i="12"/>
  <c r="O10" i="12"/>
  <c r="C10" i="12"/>
  <c r="C11" i="12"/>
  <c r="P4" i="12"/>
  <c r="D4" i="12"/>
  <c r="P5" i="12"/>
  <c r="D5" i="12"/>
  <c r="P6" i="12"/>
  <c r="D6" i="12"/>
  <c r="P7" i="12"/>
  <c r="D7" i="12"/>
  <c r="P8" i="12"/>
  <c r="D8" i="12"/>
  <c r="P9" i="12"/>
  <c r="D9" i="12"/>
  <c r="P10" i="12"/>
  <c r="D10" i="12"/>
  <c r="D11" i="12"/>
  <c r="Q4" i="12"/>
  <c r="E4" i="12"/>
  <c r="Q5" i="12"/>
  <c r="E5" i="12"/>
  <c r="Q6" i="12"/>
  <c r="E6" i="12"/>
  <c r="Q7" i="12"/>
  <c r="E7" i="12"/>
  <c r="Q8" i="12"/>
  <c r="E8" i="12"/>
  <c r="Q9" i="12"/>
  <c r="E9" i="12"/>
  <c r="Q10" i="12"/>
  <c r="E10" i="12"/>
  <c r="E11" i="12"/>
  <c r="R4" i="12"/>
  <c r="F4" i="12"/>
  <c r="R5" i="12"/>
  <c r="F5" i="12"/>
  <c r="R6" i="12"/>
  <c r="F6" i="12"/>
  <c r="R7" i="12"/>
  <c r="F7" i="12"/>
  <c r="R8" i="12"/>
  <c r="F8" i="12"/>
  <c r="R9" i="12"/>
  <c r="F9" i="12"/>
  <c r="R10" i="12"/>
  <c r="F10" i="12"/>
  <c r="F11" i="12"/>
  <c r="S4" i="12"/>
  <c r="G4" i="12"/>
  <c r="S5" i="12"/>
  <c r="G5" i="12"/>
  <c r="S6" i="12"/>
  <c r="G6" i="12"/>
  <c r="S7" i="12"/>
  <c r="G7" i="12"/>
  <c r="S8" i="12"/>
  <c r="G8" i="12"/>
  <c r="S9" i="12"/>
  <c r="G9" i="12"/>
  <c r="S10" i="12"/>
  <c r="G10" i="12"/>
  <c r="G11" i="12"/>
  <c r="H11" i="12"/>
  <c r="I11" i="12"/>
  <c r="J13" i="12"/>
  <c r="I13" i="12"/>
  <c r="H12" i="12"/>
  <c r="D12" i="12"/>
  <c r="E12" i="12"/>
  <c r="F12" i="12"/>
  <c r="G12" i="12"/>
  <c r="C12" i="12"/>
  <c r="K35" i="12"/>
  <c r="J35" i="12"/>
  <c r="H35" i="12"/>
  <c r="I35" i="12"/>
  <c r="O26" i="12"/>
  <c r="C26" i="12"/>
  <c r="X27" i="12"/>
  <c r="O27" i="12"/>
  <c r="C27" i="12"/>
  <c r="X28" i="12"/>
  <c r="O28" i="12"/>
  <c r="C28" i="12"/>
  <c r="O29" i="12"/>
  <c r="C29" i="12"/>
  <c r="X10" i="12"/>
  <c r="X30" i="12"/>
  <c r="O30" i="12"/>
  <c r="C30" i="12"/>
  <c r="X31" i="12"/>
  <c r="O31" i="12"/>
  <c r="C31" i="12"/>
  <c r="X32" i="12"/>
  <c r="O32" i="12"/>
  <c r="C32" i="12"/>
  <c r="C33" i="12"/>
  <c r="P26" i="12"/>
  <c r="D26" i="12"/>
  <c r="Y27" i="12"/>
  <c r="P27" i="12"/>
  <c r="D27" i="12"/>
  <c r="Y28" i="12"/>
  <c r="P28" i="12"/>
  <c r="D28" i="12"/>
  <c r="P29" i="12"/>
  <c r="D29" i="12"/>
  <c r="Y10" i="12"/>
  <c r="Y30" i="12"/>
  <c r="P30" i="12"/>
  <c r="D30" i="12"/>
  <c r="Y31" i="12"/>
  <c r="P31" i="12"/>
  <c r="D31" i="12"/>
  <c r="Y32" i="12"/>
  <c r="P32" i="12"/>
  <c r="D32" i="12"/>
  <c r="D33" i="12"/>
  <c r="Q26" i="12"/>
  <c r="E26" i="12"/>
  <c r="Z27" i="12"/>
  <c r="Q27" i="12"/>
  <c r="E27" i="12"/>
  <c r="Z28" i="12"/>
  <c r="Q28" i="12"/>
  <c r="E28" i="12"/>
  <c r="Q29" i="12"/>
  <c r="E29" i="12"/>
  <c r="Z10" i="12"/>
  <c r="Z30" i="12"/>
  <c r="Q30" i="12"/>
  <c r="E30" i="12"/>
  <c r="Z31" i="12"/>
  <c r="Q31" i="12"/>
  <c r="E31" i="12"/>
  <c r="Z32" i="12"/>
  <c r="Q32" i="12"/>
  <c r="E32" i="12"/>
  <c r="E33" i="12"/>
  <c r="R26" i="12"/>
  <c r="F26" i="12"/>
  <c r="AA27" i="12"/>
  <c r="R27" i="12"/>
  <c r="F27" i="12"/>
  <c r="AA28" i="12"/>
  <c r="R28" i="12"/>
  <c r="F28" i="12"/>
  <c r="R29" i="12"/>
  <c r="F29" i="12"/>
  <c r="AA10" i="12"/>
  <c r="AA30" i="12"/>
  <c r="R30" i="12"/>
  <c r="F30" i="12"/>
  <c r="AA31" i="12"/>
  <c r="R31" i="12"/>
  <c r="F31" i="12"/>
  <c r="AA32" i="12"/>
  <c r="R32" i="12"/>
  <c r="F32" i="12"/>
  <c r="F33" i="12"/>
  <c r="S26" i="12"/>
  <c r="G26" i="12"/>
  <c r="AB27" i="12"/>
  <c r="S27" i="12"/>
  <c r="G27" i="12"/>
  <c r="AB28" i="12"/>
  <c r="S28" i="12"/>
  <c r="G28" i="12"/>
  <c r="S29" i="12"/>
  <c r="G29" i="12"/>
  <c r="AB10" i="12"/>
  <c r="AB30" i="12"/>
  <c r="S30" i="12"/>
  <c r="G30" i="12"/>
  <c r="AB31" i="12"/>
  <c r="S31" i="12"/>
  <c r="G31" i="12"/>
  <c r="AB32" i="12"/>
  <c r="S32" i="12"/>
  <c r="G32" i="12"/>
  <c r="G33" i="12"/>
  <c r="H33" i="12"/>
  <c r="H34" i="12"/>
  <c r="G34" i="12"/>
  <c r="F34" i="12"/>
  <c r="E34" i="12"/>
  <c r="D34" i="12"/>
  <c r="C34" i="12"/>
  <c r="I33" i="12"/>
  <c r="AF32" i="12"/>
  <c r="AG32" i="12"/>
  <c r="AH32" i="12"/>
  <c r="AI32" i="12"/>
  <c r="AJ32" i="12"/>
  <c r="AK32" i="12"/>
  <c r="AC32" i="12"/>
  <c r="T32" i="12"/>
  <c r="H32" i="12"/>
  <c r="I32" i="12"/>
  <c r="AF31" i="12"/>
  <c r="AG31" i="12"/>
  <c r="AH31" i="12"/>
  <c r="AI31" i="12"/>
  <c r="AJ31" i="12"/>
  <c r="AK31" i="12"/>
  <c r="AC31" i="12"/>
  <c r="T31" i="12"/>
  <c r="H31" i="12"/>
  <c r="I31" i="12"/>
  <c r="AF30" i="12"/>
  <c r="AG30" i="12"/>
  <c r="AH30" i="12"/>
  <c r="AI30" i="12"/>
  <c r="AJ30" i="12"/>
  <c r="AK30" i="12"/>
  <c r="AC30" i="12"/>
  <c r="T30" i="12"/>
  <c r="H30" i="12"/>
  <c r="I30" i="12"/>
  <c r="AF29" i="12"/>
  <c r="AG29" i="12"/>
  <c r="AH29" i="12"/>
  <c r="AI29" i="12"/>
  <c r="AJ29" i="12"/>
  <c r="AK29" i="12"/>
  <c r="AC29" i="12"/>
  <c r="T29" i="12"/>
  <c r="H26" i="12"/>
  <c r="I26" i="12"/>
  <c r="H27" i="12"/>
  <c r="I27" i="12"/>
  <c r="H28" i="12"/>
  <c r="I28" i="12"/>
  <c r="H29" i="12"/>
  <c r="I29" i="12"/>
  <c r="L29" i="12"/>
  <c r="AF28" i="12"/>
  <c r="AG28" i="12"/>
  <c r="AH28" i="12"/>
  <c r="AI28" i="12"/>
  <c r="AJ28" i="12"/>
  <c r="AK28" i="12"/>
  <c r="AC28" i="12"/>
  <c r="T28" i="12"/>
  <c r="L28" i="12"/>
  <c r="AF27" i="12"/>
  <c r="AG27" i="12"/>
  <c r="AH27" i="12"/>
  <c r="AI27" i="12"/>
  <c r="AJ27" i="12"/>
  <c r="AK27" i="12"/>
  <c r="AC27" i="12"/>
  <c r="T27" i="12"/>
  <c r="AF26" i="12"/>
  <c r="AG26" i="12"/>
  <c r="AH26" i="12"/>
  <c r="AI26" i="12"/>
  <c r="AJ26" i="12"/>
  <c r="AK26" i="12"/>
  <c r="AC26" i="12"/>
  <c r="T26" i="12"/>
  <c r="K24" i="12"/>
  <c r="J24" i="12"/>
  <c r="I24" i="12"/>
  <c r="O15" i="12"/>
  <c r="C15" i="12"/>
  <c r="X16" i="12"/>
  <c r="O16" i="12"/>
  <c r="C16" i="12"/>
  <c r="X17" i="12"/>
  <c r="O17" i="12"/>
  <c r="C17" i="12"/>
  <c r="O18" i="12"/>
  <c r="C18" i="12"/>
  <c r="X19" i="12"/>
  <c r="O19" i="12"/>
  <c r="C19" i="12"/>
  <c r="X20" i="12"/>
  <c r="O20" i="12"/>
  <c r="C20" i="12"/>
  <c r="X21" i="12"/>
  <c r="O21" i="12"/>
  <c r="C21" i="12"/>
  <c r="C22" i="12"/>
  <c r="P15" i="12"/>
  <c r="D15" i="12"/>
  <c r="Y16" i="12"/>
  <c r="P16" i="12"/>
  <c r="D16" i="12"/>
  <c r="Y17" i="12"/>
  <c r="P17" i="12"/>
  <c r="D17" i="12"/>
  <c r="P18" i="12"/>
  <c r="D18" i="12"/>
  <c r="Y19" i="12"/>
  <c r="P19" i="12"/>
  <c r="D19" i="12"/>
  <c r="Y20" i="12"/>
  <c r="P20" i="12"/>
  <c r="D20" i="12"/>
  <c r="Y21" i="12"/>
  <c r="P21" i="12"/>
  <c r="D21" i="12"/>
  <c r="D22" i="12"/>
  <c r="Q15" i="12"/>
  <c r="E15" i="12"/>
  <c r="Z16" i="12"/>
  <c r="Q16" i="12"/>
  <c r="E16" i="12"/>
  <c r="Z17" i="12"/>
  <c r="Q17" i="12"/>
  <c r="E17" i="12"/>
  <c r="Q18" i="12"/>
  <c r="E18" i="12"/>
  <c r="Z19" i="12"/>
  <c r="Q19" i="12"/>
  <c r="E19" i="12"/>
  <c r="Z20" i="12"/>
  <c r="Q20" i="12"/>
  <c r="E20" i="12"/>
  <c r="Z21" i="12"/>
  <c r="Q21" i="12"/>
  <c r="E21" i="12"/>
  <c r="E22" i="12"/>
  <c r="R15" i="12"/>
  <c r="F15" i="12"/>
  <c r="AA16" i="12"/>
  <c r="R16" i="12"/>
  <c r="F16" i="12"/>
  <c r="AA17" i="12"/>
  <c r="R17" i="12"/>
  <c r="F17" i="12"/>
  <c r="R18" i="12"/>
  <c r="F18" i="12"/>
  <c r="AA19" i="12"/>
  <c r="R19" i="12"/>
  <c r="F19" i="12"/>
  <c r="AA20" i="12"/>
  <c r="R20" i="12"/>
  <c r="F20" i="12"/>
  <c r="AA21" i="12"/>
  <c r="R21" i="12"/>
  <c r="F21" i="12"/>
  <c r="F22" i="12"/>
  <c r="S15" i="12"/>
  <c r="G15" i="12"/>
  <c r="AB16" i="12"/>
  <c r="S16" i="12"/>
  <c r="G16" i="12"/>
  <c r="AB17" i="12"/>
  <c r="S17" i="12"/>
  <c r="G17" i="12"/>
  <c r="S18" i="12"/>
  <c r="G18" i="12"/>
  <c r="AB19" i="12"/>
  <c r="S19" i="12"/>
  <c r="G19" i="12"/>
  <c r="AB20" i="12"/>
  <c r="S20" i="12"/>
  <c r="G20" i="12"/>
  <c r="AB21" i="12"/>
  <c r="S21" i="12"/>
  <c r="G21" i="12"/>
  <c r="G22" i="12"/>
  <c r="H22" i="12"/>
  <c r="H23" i="12"/>
  <c r="G23" i="12"/>
  <c r="F23" i="12"/>
  <c r="E23" i="12"/>
  <c r="D23" i="12"/>
  <c r="C23" i="12"/>
  <c r="I22" i="12"/>
  <c r="AF21" i="12"/>
  <c r="AG21" i="12"/>
  <c r="AH21" i="12"/>
  <c r="AI21" i="12"/>
  <c r="AJ21" i="12"/>
  <c r="AK21" i="12"/>
  <c r="AC21" i="12"/>
  <c r="T21" i="12"/>
  <c r="H21" i="12"/>
  <c r="I21" i="12"/>
  <c r="AF20" i="12"/>
  <c r="AG20" i="12"/>
  <c r="AH20" i="12"/>
  <c r="AI20" i="12"/>
  <c r="AJ20" i="12"/>
  <c r="AK20" i="12"/>
  <c r="AC20" i="12"/>
  <c r="T20" i="12"/>
  <c r="H20" i="12"/>
  <c r="I20" i="12"/>
  <c r="AF19" i="12"/>
  <c r="AG19" i="12"/>
  <c r="AH19" i="12"/>
  <c r="AI19" i="12"/>
  <c r="AJ19" i="12"/>
  <c r="AK19" i="12"/>
  <c r="AC19" i="12"/>
  <c r="T19" i="12"/>
  <c r="H19" i="12"/>
  <c r="I19" i="12"/>
  <c r="AF18" i="12"/>
  <c r="AG18" i="12"/>
  <c r="AH18" i="12"/>
  <c r="AI18" i="12"/>
  <c r="AJ18" i="12"/>
  <c r="AK18" i="12"/>
  <c r="AC18" i="12"/>
  <c r="T18" i="12"/>
  <c r="H15" i="12"/>
  <c r="I15" i="12"/>
  <c r="H16" i="12"/>
  <c r="I16" i="12"/>
  <c r="H17" i="12"/>
  <c r="I17" i="12"/>
  <c r="H18" i="12"/>
  <c r="I18" i="12"/>
  <c r="L18" i="12"/>
  <c r="AF17" i="12"/>
  <c r="AG17" i="12"/>
  <c r="AH17" i="12"/>
  <c r="AI17" i="12"/>
  <c r="AJ17" i="12"/>
  <c r="AK17" i="12"/>
  <c r="AC17" i="12"/>
  <c r="T17" i="12"/>
  <c r="L17" i="12"/>
  <c r="AF16" i="12"/>
  <c r="AG16" i="12"/>
  <c r="AH16" i="12"/>
  <c r="AI16" i="12"/>
  <c r="AJ16" i="12"/>
  <c r="AK16" i="12"/>
  <c r="AC16" i="12"/>
  <c r="T16" i="12"/>
  <c r="AF15" i="12"/>
  <c r="AG15" i="12"/>
  <c r="AH15" i="12"/>
  <c r="AI15" i="12"/>
  <c r="AJ15" i="12"/>
  <c r="AK15" i="12"/>
  <c r="AC15" i="12"/>
  <c r="T15" i="12"/>
  <c r="K13" i="12"/>
  <c r="Y5" i="12"/>
  <c r="Y6" i="12"/>
  <c r="Y8" i="12"/>
  <c r="Y9" i="12"/>
  <c r="Z5" i="12"/>
  <c r="Z6" i="12"/>
  <c r="Z8" i="12"/>
  <c r="Z9" i="12"/>
  <c r="AA5" i="12"/>
  <c r="AA6" i="12"/>
  <c r="AA8" i="12"/>
  <c r="AA9" i="12"/>
  <c r="AB5" i="12"/>
  <c r="AB6" i="12"/>
  <c r="AB9" i="12"/>
  <c r="AF10" i="12"/>
  <c r="AG10" i="12"/>
  <c r="AH10" i="12"/>
  <c r="AI10" i="12"/>
  <c r="AJ10" i="12"/>
  <c r="AK10" i="12"/>
  <c r="AC10" i="12"/>
  <c r="T10" i="12"/>
  <c r="H10" i="12"/>
  <c r="I10" i="12"/>
  <c r="AF9" i="12"/>
  <c r="AG9" i="12"/>
  <c r="AH9" i="12"/>
  <c r="AI9" i="12"/>
  <c r="AJ9" i="12"/>
  <c r="AK9" i="12"/>
  <c r="AC9" i="12"/>
  <c r="T9" i="12"/>
  <c r="H9" i="12"/>
  <c r="I9" i="12"/>
  <c r="AF8" i="12"/>
  <c r="AG8" i="12"/>
  <c r="AH8" i="12"/>
  <c r="AI8" i="12"/>
  <c r="AJ8" i="12"/>
  <c r="AK8" i="12"/>
  <c r="AC8" i="12"/>
  <c r="T8" i="12"/>
  <c r="H8" i="12"/>
  <c r="I8" i="12"/>
  <c r="AF7" i="12"/>
  <c r="AG7" i="12"/>
  <c r="AH7" i="12"/>
  <c r="AI7" i="12"/>
  <c r="AJ7" i="12"/>
  <c r="AK7" i="12"/>
  <c r="AC7" i="12"/>
  <c r="T7" i="12"/>
  <c r="H4" i="12"/>
  <c r="I4" i="12"/>
  <c r="H5" i="12"/>
  <c r="I5" i="12"/>
  <c r="H6" i="12"/>
  <c r="I6" i="12"/>
  <c r="H7" i="12"/>
  <c r="I7" i="12"/>
  <c r="L7" i="12"/>
  <c r="AF6" i="12"/>
  <c r="AG6" i="12"/>
  <c r="AH6" i="12"/>
  <c r="AI6" i="12"/>
  <c r="AJ6" i="12"/>
  <c r="AK6" i="12"/>
  <c r="AC6" i="12"/>
  <c r="T6" i="12"/>
  <c r="L6" i="12"/>
  <c r="AF5" i="12"/>
  <c r="AG5" i="12"/>
  <c r="AH5" i="12"/>
  <c r="AI5" i="12"/>
  <c r="AJ5" i="12"/>
  <c r="AK5" i="12"/>
  <c r="AC5" i="12"/>
  <c r="T5" i="12"/>
  <c r="AF4" i="12"/>
  <c r="AG4" i="12"/>
  <c r="AH4" i="12"/>
  <c r="AI4" i="12"/>
  <c r="AJ4" i="12"/>
  <c r="AK4" i="12"/>
  <c r="AC4" i="12"/>
  <c r="T4" i="12"/>
  <c r="C5" i="6"/>
  <c r="AK94" i="3"/>
  <c r="AO94" i="3"/>
  <c r="U95" i="3"/>
  <c r="AK95" i="3"/>
  <c r="U123" i="3"/>
  <c r="K89" i="3"/>
  <c r="L89" i="3"/>
  <c r="P89" i="3"/>
  <c r="C94" i="3"/>
  <c r="C91" i="3"/>
  <c r="K90" i="3"/>
  <c r="L90" i="3"/>
  <c r="P90" i="3"/>
  <c r="K91" i="3"/>
  <c r="L91" i="3"/>
  <c r="P91" i="3"/>
  <c r="K92" i="3"/>
  <c r="L92" i="3"/>
  <c r="P92" i="3"/>
  <c r="K93" i="3"/>
  <c r="L93" i="3"/>
  <c r="P93" i="3"/>
  <c r="T123" i="3"/>
  <c r="S123" i="3"/>
  <c r="R123" i="3"/>
  <c r="Q123" i="3"/>
  <c r="P123" i="3"/>
  <c r="O123" i="3"/>
  <c r="N123" i="3"/>
  <c r="M122" i="3"/>
  <c r="M88" i="3"/>
  <c r="N89" i="3"/>
  <c r="R89" i="3"/>
  <c r="M89" i="3"/>
  <c r="N90" i="3"/>
  <c r="R90" i="3"/>
  <c r="M90" i="3"/>
  <c r="N91" i="3"/>
  <c r="R91" i="3"/>
  <c r="M91" i="3"/>
  <c r="N92" i="3"/>
  <c r="R92" i="3"/>
  <c r="M92" i="3"/>
  <c r="N93" i="3"/>
  <c r="R93" i="3"/>
  <c r="K116" i="3"/>
  <c r="K124" i="3"/>
  <c r="U124" i="3"/>
  <c r="M124" i="3"/>
  <c r="M125" i="3"/>
  <c r="N125" i="3"/>
  <c r="N126" i="3"/>
  <c r="O125" i="3"/>
  <c r="O126" i="3"/>
  <c r="P125" i="3"/>
  <c r="P126" i="3"/>
  <c r="Q125" i="3"/>
  <c r="Q126" i="3"/>
  <c r="R126" i="3"/>
  <c r="S126" i="3"/>
  <c r="C25" i="3"/>
  <c r="D25" i="3"/>
  <c r="E25" i="3"/>
  <c r="F25" i="3"/>
  <c r="G25" i="3"/>
  <c r="K27" i="8"/>
  <c r="K28" i="8"/>
  <c r="K29" i="8"/>
  <c r="K30" i="8"/>
  <c r="V27" i="8"/>
  <c r="D75" i="3" s="1"/>
  <c r="W31" i="8"/>
  <c r="W33" i="8" s="1"/>
  <c r="T27" i="8"/>
  <c r="S27" i="8" s="1"/>
  <c r="D72" i="3" s="1"/>
  <c r="T28" i="8"/>
  <c r="T29" i="8"/>
  <c r="T30" i="8"/>
  <c r="Q27" i="8"/>
  <c r="D71" i="3" s="1"/>
  <c r="O27" i="8"/>
  <c r="O28" i="8"/>
  <c r="O29" i="8"/>
  <c r="O30" i="8"/>
  <c r="D5" i="6"/>
  <c r="E5" i="6"/>
  <c r="F5" i="6"/>
  <c r="G5" i="6"/>
  <c r="H5" i="6"/>
  <c r="I5" i="6"/>
  <c r="J5" i="6"/>
  <c r="K5" i="6"/>
  <c r="L5" i="6"/>
  <c r="W95" i="3"/>
  <c r="R125" i="3"/>
  <c r="S125" i="3"/>
  <c r="T125" i="3"/>
  <c r="U125" i="3"/>
  <c r="T126" i="3"/>
  <c r="U126" i="3"/>
  <c r="N119" i="3"/>
  <c r="G33" i="7"/>
  <c r="G32" i="7"/>
  <c r="H94" i="3"/>
  <c r="I94" i="3"/>
  <c r="J94" i="3"/>
  <c r="H93" i="3"/>
  <c r="I93" i="3"/>
  <c r="J93" i="3"/>
  <c r="H92" i="3"/>
  <c r="I92" i="3"/>
  <c r="J92" i="3"/>
  <c r="H91" i="3"/>
  <c r="I91" i="3"/>
  <c r="J91" i="3"/>
  <c r="H90" i="3"/>
  <c r="I90" i="3"/>
  <c r="J90" i="3"/>
  <c r="H89" i="3"/>
  <c r="I89" i="3"/>
  <c r="J89" i="3"/>
  <c r="S110" i="3"/>
  <c r="T110" i="3"/>
  <c r="S109" i="3"/>
  <c r="S108" i="3"/>
  <c r="S107" i="3"/>
  <c r="S106" i="3"/>
  <c r="T106" i="3"/>
  <c r="S105" i="3"/>
  <c r="S104" i="3"/>
  <c r="S103" i="3"/>
  <c r="T103" i="3"/>
  <c r="S102" i="3"/>
  <c r="S100" i="3"/>
  <c r="S101" i="3"/>
  <c r="B110" i="3"/>
  <c r="B102" i="3"/>
  <c r="AU90" i="3"/>
  <c r="AU91" i="3"/>
  <c r="AU92" i="3"/>
  <c r="AU93" i="3"/>
  <c r="AU94" i="3"/>
  <c r="M118" i="3"/>
  <c r="O119" i="3"/>
  <c r="P119" i="3"/>
  <c r="Q119" i="3"/>
  <c r="R119" i="3"/>
  <c r="S119" i="3"/>
  <c r="T119" i="3"/>
  <c r="U119" i="3"/>
  <c r="B120" i="3"/>
  <c r="BL89" i="3"/>
  <c r="C119" i="3"/>
  <c r="C120" i="3"/>
  <c r="BL90" i="3"/>
  <c r="B100" i="3"/>
  <c r="B108" i="3"/>
  <c r="Q110" i="3"/>
  <c r="AT27" i="4"/>
  <c r="D119" i="3"/>
  <c r="D120" i="3"/>
  <c r="BL91" i="3"/>
  <c r="E119" i="3"/>
  <c r="E120" i="3"/>
  <c r="BL92" i="3"/>
  <c r="F119" i="3"/>
  <c r="F120" i="3"/>
  <c r="BL93" i="3"/>
  <c r="AR94" i="3"/>
  <c r="AJ94" i="3"/>
  <c r="T108" i="3"/>
  <c r="B104" i="3"/>
  <c r="B106" i="3"/>
  <c r="B107" i="3"/>
  <c r="K94" i="3"/>
  <c r="L94" i="3"/>
  <c r="P94" i="3"/>
  <c r="T100" i="3"/>
  <c r="T105" i="3"/>
  <c r="T109" i="3"/>
  <c r="B105" i="3"/>
  <c r="B101" i="3"/>
  <c r="T102" i="3"/>
  <c r="C92" i="3"/>
  <c r="AJ92" i="3"/>
  <c r="V92" i="3"/>
  <c r="Y92" i="3"/>
  <c r="C90" i="3"/>
  <c r="S90" i="3"/>
  <c r="AA90" i="3"/>
  <c r="B103" i="3"/>
  <c r="B109" i="3"/>
  <c r="K119" i="3"/>
  <c r="L116" i="3"/>
  <c r="T101" i="3"/>
  <c r="T104" i="3"/>
  <c r="T107" i="3"/>
  <c r="AN94" i="3"/>
  <c r="C89" i="3"/>
  <c r="AN89" i="3"/>
  <c r="AJ91" i="3"/>
  <c r="AL91" i="3"/>
  <c r="O91" i="3"/>
  <c r="M93" i="3"/>
  <c r="N94" i="3"/>
  <c r="R94" i="3"/>
  <c r="Q94" i="3"/>
  <c r="AL94" i="3"/>
  <c r="S94" i="3"/>
  <c r="AA94" i="3"/>
  <c r="C93" i="3"/>
  <c r="AN93" i="3"/>
  <c r="G110" i="3"/>
  <c r="H110" i="3"/>
  <c r="I110" i="3"/>
  <c r="AN91" i="3"/>
  <c r="O94" i="3"/>
  <c r="P124" i="3"/>
  <c r="T124" i="3"/>
  <c r="N124" i="3"/>
  <c r="S124" i="3"/>
  <c r="K127" i="3"/>
  <c r="P127" i="3"/>
  <c r="R124" i="3"/>
  <c r="M123" i="3"/>
  <c r="O124" i="3"/>
  <c r="Q124" i="3"/>
  <c r="AL89" i="3"/>
  <c r="O100" i="3"/>
  <c r="S91" i="3"/>
  <c r="Q91" i="3"/>
  <c r="S89" i="3"/>
  <c r="O90" i="3"/>
  <c r="Q90" i="3"/>
  <c r="L125" i="3"/>
  <c r="L119" i="3"/>
  <c r="L123" i="3"/>
  <c r="S93" i="3"/>
  <c r="AA93" i="3"/>
  <c r="Q92" i="3"/>
  <c r="O92" i="3"/>
  <c r="AN92" i="3"/>
  <c r="Q89" i="3"/>
  <c r="V91" i="3"/>
  <c r="Y91" i="3"/>
  <c r="AJ89" i="3"/>
  <c r="X92" i="3"/>
  <c r="AL92" i="3"/>
  <c r="L126" i="3"/>
  <c r="L118" i="3"/>
  <c r="X91" i="3"/>
  <c r="Z91" i="3"/>
  <c r="AL93" i="3"/>
  <c r="O89" i="3"/>
  <c r="L124" i="3"/>
  <c r="S92" i="3"/>
  <c r="L117" i="3"/>
  <c r="L115" i="3"/>
  <c r="AL90" i="3"/>
  <c r="AJ90" i="3"/>
  <c r="AN90" i="3"/>
  <c r="T90" i="3"/>
  <c r="O93" i="3"/>
  <c r="AJ93" i="3"/>
  <c r="Q93" i="3"/>
  <c r="T94" i="3"/>
  <c r="Q127" i="3"/>
  <c r="T89" i="3"/>
  <c r="AA89" i="3"/>
  <c r="S127" i="3"/>
  <c r="L127" i="3"/>
  <c r="N127" i="3"/>
  <c r="M126" i="3"/>
  <c r="U127" i="3"/>
  <c r="T127" i="3"/>
  <c r="R127" i="3"/>
  <c r="O127" i="3"/>
  <c r="AA91" i="3"/>
  <c r="T91" i="3"/>
  <c r="V93" i="3"/>
  <c r="Y93" i="3"/>
  <c r="U94" i="3"/>
  <c r="V94" i="3"/>
  <c r="Y94" i="3"/>
  <c r="T93" i="3"/>
  <c r="V89" i="3"/>
  <c r="Y89" i="3"/>
  <c r="X89" i="3"/>
  <c r="AB91" i="3"/>
  <c r="AC91" i="3"/>
  <c r="AA92" i="3"/>
  <c r="T92" i="3"/>
  <c r="AN95" i="3"/>
  <c r="AL95" i="3"/>
  <c r="X90" i="3"/>
  <c r="V90" i="3"/>
  <c r="Y90" i="3"/>
  <c r="Z92" i="3"/>
  <c r="AB92" i="3"/>
  <c r="AJ95" i="3"/>
  <c r="X93" i="3"/>
  <c r="W94" i="3"/>
  <c r="W96" i="3"/>
  <c r="AB89" i="3"/>
  <c r="AB93" i="3"/>
  <c r="Z93" i="3"/>
  <c r="U96" i="3"/>
  <c r="Z89" i="3"/>
  <c r="AA95" i="3"/>
  <c r="X95" i="3"/>
  <c r="X96" i="3"/>
  <c r="V95" i="3"/>
  <c r="V96" i="3"/>
  <c r="AB90" i="3"/>
  <c r="Z90" i="3"/>
  <c r="X94" i="3"/>
  <c r="AB94" i="3"/>
  <c r="AC92" i="3"/>
  <c r="Y95" i="3"/>
  <c r="Z95" i="3"/>
  <c r="AC93" i="3"/>
  <c r="AC89" i="3"/>
  <c r="AB95" i="3"/>
  <c r="Z94" i="3"/>
  <c r="AC94" i="3"/>
  <c r="AC90" i="3"/>
  <c r="AC95" i="3"/>
  <c r="AO95" i="3"/>
  <c r="AO96" i="3"/>
  <c r="BN96" i="3"/>
  <c r="BM96" i="3"/>
  <c r="I12" i="14"/>
  <c r="Z8" i="14"/>
  <c r="AA8" i="14"/>
  <c r="AB8" i="14"/>
  <c r="AC8" i="14"/>
  <c r="AD8" i="14"/>
  <c r="AE8" i="14"/>
  <c r="Z7" i="14"/>
  <c r="AA7" i="14"/>
  <c r="AB7" i="14"/>
  <c r="AC7" i="14"/>
  <c r="AD7" i="14"/>
  <c r="AE7" i="14"/>
  <c r="Z5" i="14"/>
  <c r="AA5" i="14"/>
  <c r="AB5" i="14"/>
  <c r="AC5" i="14"/>
  <c r="AD5" i="14"/>
  <c r="AE5" i="14"/>
  <c r="Z4" i="14"/>
  <c r="AA4" i="14"/>
  <c r="AB4" i="14"/>
  <c r="AC4" i="14"/>
  <c r="AD4" i="14"/>
  <c r="AE4" i="14"/>
  <c r="N6" i="14"/>
  <c r="H18" i="14"/>
  <c r="V4" i="15"/>
  <c r="V5" i="15"/>
  <c r="V7" i="15"/>
  <c r="V8" i="15"/>
  <c r="G10" i="15"/>
  <c r="G11" i="15"/>
  <c r="H3" i="15"/>
  <c r="I3" i="15"/>
  <c r="F10" i="15"/>
  <c r="F11" i="15"/>
  <c r="H9" i="15"/>
  <c r="I9" i="15"/>
  <c r="AA9" i="15"/>
  <c r="AD9" i="15"/>
  <c r="H6" i="15"/>
  <c r="I6" i="15"/>
  <c r="E10" i="15"/>
  <c r="E11" i="15"/>
  <c r="H8" i="15"/>
  <c r="I8" i="15"/>
  <c r="AD5" i="15"/>
  <c r="AD7" i="15"/>
  <c r="H5" i="15"/>
  <c r="I5" i="15"/>
  <c r="H7" i="15"/>
  <c r="I7" i="15"/>
  <c r="C11" i="15"/>
  <c r="M5" i="15" s="1"/>
  <c r="Y4" i="15"/>
  <c r="AD3" i="15"/>
  <c r="AC4" i="15"/>
  <c r="D10" i="15"/>
  <c r="D11" i="15"/>
  <c r="Y8" i="15"/>
  <c r="AD8" i="15"/>
  <c r="Z6" i="15"/>
  <c r="AD6" i="15"/>
  <c r="H4" i="15"/>
  <c r="I4" i="15"/>
  <c r="AD4" i="15"/>
  <c r="M6" i="15"/>
  <c r="H10" i="15"/>
  <c r="L27" i="8" l="1"/>
  <c r="X27" i="8"/>
  <c r="D76" i="3" s="1"/>
  <c r="O31" i="8"/>
  <c r="K31" i="8"/>
  <c r="U27" i="8"/>
  <c r="C33" i="3"/>
  <c r="AS89" i="3"/>
  <c r="C28" i="3"/>
  <c r="C32" i="3"/>
  <c r="C36" i="3"/>
  <c r="C31" i="3"/>
  <c r="C37" i="3"/>
  <c r="C38" i="3"/>
  <c r="C30" i="3"/>
  <c r="C35" i="3"/>
  <c r="C27" i="3"/>
  <c r="R33" i="8"/>
  <c r="T33" i="8" s="1"/>
  <c r="F34" i="3"/>
  <c r="F29" i="3"/>
  <c r="D29" i="3"/>
  <c r="AY93" i="3"/>
  <c r="F33" i="3"/>
  <c r="AZ90" i="3"/>
  <c r="D34" i="3" s="1"/>
  <c r="F35" i="3"/>
  <c r="D36" i="3"/>
  <c r="AY92" i="3"/>
  <c r="AZ92" i="3"/>
  <c r="F30" i="3"/>
  <c r="AZ93" i="3"/>
  <c r="AZ89" i="3"/>
  <c r="AY90" i="3"/>
  <c r="D33" i="3" s="1"/>
  <c r="BA95" i="3"/>
  <c r="AY91" i="3"/>
  <c r="G26" i="3"/>
  <c r="E26" i="3"/>
  <c r="F27" i="3"/>
  <c r="D27" i="3"/>
  <c r="D30" i="3"/>
  <c r="F38" i="3"/>
  <c r="AZ91" i="3"/>
  <c r="U23" i="17"/>
  <c r="U22" i="17" s="1"/>
  <c r="P18" i="17"/>
  <c r="W18" i="17" s="1"/>
  <c r="G73" i="17" s="1"/>
  <c r="I73" i="17" s="1"/>
  <c r="V19" i="17"/>
  <c r="R32" i="17"/>
  <c r="R33" i="17" s="1"/>
  <c r="O25" i="17"/>
  <c r="V25" i="17" s="1"/>
  <c r="V26" i="17" s="1"/>
  <c r="R25" i="17"/>
  <c r="B77" i="17" s="1"/>
  <c r="G77" i="17" s="1"/>
  <c r="I77" i="17" s="1"/>
  <c r="B42" i="17"/>
  <c r="T23" i="17"/>
  <c r="T22" i="17" s="1"/>
  <c r="O27" i="17"/>
  <c r="V27" i="17" s="1"/>
  <c r="B43" i="17"/>
  <c r="S23" i="17"/>
  <c r="S22" i="17" s="1"/>
  <c r="W19" i="17"/>
  <c r="Y19" i="17" s="1"/>
  <c r="R38" i="17"/>
  <c r="M22" i="17"/>
  <c r="M45" i="17"/>
  <c r="T45" i="17" s="1"/>
  <c r="T46" i="17" s="1"/>
  <c r="K45" i="17"/>
  <c r="N45" i="17"/>
  <c r="U45" i="17" s="1"/>
  <c r="U46" i="17" s="1"/>
  <c r="I74" i="17"/>
  <c r="N20" i="17"/>
  <c r="U21" i="17" s="1"/>
  <c r="L50" i="17"/>
  <c r="N50" i="17"/>
  <c r="M50" i="17"/>
  <c r="K50" i="17"/>
  <c r="L54" i="17"/>
  <c r="N54" i="17"/>
  <c r="M54" i="17"/>
  <c r="K54" i="17"/>
  <c r="N6" i="17"/>
  <c r="L6" i="17"/>
  <c r="K6" i="17"/>
  <c r="M6" i="17"/>
  <c r="M20" i="17"/>
  <c r="T21" i="17" s="1"/>
  <c r="N22" i="17"/>
  <c r="L22" i="17"/>
  <c r="O22" i="17" s="1"/>
  <c r="N52" i="17"/>
  <c r="K52" i="17"/>
  <c r="L52" i="17"/>
  <c r="M52" i="17"/>
  <c r="N32" i="17"/>
  <c r="U32" i="17" s="1"/>
  <c r="U33" i="17" s="1"/>
  <c r="M32" i="17"/>
  <c r="T32" i="17" s="1"/>
  <c r="T33" i="17" s="1"/>
  <c r="L32" i="17"/>
  <c r="S32" i="17" s="1"/>
  <c r="S33" i="17" s="1"/>
  <c r="N56" i="17"/>
  <c r="U56" i="17" s="1"/>
  <c r="U57" i="17" s="1"/>
  <c r="K56" i="17"/>
  <c r="M56" i="17"/>
  <c r="T56" i="17" s="1"/>
  <c r="T57" i="17" s="1"/>
  <c r="L56" i="17"/>
  <c r="S56" i="17" s="1"/>
  <c r="S57" i="17" s="1"/>
  <c r="N38" i="17"/>
  <c r="L38" i="17"/>
  <c r="M38" i="17"/>
  <c r="L20" i="17"/>
  <c r="G34" i="17"/>
  <c r="L26" i="8" l="1"/>
  <c r="N26" i="8" s="1"/>
  <c r="L28" i="8"/>
  <c r="N28" i="8" s="1"/>
  <c r="L30" i="8"/>
  <c r="N30" i="8" s="1"/>
  <c r="L29" i="8"/>
  <c r="N29" i="8" s="1"/>
  <c r="H27" i="3"/>
  <c r="I27" i="3" s="1"/>
  <c r="C34" i="3"/>
  <c r="C29" i="3"/>
  <c r="H28" i="3"/>
  <c r="I28" i="3" s="1"/>
  <c r="E37" i="3"/>
  <c r="AS91" i="3"/>
  <c r="E28" i="3"/>
  <c r="E33" i="3"/>
  <c r="E35" i="3"/>
  <c r="H35" i="3" s="1"/>
  <c r="I35" i="3" s="1"/>
  <c r="E38" i="3"/>
  <c r="H38" i="3" s="1"/>
  <c r="I38" i="3" s="1"/>
  <c r="E30" i="3"/>
  <c r="H30" i="3" s="1"/>
  <c r="I30" i="3" s="1"/>
  <c r="E31" i="3"/>
  <c r="H31" i="3" s="1"/>
  <c r="I31" i="3" s="1"/>
  <c r="E36" i="3"/>
  <c r="E27" i="3"/>
  <c r="E32" i="3"/>
  <c r="H32" i="3" s="1"/>
  <c r="I32" i="3" s="1"/>
  <c r="G33" i="3"/>
  <c r="G36" i="3"/>
  <c r="H36" i="3" s="1"/>
  <c r="I36" i="3" s="1"/>
  <c r="G28" i="3"/>
  <c r="G32" i="3"/>
  <c r="G37" i="3"/>
  <c r="H37" i="3" s="1"/>
  <c r="I37" i="3" s="1"/>
  <c r="G31" i="3"/>
  <c r="G30" i="3"/>
  <c r="AS93" i="3"/>
  <c r="G27" i="3"/>
  <c r="G35" i="3"/>
  <c r="G38" i="3"/>
  <c r="H33" i="3"/>
  <c r="I33" i="3" s="1"/>
  <c r="H26" i="3"/>
  <c r="Y18" i="17"/>
  <c r="O38" i="17"/>
  <c r="F43" i="17" s="1"/>
  <c r="F44" i="17" s="1"/>
  <c r="V38" i="17"/>
  <c r="V39" i="17" s="1"/>
  <c r="W27" i="17"/>
  <c r="V28" i="17"/>
  <c r="V23" i="17" s="1"/>
  <c r="V22" i="17" s="1"/>
  <c r="O56" i="17"/>
  <c r="V56" i="17" s="1"/>
  <c r="V57" i="17" s="1"/>
  <c r="R56" i="17"/>
  <c r="R57" i="17" s="1"/>
  <c r="P25" i="17"/>
  <c r="O20" i="17"/>
  <c r="V21" i="17" s="1"/>
  <c r="U38" i="17"/>
  <c r="U39" i="17" s="1"/>
  <c r="E43" i="17"/>
  <c r="E41" i="17"/>
  <c r="O54" i="17"/>
  <c r="P54" i="17" s="1"/>
  <c r="O50" i="17"/>
  <c r="P50" i="17" s="1"/>
  <c r="O45" i="17"/>
  <c r="V45" i="17" s="1"/>
  <c r="V46" i="17" s="1"/>
  <c r="P27" i="17"/>
  <c r="S38" i="17"/>
  <c r="S39" i="17" s="1"/>
  <c r="C43" i="17"/>
  <c r="C41" i="17"/>
  <c r="O52" i="17"/>
  <c r="P52" i="17" s="1"/>
  <c r="B44" i="17"/>
  <c r="T38" i="17"/>
  <c r="T39" i="17" s="1"/>
  <c r="D43" i="17"/>
  <c r="D41" i="17"/>
  <c r="O6" i="17"/>
  <c r="R26" i="17"/>
  <c r="R23" i="17" s="1"/>
  <c r="R22" i="17" s="1"/>
  <c r="W25" i="17"/>
  <c r="O32" i="17"/>
  <c r="V32" i="17" s="1"/>
  <c r="V33" i="17" s="1"/>
  <c r="R39" i="17"/>
  <c r="P56" i="17"/>
  <c r="W56" i="17" s="1"/>
  <c r="P32" i="17"/>
  <c r="R45" i="17"/>
  <c r="P29" i="17"/>
  <c r="W29" i="17" s="1"/>
  <c r="W30" i="17" s="1"/>
  <c r="S21" i="17"/>
  <c r="P22" i="17"/>
  <c r="K47" i="17"/>
  <c r="K34" i="17"/>
  <c r="M34" i="17"/>
  <c r="L34" i="17"/>
  <c r="L47" i="17"/>
  <c r="S47" i="17" s="1"/>
  <c r="S48" i="17" s="1"/>
  <c r="M47" i="17"/>
  <c r="T47" i="17" s="1"/>
  <c r="T48" i="17" s="1"/>
  <c r="N47" i="17"/>
  <c r="U47" i="17" s="1"/>
  <c r="U48" i="17" s="1"/>
  <c r="N34" i="17"/>
  <c r="D33" i="15" l="1"/>
  <c r="F73" i="3"/>
  <c r="Q29" i="8"/>
  <c r="V29" i="8"/>
  <c r="S29" i="8"/>
  <c r="F72" i="3" s="1"/>
  <c r="G73" i="3"/>
  <c r="V30" i="8"/>
  <c r="Q30" i="8"/>
  <c r="E33" i="15"/>
  <c r="S30" i="8"/>
  <c r="G72" i="3" s="1"/>
  <c r="V28" i="8"/>
  <c r="S28" i="8"/>
  <c r="E72" i="3" s="1"/>
  <c r="C33" i="15"/>
  <c r="Q28" i="8"/>
  <c r="E73" i="3"/>
  <c r="M31" i="8"/>
  <c r="Q31" i="8" s="1"/>
  <c r="E34" i="3"/>
  <c r="H34" i="3" s="1"/>
  <c r="I34" i="3" s="1"/>
  <c r="E29" i="3"/>
  <c r="H29" i="3" s="1"/>
  <c r="I29" i="3" s="1"/>
  <c r="G34" i="3"/>
  <c r="G29" i="3"/>
  <c r="AS94" i="3"/>
  <c r="I26" i="3"/>
  <c r="F41" i="17"/>
  <c r="F42" i="17" s="1"/>
  <c r="P45" i="17"/>
  <c r="P38" i="17"/>
  <c r="P20" i="17"/>
  <c r="O34" i="17"/>
  <c r="P6" i="17"/>
  <c r="W38" i="17"/>
  <c r="W32" i="17"/>
  <c r="W33" i="17" s="1"/>
  <c r="Y33" i="17" s="1"/>
  <c r="O47" i="17"/>
  <c r="V47" i="17" s="1"/>
  <c r="V48" i="17" s="1"/>
  <c r="Y25" i="17"/>
  <c r="W26" i="17"/>
  <c r="D44" i="17"/>
  <c r="C44" i="17"/>
  <c r="E44" i="17"/>
  <c r="W45" i="17"/>
  <c r="Y45" i="17" s="1"/>
  <c r="R46" i="17"/>
  <c r="D42" i="17"/>
  <c r="G43" i="17"/>
  <c r="M43" i="17" s="1"/>
  <c r="T43" i="17" s="1"/>
  <c r="T44" i="17" s="1"/>
  <c r="C42" i="17"/>
  <c r="G41" i="17"/>
  <c r="N41" i="17" s="1"/>
  <c r="U41" i="17" s="1"/>
  <c r="U42" i="17" s="1"/>
  <c r="E42" i="17"/>
  <c r="Y27" i="17"/>
  <c r="W28" i="17"/>
  <c r="Y28" i="17" s="1"/>
  <c r="Y56" i="17"/>
  <c r="W57" i="17"/>
  <c r="Y57" i="17" s="1"/>
  <c r="Y38" i="17"/>
  <c r="W39" i="17"/>
  <c r="P34" i="17"/>
  <c r="R47" i="17"/>
  <c r="R48" i="17" s="1"/>
  <c r="AZ94" i="3"/>
  <c r="A33" i="15" l="1"/>
  <c r="N31" i="8"/>
  <c r="Q26" i="8"/>
  <c r="S26" i="8"/>
  <c r="C72" i="3" s="1"/>
  <c r="H72" i="3" s="1"/>
  <c r="I72" i="3" s="1"/>
  <c r="V26" i="8"/>
  <c r="C73" i="3"/>
  <c r="H73" i="3" s="1"/>
  <c r="I73" i="3" s="1"/>
  <c r="U30" i="8"/>
  <c r="G71" i="3"/>
  <c r="F75" i="3"/>
  <c r="X29" i="8"/>
  <c r="F76" i="3" s="1"/>
  <c r="X28" i="8"/>
  <c r="E76" i="3" s="1"/>
  <c r="E75" i="3"/>
  <c r="G75" i="3"/>
  <c r="X30" i="8"/>
  <c r="G76" i="3" s="1"/>
  <c r="F71" i="3"/>
  <c r="U29" i="8"/>
  <c r="H74" i="3"/>
  <c r="I74" i="3" s="1"/>
  <c r="U28" i="8"/>
  <c r="E71" i="3"/>
  <c r="AZ96" i="3"/>
  <c r="AW94" i="3"/>
  <c r="AW96" i="3" s="1"/>
  <c r="BD94" i="3"/>
  <c r="BD96" i="3" s="1"/>
  <c r="AY94" i="3"/>
  <c r="AY96" i="3" s="1"/>
  <c r="BI94" i="3"/>
  <c r="BI96" i="3" s="1"/>
  <c r="BF94" i="3"/>
  <c r="BF96" i="3" s="1"/>
  <c r="BC94" i="3"/>
  <c r="BC96" i="3" s="1"/>
  <c r="BE94" i="3"/>
  <c r="BE96" i="3" s="1"/>
  <c r="BH94" i="3"/>
  <c r="BH96" i="3" s="1"/>
  <c r="BB94" i="3"/>
  <c r="BB96" i="3" s="1"/>
  <c r="BG94" i="3"/>
  <c r="BG96" i="3" s="1"/>
  <c r="BJ94" i="3"/>
  <c r="BJ96" i="3" s="1"/>
  <c r="BA94" i="3"/>
  <c r="BA96" i="3" s="1"/>
  <c r="AX94" i="3"/>
  <c r="AX96" i="3" s="1"/>
  <c r="AV94" i="3"/>
  <c r="AV96" i="3" s="1"/>
  <c r="BK94" i="3"/>
  <c r="BK96" i="3" s="1"/>
  <c r="L43" i="17"/>
  <c r="S43" i="17" s="1"/>
  <c r="S44" i="17" s="1"/>
  <c r="P47" i="17"/>
  <c r="W47" i="17" s="1"/>
  <c r="W48" i="17" s="1"/>
  <c r="Y48" i="17" s="1"/>
  <c r="Y32" i="17"/>
  <c r="M41" i="17"/>
  <c r="T41" i="17" s="1"/>
  <c r="T42" i="17" s="1"/>
  <c r="W46" i="17"/>
  <c r="Y46" i="17" s="1"/>
  <c r="K41" i="17"/>
  <c r="G42" i="17"/>
  <c r="I42" i="17" s="1"/>
  <c r="I41" i="17"/>
  <c r="L41" i="17"/>
  <c r="S41" i="17" s="1"/>
  <c r="S42" i="17" s="1"/>
  <c r="Y26" i="17"/>
  <c r="W23" i="17"/>
  <c r="I43" i="17"/>
  <c r="G44" i="17"/>
  <c r="I44" i="17" s="1"/>
  <c r="K43" i="17"/>
  <c r="N43" i="17"/>
  <c r="U43" i="17" s="1"/>
  <c r="U44" i="17" s="1"/>
  <c r="Y20" i="17"/>
  <c r="W21" i="17"/>
  <c r="Y47" i="17"/>
  <c r="Y39" i="17"/>
  <c r="X26" i="8" l="1"/>
  <c r="C76" i="3" s="1"/>
  <c r="H76" i="3" s="1"/>
  <c r="I76" i="3" s="1"/>
  <c r="C75" i="3"/>
  <c r="H75" i="3" s="1"/>
  <c r="I75" i="3" s="1"/>
  <c r="F33" i="15"/>
  <c r="A34" i="15" s="1"/>
  <c r="A35" i="15" s="1"/>
  <c r="U26" i="8"/>
  <c r="C71" i="3"/>
  <c r="H71" i="3" s="1"/>
  <c r="I71" i="3" s="1"/>
  <c r="S31" i="8"/>
  <c r="U31" i="8" s="1"/>
  <c r="V31" i="8"/>
  <c r="X31" i="8" s="1"/>
  <c r="Y21" i="17"/>
  <c r="O43" i="17"/>
  <c r="V43" i="17" s="1"/>
  <c r="V44" i="17" s="1"/>
  <c r="R43" i="17"/>
  <c r="R41" i="17"/>
  <c r="O41" i="17"/>
  <c r="V41" i="17" s="1"/>
  <c r="V42" i="17" s="1"/>
  <c r="W22" i="17"/>
  <c r="Y22" i="17" s="1"/>
  <c r="Y23" i="17"/>
  <c r="B9" i="17"/>
  <c r="G9" i="17"/>
  <c r="F34" i="15" l="1"/>
  <c r="F35" i="15" s="1"/>
  <c r="B34" i="15"/>
  <c r="B35" i="15" s="1"/>
  <c r="E34" i="15"/>
  <c r="E35" i="15" s="1"/>
  <c r="D34" i="15"/>
  <c r="D35" i="15" s="1"/>
  <c r="C34" i="15"/>
  <c r="C35" i="15" s="1"/>
  <c r="R42" i="17"/>
  <c r="W41" i="17"/>
  <c r="R44" i="17"/>
  <c r="W43" i="17"/>
  <c r="K9" i="17"/>
  <c r="P41" i="17"/>
  <c r="P43" i="17"/>
  <c r="L9" i="17"/>
  <c r="M9" i="17"/>
  <c r="H14" i="17"/>
  <c r="N9" i="17"/>
  <c r="Y43" i="17" l="1"/>
  <c r="W44" i="17"/>
  <c r="Y44" i="17" s="1"/>
  <c r="W42" i="17"/>
  <c r="Y42" i="17" s="1"/>
  <c r="Y41" i="17"/>
  <c r="O9" i="17"/>
  <c r="P9" i="17" s="1"/>
  <c r="D14" i="17"/>
  <c r="E14" i="17"/>
  <c r="F14" i="17"/>
  <c r="B14" i="17"/>
  <c r="C14" i="17"/>
  <c r="H15" i="17"/>
  <c r="U12" i="17"/>
  <c r="U13" i="17" s="1"/>
  <c r="U10" i="17" s="1"/>
  <c r="T12" i="17"/>
  <c r="T13" i="17" s="1"/>
  <c r="T10" i="17" s="1"/>
  <c r="S12" i="17"/>
  <c r="S13" i="17" s="1"/>
  <c r="S10" i="17" s="1"/>
  <c r="G14" i="17" l="1"/>
  <c r="K14" i="17" s="1"/>
  <c r="T7" i="17"/>
  <c r="T9" i="17"/>
  <c r="U9" i="17"/>
  <c r="U7" i="17"/>
  <c r="S9" i="17"/>
  <c r="S7" i="17"/>
  <c r="B15" i="17"/>
  <c r="H16" i="17"/>
  <c r="B16" i="17" l="1"/>
  <c r="D16" i="17"/>
  <c r="F16" i="17"/>
  <c r="F17" i="17" s="1"/>
  <c r="C16" i="17"/>
  <c r="C17" i="17" s="1"/>
  <c r="E16" i="17"/>
  <c r="T6" i="17"/>
  <c r="T34" i="17" s="1"/>
  <c r="T5" i="17"/>
  <c r="T3" i="17" s="1"/>
  <c r="U6" i="17"/>
  <c r="U34" i="17" s="1"/>
  <c r="U5" i="17"/>
  <c r="U3" i="17" s="1"/>
  <c r="S6" i="17"/>
  <c r="S34" i="17" s="1"/>
  <c r="S5" i="17"/>
  <c r="S3" i="17" s="1"/>
  <c r="E15" i="17"/>
  <c r="C15" i="17"/>
  <c r="D15" i="17"/>
  <c r="F15" i="17"/>
  <c r="E17" i="17"/>
  <c r="H17" i="17"/>
  <c r="D17" i="17"/>
  <c r="G16" i="17" l="1"/>
  <c r="I14" i="17"/>
  <c r="T35" i="17"/>
  <c r="T37" i="17"/>
  <c r="U35" i="17"/>
  <c r="U37" i="17"/>
  <c r="S35" i="17"/>
  <c r="S37" i="17"/>
  <c r="F59" i="17"/>
  <c r="F60" i="17" s="1"/>
  <c r="B61" i="17"/>
  <c r="B62" i="17" s="1"/>
  <c r="E59" i="17"/>
  <c r="E60" i="17" s="1"/>
  <c r="D59" i="17"/>
  <c r="D60" i="17" s="1"/>
  <c r="C59" i="17"/>
  <c r="C60" i="17" s="1"/>
  <c r="G15" i="17"/>
  <c r="D61" i="17"/>
  <c r="D62" i="17" s="1"/>
  <c r="E61" i="17"/>
  <c r="E62" i="17" s="1"/>
  <c r="F61" i="17"/>
  <c r="F62" i="17" s="1"/>
  <c r="C61" i="17"/>
  <c r="C62" i="17" s="1"/>
  <c r="N14" i="17"/>
  <c r="M14" i="17"/>
  <c r="F63" i="17"/>
  <c r="F64" i="17" s="1"/>
  <c r="B17" i="17"/>
  <c r="E63" i="17"/>
  <c r="E64" i="17" s="1"/>
  <c r="L14" i="17"/>
  <c r="C63" i="17"/>
  <c r="C64" i="17" s="1"/>
  <c r="D63" i="17"/>
  <c r="D64" i="17" s="1"/>
  <c r="O14" i="17" l="1"/>
  <c r="S15" i="17"/>
  <c r="U15" i="17"/>
  <c r="G17" i="17"/>
  <c r="I17" i="17" s="1"/>
  <c r="I16" i="17"/>
  <c r="I15" i="17"/>
  <c r="B63" i="17"/>
  <c r="B64" i="17" s="1"/>
  <c r="B59" i="17"/>
  <c r="B60" i="17" s="1"/>
  <c r="T15" i="17"/>
  <c r="G61" i="17"/>
  <c r="G62" i="17" s="1"/>
  <c r="L16" i="17"/>
  <c r="N16" i="17"/>
  <c r="U17" i="17" s="1"/>
  <c r="M16" i="17"/>
  <c r="T17" i="17" s="1"/>
  <c r="K16" i="17"/>
  <c r="U61" i="17" l="1"/>
  <c r="U62" i="17" s="1"/>
  <c r="S63" i="17"/>
  <c r="S64" i="17" s="1"/>
  <c r="T63" i="17"/>
  <c r="T64" i="17" s="1"/>
  <c r="U63" i="17"/>
  <c r="U64" i="17" s="1"/>
  <c r="O16" i="17"/>
  <c r="P14" i="17"/>
  <c r="S61" i="17"/>
  <c r="S62" i="17" s="1"/>
  <c r="T61" i="17"/>
  <c r="T62" i="17" s="1"/>
  <c r="T59" i="17"/>
  <c r="T60" i="17" s="1"/>
  <c r="U59" i="17"/>
  <c r="U60" i="17" s="1"/>
  <c r="S17" i="17"/>
  <c r="G63" i="17"/>
  <c r="G64" i="17" s="1"/>
  <c r="G59" i="17"/>
  <c r="G60" i="17" s="1"/>
  <c r="P16" i="17" l="1"/>
  <c r="S59" i="17"/>
  <c r="S60" i="17" s="1"/>
  <c r="Y29" i="17" l="1"/>
  <c r="Y30" i="17" l="1"/>
  <c r="R14" i="17" l="1"/>
  <c r="B76" i="17" s="1"/>
  <c r="R16" i="17"/>
  <c r="B72" i="17" s="1"/>
  <c r="B85" i="17" s="1"/>
  <c r="O13" i="17"/>
  <c r="V16" i="17" s="1"/>
  <c r="F72" i="17" s="1"/>
  <c r="F85" i="17" s="1"/>
  <c r="F86" i="17" s="1"/>
  <c r="R12" i="17"/>
  <c r="R13" i="17" s="1"/>
  <c r="R10" i="17" s="1"/>
  <c r="B86" i="17" l="1"/>
  <c r="G85" i="17"/>
  <c r="I85" i="17" s="1"/>
  <c r="G86" i="17"/>
  <c r="I86" i="17" s="1"/>
  <c r="V12" i="17"/>
  <c r="V13" i="17" s="1"/>
  <c r="V10" i="17" s="1"/>
  <c r="V9" i="17" s="1"/>
  <c r="P13" i="17"/>
  <c r="V17" i="17"/>
  <c r="V14" i="17"/>
  <c r="R17" i="17"/>
  <c r="R61" i="17"/>
  <c r="R62" i="17" s="1"/>
  <c r="W16" i="17"/>
  <c r="G72" i="17" s="1"/>
  <c r="R7" i="17"/>
  <c r="R9" i="17"/>
  <c r="V7" i="17"/>
  <c r="R63" i="17"/>
  <c r="R15" i="17"/>
  <c r="V15" i="17"/>
  <c r="V59" i="17" s="1"/>
  <c r="V63" i="17" l="1"/>
  <c r="F76" i="17"/>
  <c r="G76" i="17" s="1"/>
  <c r="I76" i="17" s="1"/>
  <c r="W12" i="17"/>
  <c r="R59" i="17"/>
  <c r="W17" i="17"/>
  <c r="Y17" i="17" s="1"/>
  <c r="I72" i="17"/>
  <c r="W14" i="17"/>
  <c r="W63" i="17" s="1"/>
  <c r="V61" i="17"/>
  <c r="V62" i="17" s="1"/>
  <c r="Y16" i="17"/>
  <c r="W15" i="17"/>
  <c r="V5" i="17"/>
  <c r="V6" i="17"/>
  <c r="R5" i="17"/>
  <c r="R6" i="17"/>
  <c r="W13" i="17" l="1"/>
  <c r="Y12" i="17"/>
  <c r="Y14" i="17"/>
  <c r="R60" i="17"/>
  <c r="W61" i="17"/>
  <c r="W62" i="17" s="1"/>
  <c r="V34" i="17"/>
  <c r="V64" i="17"/>
  <c r="V3" i="17"/>
  <c r="V60" i="17"/>
  <c r="Y15" i="17"/>
  <c r="W59" i="17"/>
  <c r="R34" i="17"/>
  <c r="R64" i="17"/>
  <c r="R3" i="17"/>
  <c r="Y13" i="17" l="1"/>
  <c r="W10" i="17"/>
  <c r="W34" i="17"/>
  <c r="R37" i="17"/>
  <c r="R35" i="17"/>
  <c r="V37" i="17"/>
  <c r="V35" i="17"/>
  <c r="W9" i="17" l="1"/>
  <c r="Y9" i="17" s="1"/>
  <c r="Y10" i="17"/>
  <c r="W7" i="17"/>
  <c r="W37" i="17"/>
  <c r="Y37" i="17" s="1"/>
  <c r="Y34" i="17"/>
  <c r="W35" i="17"/>
  <c r="Y35" i="17" s="1"/>
  <c r="W5" i="17" l="1"/>
  <c r="Y7" i="17"/>
  <c r="W6" i="17"/>
  <c r="W64" i="17" l="1"/>
  <c r="Y6" i="17"/>
  <c r="W60" i="17"/>
  <c r="W3" i="17"/>
  <c r="Y31" i="17" s="1"/>
</calcChain>
</file>

<file path=xl/comments1.xml><?xml version="1.0" encoding="utf-8"?>
<comments xmlns="http://schemas.openxmlformats.org/spreadsheetml/2006/main">
  <authors>
    <author>Gissela</author>
  </authors>
  <commentList>
    <comment ref="A18" authorId="0">
      <text>
        <r>
          <rPr>
            <b/>
            <sz val="9"/>
            <color indexed="81"/>
            <rFont val="Tahoma"/>
            <family val="2"/>
          </rPr>
          <t>Gissela:</t>
        </r>
        <r>
          <rPr>
            <sz val="9"/>
            <color indexed="81"/>
            <rFont val="Tahoma"/>
            <family val="2"/>
          </rPr>
          <t xml:space="preserve">
composition du revenu disponible en 2008 selon le niveau de vie 
source: fiche thématique INSEE
</t>
        </r>
      </text>
    </comment>
    <comment ref="A22" authorId="0">
      <text>
        <r>
          <rPr>
            <b/>
            <sz val="9"/>
            <color indexed="81"/>
            <rFont val="Tahoma"/>
            <family val="2"/>
          </rPr>
          <t>Gissela:</t>
        </r>
        <r>
          <rPr>
            <sz val="9"/>
            <color indexed="81"/>
            <rFont val="Tahoma"/>
            <family val="2"/>
          </rPr>
          <t xml:space="preserve">
composition du revenu disponible en 2008 selon le niveau de vie 
source: fiche thématique INSEE</t>
        </r>
      </text>
    </comment>
  </commentList>
</comments>
</file>

<file path=xl/comments2.xml><?xml version="1.0" encoding="utf-8"?>
<comments xmlns="http://schemas.openxmlformats.org/spreadsheetml/2006/main">
  <authors>
    <author>Gissela</author>
  </authors>
  <commentList>
    <comment ref="L66" authorId="0">
      <text>
        <r>
          <rPr>
            <b/>
            <sz val="9"/>
            <color indexed="81"/>
            <rFont val="Tahoma"/>
            <family val="2"/>
          </rPr>
          <t>Gissela:</t>
        </r>
        <r>
          <rPr>
            <sz val="9"/>
            <color indexed="81"/>
            <rFont val="Tahoma"/>
            <family val="2"/>
          </rPr>
          <t xml:space="preserve">
</t>
        </r>
      </text>
    </comment>
    <comment ref="U88" authorId="0">
      <text>
        <r>
          <rPr>
            <b/>
            <sz val="9"/>
            <color indexed="81"/>
            <rFont val="Tahoma"/>
            <family val="2"/>
          </rPr>
          <t>Gissela:</t>
        </r>
        <r>
          <rPr>
            <sz val="9"/>
            <color indexed="81"/>
            <rFont val="Tahoma"/>
            <family val="2"/>
          </rPr>
          <t xml:space="preserve">
clés de répartition en utilisant le tableau evolution de la répartition des ménage selon les quartile de niveau de vie et le statut d'occupation. Source: exploitation de l'enquête nationale logement 2006 (ANAH) pag. 6
</t>
        </r>
      </text>
    </comment>
    <comment ref="AA89" authorId="0">
      <text>
        <r>
          <rPr>
            <b/>
            <sz val="9"/>
            <color indexed="81"/>
            <rFont val="Tahoma"/>
            <family val="2"/>
          </rPr>
          <t>Gissela:</t>
        </r>
        <r>
          <rPr>
            <sz val="9"/>
            <color indexed="81"/>
            <rFont val="Tahoma"/>
            <family val="2"/>
          </rPr>
          <t xml:space="preserve">
Difference entre le nombre des menages en 2006 et 2001</t>
        </r>
      </text>
    </comment>
    <comment ref="AA94" authorId="0">
      <text>
        <r>
          <rPr>
            <b/>
            <sz val="9"/>
            <color indexed="81"/>
            <rFont val="Tahoma"/>
            <family val="2"/>
          </rPr>
          <t>Gissela:</t>
        </r>
        <r>
          <rPr>
            <sz val="9"/>
            <color indexed="81"/>
            <rFont val="Tahoma"/>
            <family val="2"/>
          </rPr>
          <t xml:space="preserve">
Difference entre le nombre des menages en 2006 et 2001</t>
        </r>
      </text>
    </comment>
    <comment ref="U95" authorId="0">
      <text>
        <r>
          <rPr>
            <b/>
            <sz val="9"/>
            <color indexed="81"/>
            <rFont val="Tahoma"/>
            <family val="2"/>
          </rPr>
          <t>Gissela:</t>
        </r>
        <r>
          <rPr>
            <sz val="9"/>
            <color indexed="81"/>
            <rFont val="Tahoma"/>
            <family val="2"/>
          </rPr>
          <t xml:space="preserve">
taux du locatif publique et ancienneté de la construction. Source: exploitation de l'enquête national du logement 2006 (ANAH) pag. 21 et 22</t>
        </r>
      </text>
    </comment>
    <comment ref="W95" authorId="0">
      <text>
        <r>
          <rPr>
            <b/>
            <sz val="9"/>
            <color indexed="81"/>
            <rFont val="Tahoma"/>
            <family val="2"/>
          </rPr>
          <t>Gissela:</t>
        </r>
        <r>
          <rPr>
            <sz val="9"/>
            <color indexed="81"/>
            <rFont val="Tahoma"/>
            <family val="2"/>
          </rPr>
          <t xml:space="preserve">
taux du locatif publique et ancienneté de la construction. Source: exploitation de l'enquête national du logement 2006 (ANAH) pag. 21 et 22</t>
        </r>
      </text>
    </comment>
    <comment ref="I125" authorId="0">
      <text>
        <r>
          <rPr>
            <b/>
            <sz val="9"/>
            <color indexed="81"/>
            <rFont val="Tahoma"/>
            <family val="2"/>
          </rPr>
          <t>Gissela:</t>
        </r>
        <r>
          <rPr>
            <sz val="9"/>
            <color indexed="81"/>
            <rFont val="Tahoma"/>
            <family val="2"/>
          </rPr>
          <t xml:space="preserve">
hyphotese: tous les logement construit en 2007 sont des
residences pricipales</t>
        </r>
      </text>
    </comment>
  </commentList>
</comments>
</file>

<file path=xl/sharedStrings.xml><?xml version="1.0" encoding="utf-8"?>
<sst xmlns="http://schemas.openxmlformats.org/spreadsheetml/2006/main" count="1335" uniqueCount="800">
  <si>
    <t>Q1</t>
  </si>
  <si>
    <t>Q2</t>
  </si>
  <si>
    <t>Q3</t>
  </si>
  <si>
    <t>Q4</t>
  </si>
  <si>
    <t>Q5</t>
  </si>
  <si>
    <t>en %</t>
  </si>
  <si>
    <t xml:space="preserve"> </t>
  </si>
  <si>
    <t>Ensemble</t>
  </si>
  <si>
    <t xml:space="preserve">Impôts </t>
  </si>
  <si>
    <t>Cotisations</t>
  </si>
  <si>
    <t>Revenus 
d'activité, dont :</t>
  </si>
  <si>
    <t xml:space="preserve">            cotisations
 employeurs</t>
  </si>
  <si>
    <t xml:space="preserve">            cotisations salariés 
et non-salariés</t>
  </si>
  <si>
    <t xml:space="preserve">            Revenus du
 patrimoine, dont :revenus 
financiers </t>
  </si>
  <si>
    <t xml:space="preserve">          Prestations, dont :
 vieillesse</t>
  </si>
  <si>
    <t>Prestations,
 dont :</t>
  </si>
  <si>
    <t xml:space="preserve">       Prestations, dont :  
  chômage</t>
  </si>
  <si>
    <t xml:space="preserve">          autres
 (prestations familiales, minima sociaux...)</t>
  </si>
  <si>
    <t xml:space="preserve">Autres 
transferts </t>
  </si>
  <si>
    <t>Champ : ménages ordinaires résidant en France métropolitaine, hors services d'intermédiation financière indirectement mesurés (Sifim).</t>
  </si>
  <si>
    <t>Sources : Insee, comptes nationaux 2003, enquêtes SRCV 2004, Revenus fiscaux 2003, Budget de famille 2006.</t>
  </si>
  <si>
    <t xml:space="preserve">en % </t>
  </si>
  <si>
    <t>Revenus d'activité et produits financiers</t>
  </si>
  <si>
    <t>Prestations</t>
  </si>
  <si>
    <t>Impôts</t>
  </si>
  <si>
    <t>D1</t>
  </si>
  <si>
    <t>D2</t>
  </si>
  <si>
    <t>D3</t>
  </si>
  <si>
    <t>D4</t>
  </si>
  <si>
    <t>D5</t>
  </si>
  <si>
    <t>D6</t>
  </si>
  <si>
    <t>D7</t>
  </si>
  <si>
    <t>D8</t>
  </si>
  <si>
    <t>D9</t>
  </si>
  <si>
    <t>D10</t>
  </si>
  <si>
    <t>Champ : personnes vivant en France métropolitaine dans un ménage dont le revenu déclaré au fisc est positif ou nul et dont la personne de référence n'est pas étudiante.</t>
  </si>
  <si>
    <t>(2) Source : enquête revenus fiscaux et sociaux 2006, INSEE-DGFiP-CNAF-CNAV-MSA</t>
  </si>
  <si>
    <t>Revenu diponible des menages selon le niveau de vie en 2003 (1)</t>
  </si>
  <si>
    <t>Décomposition du revenu disponible par décile de niveau de vie en 2006 (2)</t>
  </si>
  <si>
    <t>edf gdf</t>
  </si>
  <si>
    <t>elec</t>
  </si>
  <si>
    <t>gaz</t>
  </si>
  <si>
    <t>combustible liquide</t>
  </si>
  <si>
    <t>combustble solide</t>
  </si>
  <si>
    <t>Total</t>
  </si>
  <si>
    <t>Depense total</t>
  </si>
  <si>
    <t>ensemble</t>
  </si>
  <si>
    <t>Depense moyenne selon le Rev par UC: energie logement EBF 2001</t>
  </si>
  <si>
    <t>Depense moyenne selon le Rev par UC: energie logement EBF 2006</t>
  </si>
  <si>
    <t>Distribution de salaire annuels net en EQTP 2009 (3) euros courants</t>
  </si>
  <si>
    <t>(3) Source: INSEE, Declaration annuelles de données siciales (DADS)</t>
  </si>
  <si>
    <t>Salaires et traitements bruts</t>
  </si>
  <si>
    <t>Cotisations sociales à la charge des salariés</t>
  </si>
  <si>
    <t>Salaires et traitements nets</t>
  </si>
  <si>
    <t>Prestations sociales autres que transf. soc. en nature</t>
  </si>
  <si>
    <t>Revenus salariaux et sociaux</t>
  </si>
  <si>
    <t>Excédent brut d'exploitation et revenu mixte</t>
  </si>
  <si>
    <t>Cotisations des non salariés</t>
  </si>
  <si>
    <t>Revenu disponible brut</t>
  </si>
  <si>
    <t>2.101 Revenu disponible brut des ménages (*) et évolution du pouvoir d'achat par personne, par ménage et par unité de consommation</t>
  </si>
  <si>
    <t>En milliards d'euros</t>
  </si>
  <si>
    <t>En %</t>
  </si>
  <si>
    <t>Evolution du revenu disponible brut</t>
  </si>
  <si>
    <t>Evolution de l'indice du prix de la dép. de conso. finale des ménages</t>
  </si>
  <si>
    <t>Evolution du pouvoir d'achat du revenu dispo. brut des ménages (**)</t>
  </si>
  <si>
    <t>Evolution du pouvoir d'achat par personne</t>
  </si>
  <si>
    <t>Evolution pouvoir d'achat par ménage</t>
  </si>
  <si>
    <t>Evolution du pouvoir d'achat par unité de consommation</t>
  </si>
  <si>
    <t>Evolution de la population moyenne</t>
  </si>
  <si>
    <t>Evolution du nombre de ménages</t>
  </si>
  <si>
    <t xml:space="preserve">Evolution du nombre d'unités de consommation </t>
  </si>
  <si>
    <t>Milliards d'euros et %</t>
  </si>
  <si>
    <t>Source : Comptes nationaux - Base 2005, Insee</t>
  </si>
  <si>
    <t xml:space="preserve">(*) Y compris entreprises individuelles.  </t>
  </si>
  <si>
    <t xml:space="preserve">(**) L'évolution calculée au sens de la comptabilité nationale est déflatée à l'aide de l'indice du prix des dépenses de consommation finale des ménages </t>
  </si>
  <si>
    <t>(voir tableau 5.203).</t>
  </si>
  <si>
    <t>revenu diponible moyen par UC (en euros) EBF 2006</t>
  </si>
  <si>
    <t>(1) Lecture : pour 100 de revenu disponible, les ménages les plus modestes (premier quintile, Q1) ont en moyenne 67 de revenus d'activité, 53 de prestations et transferts et 8 de revenus du patrimoine (revenus fonciers et financiers), qui sont diminués de 27 d'impôts et de cotisations. La masse totale de revenu disponible des ménages du premier quintile s'élève à 78,7 milliards d'euros en 2003, soit en moyenne 10 080 euros par an et par unité de consommation (UC). Les revenus moyens par UC  sont obtenus en divisant les revenus moyens par le nombre moyen d'UC  par ménage dan la caregorie</t>
  </si>
  <si>
    <t>Total en nombre</t>
  </si>
  <si>
    <t>A</t>
  </si>
  <si>
    <t>B</t>
  </si>
  <si>
    <t>C</t>
  </si>
  <si>
    <t>D</t>
  </si>
  <si>
    <t>E</t>
  </si>
  <si>
    <t>F</t>
  </si>
  <si>
    <t>G</t>
  </si>
  <si>
    <t>H</t>
  </si>
  <si>
    <t>I</t>
  </si>
  <si>
    <t>consomation moyenne</t>
  </si>
  <si>
    <t>Logements construits avant 1975</t>
  </si>
  <si>
    <t>Logements construits  1975-2000</t>
  </si>
  <si>
    <t>Logements construits 2000-2007</t>
  </si>
  <si>
    <t>Logements sociaux</t>
  </si>
  <si>
    <t>revenu diponible moyen par UC (en euros) 2003</t>
  </si>
  <si>
    <t>Total 
(en milliards d'euros ) 2003</t>
  </si>
  <si>
    <t>revenu diponible moyen par UC (en euros) 2001 EBF</t>
  </si>
  <si>
    <t>Personnes par ménages EBF 2001</t>
  </si>
  <si>
    <t>UC par ménages EBF 2001</t>
  </si>
  <si>
    <t>Dépense par ménage EBF 2001</t>
  </si>
  <si>
    <t>avant 75</t>
  </si>
  <si>
    <t>moins de 40 m²</t>
  </si>
  <si>
    <t>40 à 69 m²</t>
  </si>
  <si>
    <t>70 à 99 m²</t>
  </si>
  <si>
    <t>100 à 149 m²</t>
  </si>
  <si>
    <t>150 et plus m²</t>
  </si>
  <si>
    <t xml:space="preserve">Propietaire et accédant </t>
  </si>
  <si>
    <t>Ménages</t>
  </si>
  <si>
    <t>Etiquette Energie Primaire en nombre de logements ( performance énergetique du parc en 2008)</t>
  </si>
  <si>
    <t>Ménages en 2006</t>
  </si>
  <si>
    <t>Évolution de la population et du nombre des ménages en France métropolitaine</t>
  </si>
  <si>
    <t>Années</t>
  </si>
  <si>
    <t>Population</t>
  </si>
  <si>
    <t>Moyenne annuelle en milliers de personnes</t>
  </si>
  <si>
    <t>Indice d'évolution base 100</t>
  </si>
  <si>
    <t>Moyenne annuelle en milliers de ménages</t>
  </si>
  <si>
    <t>Année précédente</t>
  </si>
  <si>
    <t xml:space="preserve">Sources :  </t>
  </si>
  <si>
    <t xml:space="preserve"> Population :</t>
  </si>
  <si>
    <t>- jusqu'en 1961 : Moyennes arithmétiques des populations au 1er janvier dans les Collections de l'Insee, série D, n° 63.</t>
  </si>
  <si>
    <t>- de 1962 à 2006 : Population en milieu d'année relevée dans le bilan démographique.</t>
  </si>
  <si>
    <t xml:space="preserve"> Ménages :</t>
  </si>
  <si>
    <t>- jusqu'en 1975 : Evaluation du nombre de ménages ordinaires au 1er juillet (moyennes arithmétiques des nombres au 1er janvier) par interpolation entre deux recensements (cf. "Le mouvement économique en France 1949-1979, séries longues macro-économiques",</t>
  </si>
  <si>
    <t>- de 1976 à 1981 : "Projection jusqu'en 2010 du nombre de ménages" par C. Louvot, les collections de l'Insee, série M, n° 129 de février 1988.</t>
  </si>
  <si>
    <t>- depuis 1982 : Compte du logement.</t>
  </si>
  <si>
    <t xml:space="preserve">  </t>
  </si>
  <si>
    <t>DEPENSE ANNUELLE MOYENNE PAR MENAGE SELON LE REVENU PAR UNITE DE CONSOMMATION</t>
  </si>
  <si>
    <t>TABLEAU A-6</t>
  </si>
  <si>
    <t>DECILE DE REVENU PAR UNITE DE CONSOMMATION</t>
  </si>
  <si>
    <t>ENSEMBLE</t>
  </si>
  <si>
    <t xml:space="preserve">D1 </t>
  </si>
  <si>
    <t xml:space="preserve">D2 </t>
  </si>
  <si>
    <t xml:space="preserve">D3 </t>
  </si>
  <si>
    <t xml:space="preserve">D4 </t>
  </si>
  <si>
    <t xml:space="preserve">D5 </t>
  </si>
  <si>
    <t xml:space="preserve">D6 </t>
  </si>
  <si>
    <t xml:space="preserve">D7 </t>
  </si>
  <si>
    <t xml:space="preserve">D8 </t>
  </si>
  <si>
    <t xml:space="preserve">D9 </t>
  </si>
  <si>
    <t>DEPENSE TOTALE - CHAMP COMPTABILITE NATIONALE</t>
  </si>
  <si>
    <t>01111</t>
  </si>
  <si>
    <t>Riz et produits à base de riz</t>
  </si>
  <si>
    <t>01112</t>
  </si>
  <si>
    <t>Pain et autres produits de boulangerie et de viennoiserie</t>
  </si>
  <si>
    <t>01113</t>
  </si>
  <si>
    <t>Pâtes alimentaires sous toutes leurs formes et plats à base de pâtes</t>
  </si>
  <si>
    <t>01114</t>
  </si>
  <si>
    <t>Autres pâtisseries, préparation à base de pâte</t>
  </si>
  <si>
    <t>01115</t>
  </si>
  <si>
    <t>Autres céréales et produits à base de céréales</t>
  </si>
  <si>
    <t xml:space="preserve">0111 </t>
  </si>
  <si>
    <t>PAIN ET CEREALES</t>
  </si>
  <si>
    <t>01121</t>
  </si>
  <si>
    <t>Viande bovine fraîche ou surgelée</t>
  </si>
  <si>
    <t>01122</t>
  </si>
  <si>
    <t>Viande porcine fraîche ou surgelée</t>
  </si>
  <si>
    <t>01123</t>
  </si>
  <si>
    <t>Viande ovine ou caprine fraîche ou surgelée</t>
  </si>
  <si>
    <t>01124</t>
  </si>
  <si>
    <t>Viande de volaille fraîche ou surgelée</t>
  </si>
  <si>
    <t>01125</t>
  </si>
  <si>
    <t>Viande séchée salée ou fumée, charcuterie et abats, frais ou surgelé</t>
  </si>
  <si>
    <t>01126</t>
  </si>
  <si>
    <t>Conserve viande, produit de transformation des viandes, plat préparé à base de viande</t>
  </si>
  <si>
    <t>01127</t>
  </si>
  <si>
    <t>Autres viandes comestibles fraîches ou surgelées (cheval, lapin, gibier)</t>
  </si>
  <si>
    <t xml:space="preserve">0112 </t>
  </si>
  <si>
    <t>VIANDES</t>
  </si>
  <si>
    <t xml:space="preserve">0113 </t>
  </si>
  <si>
    <t>POISSONS ET FRUITS DE MER</t>
  </si>
  <si>
    <t>0114A</t>
  </si>
  <si>
    <t>Lait frais, condensé, en poudre</t>
  </si>
  <si>
    <t>0114B</t>
  </si>
  <si>
    <t>Fromages et produits laitiers</t>
  </si>
  <si>
    <t>01147</t>
  </si>
  <si>
    <t>Œufs</t>
  </si>
  <si>
    <t xml:space="preserve">0114 </t>
  </si>
  <si>
    <t>LAIT FROMAGES ŒUFS</t>
  </si>
  <si>
    <t>01151</t>
  </si>
  <si>
    <t>Beurre</t>
  </si>
  <si>
    <t>0115A</t>
  </si>
  <si>
    <t>Huiles alimentaires</t>
  </si>
  <si>
    <t>0115B</t>
  </si>
  <si>
    <t>Margarine et autres graisses alimentaires</t>
  </si>
  <si>
    <t xml:space="preserve">0115 </t>
  </si>
  <si>
    <t>HUILES ET GRAISSES</t>
  </si>
  <si>
    <t>01161</t>
  </si>
  <si>
    <t xml:space="preserve">Agrumes frais </t>
  </si>
  <si>
    <t>01162</t>
  </si>
  <si>
    <t>Bananes fraîches</t>
  </si>
  <si>
    <t>0116A</t>
  </si>
  <si>
    <t>Autres fruits frais</t>
  </si>
  <si>
    <t>01168</t>
  </si>
  <si>
    <t>Fruits séchés</t>
  </si>
  <si>
    <t>01169</t>
  </si>
  <si>
    <t>Fruits au sirop et fruits surgelés</t>
  </si>
  <si>
    <t xml:space="preserve">0116 </t>
  </si>
  <si>
    <t>FRUITS</t>
  </si>
  <si>
    <t>0117A</t>
  </si>
  <si>
    <t>Légumes frais</t>
  </si>
  <si>
    <t>01175</t>
  </si>
  <si>
    <t>Légumes secs</t>
  </si>
  <si>
    <t>01176</t>
  </si>
  <si>
    <t>Légumes surgelés</t>
  </si>
  <si>
    <t>01177</t>
  </si>
  <si>
    <t>Légumes et plats à base de légumes, en conserve (sans pommes de terre)</t>
  </si>
  <si>
    <t>01178</t>
  </si>
  <si>
    <t>Légumes préparés et plats à base de légumes, frais et surgelés</t>
  </si>
  <si>
    <t>01179</t>
  </si>
  <si>
    <t>Pomme de terre, autres tubercules, produits à base de pommes de terre et tubercules</t>
  </si>
  <si>
    <t xml:space="preserve">0117 </t>
  </si>
  <si>
    <t>LEGUMES</t>
  </si>
  <si>
    <t>01181</t>
  </si>
  <si>
    <t>Sucre</t>
  </si>
  <si>
    <t>0118A</t>
  </si>
  <si>
    <t>Produits a base de sucre et cacao</t>
  </si>
  <si>
    <t xml:space="preserve">0118  </t>
  </si>
  <si>
    <t>SUCRE ET PRODUITS A BASE DE SUCRE OU DE CACAO</t>
  </si>
  <si>
    <t xml:space="preserve">0119 </t>
  </si>
  <si>
    <t>AUTRES PRODUITS ALIMENTAIRES</t>
  </si>
  <si>
    <t>0121A</t>
  </si>
  <si>
    <t>Café, thé, plantes a infusion</t>
  </si>
  <si>
    <t>01213</t>
  </si>
  <si>
    <t>Cacao et chocolat en poudre</t>
  </si>
  <si>
    <t xml:space="preserve">0121   </t>
  </si>
  <si>
    <t>CAFE, THE, CACAO</t>
  </si>
  <si>
    <t>01221</t>
  </si>
  <si>
    <t>Eaux minérales</t>
  </si>
  <si>
    <t>01222</t>
  </si>
  <si>
    <t>Boissons gazeuses</t>
  </si>
  <si>
    <t>0122A</t>
  </si>
  <si>
    <t>Jus de fruits et de légumes</t>
  </si>
  <si>
    <t xml:space="preserve">0122 </t>
  </si>
  <si>
    <t>EAUX MINERALES, BOISSONS GAZEUSES ET JUS</t>
  </si>
  <si>
    <t xml:space="preserve">0131 </t>
  </si>
  <si>
    <t>AUTRES DEPENSES D'ALIMENTATION</t>
  </si>
  <si>
    <t>02111</t>
  </si>
  <si>
    <t>Spiritueux et liqueurs</t>
  </si>
  <si>
    <t>0212A</t>
  </si>
  <si>
    <t>Vins, apéritifs a base de vin, champagne</t>
  </si>
  <si>
    <t>02131</t>
  </si>
  <si>
    <t>Bière et boissons à base de bière</t>
  </si>
  <si>
    <t xml:space="preserve">021 </t>
  </si>
  <si>
    <t>BOISSONS ALCOOLISEES</t>
  </si>
  <si>
    <t>TOTAL PRODUITS ALIMENTAIRES</t>
  </si>
  <si>
    <t>11111</t>
  </si>
  <si>
    <t>Restaurants</t>
  </si>
  <si>
    <t>11112</t>
  </si>
  <si>
    <t>Cafés bars et assimilés (buffets, buvettes, salons de thé, restauration rapide…)</t>
  </si>
  <si>
    <t>11121</t>
  </si>
  <si>
    <t>Cantines</t>
  </si>
  <si>
    <t>1113</t>
  </si>
  <si>
    <t>Autres dépenses de restauration</t>
  </si>
  <si>
    <t xml:space="preserve">111  </t>
  </si>
  <si>
    <t>RESTAURATION</t>
  </si>
  <si>
    <t>TOTAL ALIMENTATION</t>
  </si>
  <si>
    <t xml:space="preserve">022 </t>
  </si>
  <si>
    <t>TABAC</t>
  </si>
  <si>
    <t>03111</t>
  </si>
  <si>
    <t>Tissus pour vêtements</t>
  </si>
  <si>
    <t>0312</t>
  </si>
  <si>
    <t>Vêtements pour hommes, femmes et enfants</t>
  </si>
  <si>
    <t>03131</t>
  </si>
  <si>
    <t>Accessoires du vêtement et mercerie</t>
  </si>
  <si>
    <t>03141</t>
  </si>
  <si>
    <t>Nettoyage, réparation et location de vêtements</t>
  </si>
  <si>
    <t>0321</t>
  </si>
  <si>
    <t>Chaussures pour hommes, femmes et enfants</t>
  </si>
  <si>
    <t>03221</t>
  </si>
  <si>
    <t>Réparation et location de chaussures</t>
  </si>
  <si>
    <t>0331</t>
  </si>
  <si>
    <t>Autres dépenses d'habillement</t>
  </si>
  <si>
    <t xml:space="preserve">03 </t>
  </si>
  <si>
    <t>HABILLEMENT ET ARTICLES CHAUSSANTS</t>
  </si>
  <si>
    <t>04111</t>
  </si>
  <si>
    <t>Loyers et charges des locataires résidence principale</t>
  </si>
  <si>
    <t>04121</t>
  </si>
  <si>
    <t>Loyers et charges des locataires autres résidences</t>
  </si>
  <si>
    <t>04311</t>
  </si>
  <si>
    <t>Produits destinés aux travaux courants d'entretien et de réparation du logement (hors gros travaux)</t>
  </si>
  <si>
    <t>04321</t>
  </si>
  <si>
    <t>Services d'entretien et petites réparations du logement</t>
  </si>
  <si>
    <t>0441</t>
  </si>
  <si>
    <t>Autres services relatifs au logement : ordures, assainissement</t>
  </si>
  <si>
    <t>04431</t>
  </si>
  <si>
    <t>Factures d'eau résidence principale, autre logement, dépendance, terrain</t>
  </si>
  <si>
    <t>04441</t>
  </si>
  <si>
    <t xml:space="preserve">Charges collectives relatives au logement </t>
  </si>
  <si>
    <t xml:space="preserve">04500 </t>
  </si>
  <si>
    <t>Facture électricité - gaz non dissociable</t>
  </si>
  <si>
    <t>04511</t>
  </si>
  <si>
    <t>Electricité</t>
  </si>
  <si>
    <t>0452</t>
  </si>
  <si>
    <t>Gaz</t>
  </si>
  <si>
    <t>0453</t>
  </si>
  <si>
    <t>Combustibles liquides</t>
  </si>
  <si>
    <t>045A</t>
  </si>
  <si>
    <t>Combustibles solides</t>
  </si>
  <si>
    <t>04611</t>
  </si>
  <si>
    <t xml:space="preserve">Autres dépenses d'habitation </t>
  </si>
  <si>
    <t xml:space="preserve">04 </t>
  </si>
  <si>
    <t>LOGEMENT, EAU, GAZ, ELECTRICITE, COMBUSTIBLES</t>
  </si>
  <si>
    <t>0511</t>
  </si>
  <si>
    <t>Meubles et articles d'ameublement</t>
  </si>
  <si>
    <t>05121</t>
  </si>
  <si>
    <t>Tapis et autres revêtements de sol (yc. pose et réparation de ces articles)</t>
  </si>
  <si>
    <t>0521</t>
  </si>
  <si>
    <t>Articles de ménage en textile</t>
  </si>
  <si>
    <t>0531</t>
  </si>
  <si>
    <t>Gros appareils électroménagers</t>
  </si>
  <si>
    <t>05321</t>
  </si>
  <si>
    <t>Petit électroménager</t>
  </si>
  <si>
    <t>05331</t>
  </si>
  <si>
    <t>Réparation et entretien des appareils électroménagers</t>
  </si>
  <si>
    <t xml:space="preserve">0541 </t>
  </si>
  <si>
    <t>Verrerie vaisselle et ustensiles ménagers</t>
  </si>
  <si>
    <t>0551</t>
  </si>
  <si>
    <t>Gros outillage de bricolage et de jardinage</t>
  </si>
  <si>
    <t>0552</t>
  </si>
  <si>
    <t>Petit outillage et accessoires divers</t>
  </si>
  <si>
    <t>0561</t>
  </si>
  <si>
    <t>Articles de ménage non durables</t>
  </si>
  <si>
    <t>0562</t>
  </si>
  <si>
    <t>Services domestiques pour le logement</t>
  </si>
  <si>
    <t>0571</t>
  </si>
  <si>
    <t>Autres dépenses en équipement</t>
  </si>
  <si>
    <t xml:space="preserve">05 </t>
  </si>
  <si>
    <t>AMEUBLEMENT, EQUIPEMENT MENAGER ET ENTRETIEN COURANT DE LA MAISON</t>
  </si>
  <si>
    <t>0611</t>
  </si>
  <si>
    <t>Produits et appareils médicaux</t>
  </si>
  <si>
    <t>06211</t>
  </si>
  <si>
    <t>Services médicaux</t>
  </si>
  <si>
    <t>06221</t>
  </si>
  <si>
    <t>Dentiste, orthodontie</t>
  </si>
  <si>
    <t>0623</t>
  </si>
  <si>
    <t>Services paramédicaux</t>
  </si>
  <si>
    <t>06311</t>
  </si>
  <si>
    <t>Services et soins hospitaliers</t>
  </si>
  <si>
    <t>0641</t>
  </si>
  <si>
    <t>Autres dépenses de santé</t>
  </si>
  <si>
    <t xml:space="preserve">06 </t>
  </si>
  <si>
    <t>SANTE</t>
  </si>
  <si>
    <t>0711</t>
  </si>
  <si>
    <t>Achats d'automobiles</t>
  </si>
  <si>
    <t>07121</t>
  </si>
  <si>
    <t xml:space="preserve">Achats de motocycles </t>
  </si>
  <si>
    <t>07131</t>
  </si>
  <si>
    <t>Achats de cycles</t>
  </si>
  <si>
    <t>07141</t>
  </si>
  <si>
    <t>Achats d'autres véhicules</t>
  </si>
  <si>
    <t>07211</t>
  </si>
  <si>
    <t>Pièces détachées et accessoires</t>
  </si>
  <si>
    <t>07221</t>
  </si>
  <si>
    <t>Carburants, électricité, huiles, lubrifiants</t>
  </si>
  <si>
    <t>07231</t>
  </si>
  <si>
    <t>Réparations, dépannages, révisions, lavage, entretien et contrôle technique</t>
  </si>
  <si>
    <t>0724</t>
  </si>
  <si>
    <t>Autres services liés aux véhicules personnels</t>
  </si>
  <si>
    <t>073</t>
  </si>
  <si>
    <t>Services de transport de voyageurs</t>
  </si>
  <si>
    <t>0741</t>
  </si>
  <si>
    <t>Autres dépenses de transport</t>
  </si>
  <si>
    <t xml:space="preserve">07 </t>
  </si>
  <si>
    <t>TRANSPORTS</t>
  </si>
  <si>
    <t>08111</t>
  </si>
  <si>
    <t>Services postaux</t>
  </si>
  <si>
    <t>08121</t>
  </si>
  <si>
    <t>Achats et réparation téléphones, télécopieurs et accessoires</t>
  </si>
  <si>
    <t>08131</t>
  </si>
  <si>
    <t>Services de téléphone, télégraphe et télécopie, internet, recharges tél.</t>
  </si>
  <si>
    <t xml:space="preserve">08 </t>
  </si>
  <si>
    <t>COMMUNICATIONS</t>
  </si>
  <si>
    <t>0911</t>
  </si>
  <si>
    <t>Appareils de réception, d'enregistrement et reproduction du son et de l'image</t>
  </si>
  <si>
    <t>091A</t>
  </si>
  <si>
    <t>Equipement photo. et cinéma., optique</t>
  </si>
  <si>
    <t>09131</t>
  </si>
  <si>
    <t>Micro-ordinateurs, matériels et accessoires informatiques, consommables</t>
  </si>
  <si>
    <t>09141</t>
  </si>
  <si>
    <t>Supports vierges ou enregistrés pour l'image et le son</t>
  </si>
  <si>
    <t>092</t>
  </si>
  <si>
    <t>Autres biens durables importants du domaine des loisirs et de la culture yc. réparation</t>
  </si>
  <si>
    <t>0931</t>
  </si>
  <si>
    <t>Jeux, jouets, articles de sport et loisirs de plein air</t>
  </si>
  <si>
    <t>09321</t>
  </si>
  <si>
    <t>Horticulture</t>
  </si>
  <si>
    <t>09331</t>
  </si>
  <si>
    <t>Animaux d'agrément</t>
  </si>
  <si>
    <t>09411</t>
  </si>
  <si>
    <t xml:space="preserve">Services sportifs et récréatifs </t>
  </si>
  <si>
    <t>0942</t>
  </si>
  <si>
    <t>Services culturels</t>
  </si>
  <si>
    <t xml:space="preserve">09431 </t>
  </si>
  <si>
    <t xml:space="preserve">Jeux de hasard </t>
  </si>
  <si>
    <t>09511</t>
  </si>
  <si>
    <t>Livres</t>
  </si>
  <si>
    <t>09521</t>
  </si>
  <si>
    <t>Journaux et périodiques</t>
  </si>
  <si>
    <t>09531</t>
  </si>
  <si>
    <t>Imprimés divers</t>
  </si>
  <si>
    <t>09541</t>
  </si>
  <si>
    <t>Articles de papeterie et de dessin</t>
  </si>
  <si>
    <t>09611</t>
  </si>
  <si>
    <t>Voyages à forfait, week-end, excursions… y.c. voyage scolaire</t>
  </si>
  <si>
    <t>0971</t>
  </si>
  <si>
    <t>Autres dépenses de loisir</t>
  </si>
  <si>
    <t xml:space="preserve">09 </t>
  </si>
  <si>
    <t>LOISIRS ET CULTURE</t>
  </si>
  <si>
    <t>10111</t>
  </si>
  <si>
    <t>Enseignement maternel et primaire</t>
  </si>
  <si>
    <t>10121</t>
  </si>
  <si>
    <t>Enseignement secondaire</t>
  </si>
  <si>
    <t>10131</t>
  </si>
  <si>
    <t>Enseignement supérieur</t>
  </si>
  <si>
    <t>10141</t>
  </si>
  <si>
    <t>Enseignement ne correspondant à aucun niveau particulier</t>
  </si>
  <si>
    <t>1015</t>
  </si>
  <si>
    <t>Autres dépenses d'enseignement</t>
  </si>
  <si>
    <t xml:space="preserve">10 </t>
  </si>
  <si>
    <t>ENSEIGNEMENT</t>
  </si>
  <si>
    <t xml:space="preserve">112    </t>
  </si>
  <si>
    <t>SERVICES D'HEBERGEMENT</t>
  </si>
  <si>
    <t>12111</t>
  </si>
  <si>
    <t>Salons de coiffure et esthétique corporelle</t>
  </si>
  <si>
    <t>1212</t>
  </si>
  <si>
    <t>Appareils, articles, produits de soins personnels</t>
  </si>
  <si>
    <t>12211</t>
  </si>
  <si>
    <t>Articles de bijouterie, de joaillerie et d'horlogerie</t>
  </si>
  <si>
    <t>1222</t>
  </si>
  <si>
    <t>Autres effets personnels</t>
  </si>
  <si>
    <t>12311</t>
  </si>
  <si>
    <t>Services de protection sociale</t>
  </si>
  <si>
    <t>12411</t>
  </si>
  <si>
    <t>Assurances vie, décès</t>
  </si>
  <si>
    <t>12421</t>
  </si>
  <si>
    <t>Assurance liées au logement</t>
  </si>
  <si>
    <t>12431</t>
  </si>
  <si>
    <t>Assurances liées à la santé</t>
  </si>
  <si>
    <t>12441</t>
  </si>
  <si>
    <t>Assurances liées aux transports</t>
  </si>
  <si>
    <t xml:space="preserve">12451 </t>
  </si>
  <si>
    <t>Autres assurances</t>
  </si>
  <si>
    <t>12511</t>
  </si>
  <si>
    <t>Services financiers</t>
  </si>
  <si>
    <t>1261</t>
  </si>
  <si>
    <t>Autres services</t>
  </si>
  <si>
    <t>12711</t>
  </si>
  <si>
    <t>Autres dépenses occasionnées par une cérémonie</t>
  </si>
  <si>
    <t xml:space="preserve">12 </t>
  </si>
  <si>
    <t>AUTRES BIENS ET SERVICES</t>
  </si>
  <si>
    <t>TOTAL NON ALIMENTAIRE</t>
  </si>
  <si>
    <t>131A</t>
  </si>
  <si>
    <t>Impôts et taxes du logement</t>
  </si>
  <si>
    <t>13141</t>
  </si>
  <si>
    <t>Impôts sur le revenu</t>
  </si>
  <si>
    <t>13151</t>
  </si>
  <si>
    <t>Taxes automobile</t>
  </si>
  <si>
    <t>13161</t>
  </si>
  <si>
    <t>Autres impôts et taxes</t>
  </si>
  <si>
    <t>132</t>
  </si>
  <si>
    <t>Gros travaux dans le logement</t>
  </si>
  <si>
    <t>133A</t>
  </si>
  <si>
    <t>Remboursements de prêts du logement</t>
  </si>
  <si>
    <t>13331</t>
  </si>
  <si>
    <t>Autres remboursements de prêts</t>
  </si>
  <si>
    <t xml:space="preserve">135    </t>
  </si>
  <si>
    <t>Aides et cadeaux en argent offerts par le ménage</t>
  </si>
  <si>
    <t>13611</t>
  </si>
  <si>
    <t>Prélèvements par l'employeur</t>
  </si>
  <si>
    <t xml:space="preserve">13 </t>
  </si>
  <si>
    <t>HORS CHAMP DE LA CONSOMMATION FINALE (hors épargne et argent donné au sein du ménage)</t>
  </si>
  <si>
    <t>Champ : France métropolitaine</t>
  </si>
  <si>
    <t>Source : Insee, enquête budget de famille 2006</t>
  </si>
  <si>
    <t>2000 et plus</t>
  </si>
  <si>
    <t>Menages disposant d'au moins: 1 residence secondaire et/ou un autre logement</t>
  </si>
  <si>
    <t>nombre de logement secondaires et autres</t>
  </si>
  <si>
    <t>Nombre de logement</t>
  </si>
  <si>
    <t>Nombre de logement 2006</t>
  </si>
  <si>
    <t>entre 75-2001</t>
  </si>
  <si>
    <t>en nombre avant 75</t>
  </si>
  <si>
    <t>en nombre 75-2001</t>
  </si>
  <si>
    <t>logement sociaux avant 1975</t>
  </si>
  <si>
    <t>Logement sociaux après 1975</t>
  </si>
  <si>
    <t>Logement avant 75</t>
  </si>
  <si>
    <t>Logement 75-2001</t>
  </si>
  <si>
    <t>Logement sociaux</t>
  </si>
  <si>
    <t>Répartition des ménages locataire selon le statu en %</t>
  </si>
  <si>
    <t xml:space="preserve">Locataire d'un logement loué vide en secteur HLM </t>
  </si>
  <si>
    <t xml:space="preserve">Locataire d'un logement du secteur social non HLM et non 1948 </t>
  </si>
  <si>
    <t xml:space="preserve">Locataire d'un logement loué vide soumis à la loi 1948 </t>
  </si>
  <si>
    <t xml:space="preserve">Locataire d'un logement loué vide à loyer "libre" </t>
  </si>
  <si>
    <t xml:space="preserve">Autre locataire (meublé, hôtel, sous-locataire) </t>
  </si>
  <si>
    <t xml:space="preserve">Total locataires </t>
  </si>
  <si>
    <t>Type de logement</t>
  </si>
  <si>
    <t>Locatif public et ancienneté de la construction</t>
  </si>
  <si>
    <t>Locatif privé et ancienneté de la construction</t>
  </si>
  <si>
    <t>Locataires en deça du seuil de pauvreté</t>
  </si>
  <si>
    <t>Ensemble des locataires</t>
  </si>
  <si>
    <t xml:space="preserve">Maison individuelle </t>
  </si>
  <si>
    <t xml:space="preserve">Collectif et divers </t>
  </si>
  <si>
    <t xml:space="preserve">Avant 1948 </t>
  </si>
  <si>
    <t xml:space="preserve">1948 à 1974 </t>
  </si>
  <si>
    <t xml:space="preserve">1975 et après </t>
  </si>
  <si>
    <t xml:space="preserve">Total locatif public </t>
  </si>
  <si>
    <t xml:space="preserve">Total locatif privé </t>
  </si>
  <si>
    <t xml:space="preserve">Total </t>
  </si>
  <si>
    <t>1er quartile</t>
  </si>
  <si>
    <t>2eme quartile</t>
  </si>
  <si>
    <t>3eme quartil</t>
  </si>
  <si>
    <t>4eme quartile</t>
  </si>
  <si>
    <t xml:space="preserve">Ensemble </t>
  </si>
  <si>
    <t xml:space="preserve">Propriétaires 2001 </t>
  </si>
  <si>
    <t xml:space="preserve">Propriétaires 2006 </t>
  </si>
  <si>
    <t xml:space="preserve">Locataires parc public 2001 </t>
  </si>
  <si>
    <t xml:space="preserve">Locataires parc public 2006 </t>
  </si>
  <si>
    <t xml:space="preserve">Locataires parc privé 2001 </t>
  </si>
  <si>
    <t xml:space="preserve">Locataires parc privé 2006 </t>
  </si>
  <si>
    <t xml:space="preserve">Autres statuts 2002 100 </t>
  </si>
  <si>
    <t xml:space="preserve">Autres statuts 2006 100 </t>
  </si>
  <si>
    <t>Evolution de la répartition des ménages selon les quartiles de niveau de vie et le statut d'occupation</t>
  </si>
  <si>
    <t>Type de statut du logement des ménages locataires</t>
  </si>
  <si>
    <t>Logés gratuitement</t>
  </si>
  <si>
    <t>Logement 2001-2006</t>
  </si>
  <si>
    <t>Ménages
( en millier)2001</t>
  </si>
  <si>
    <t>Ménages
( en millier)2006</t>
  </si>
  <si>
    <t>entre 2001-2006</t>
  </si>
  <si>
    <t>en nombre
2001-2006</t>
  </si>
  <si>
    <t>Cotisation emploiyeur</t>
  </si>
  <si>
    <t>cotisation salariés et 
non salariés</t>
  </si>
  <si>
    <t>Revenus du patrimoine</t>
  </si>
  <si>
    <t xml:space="preserve">Revenus du
 patrimoine, </t>
  </si>
  <si>
    <t xml:space="preserve">dont revenu financier </t>
  </si>
  <si>
    <t>target</t>
  </si>
  <si>
    <t>impôt</t>
  </si>
  <si>
    <t>source 
negawatt</t>
  </si>
  <si>
    <t>Locataire, sous locataire</t>
  </si>
  <si>
    <t>logements principaux en 2006</t>
  </si>
  <si>
    <t>Repartition de logement en 2006 selon typologie de "la modelisation des performances du parc de logements existants"</t>
  </si>
  <si>
    <t>Calcul de logement sociaux</t>
  </si>
  <si>
    <t>LOGEMENT</t>
  </si>
  <si>
    <t>TRANSPORT</t>
  </si>
  <si>
    <t xml:space="preserve">efficient </t>
  </si>
  <si>
    <t>autres</t>
  </si>
  <si>
    <t>Tableau 6-3 - Kilométrage annuel des véhicules</t>
  </si>
  <si>
    <t>Champ: Ensemble des VP + VUL roulants</t>
  </si>
  <si>
    <t>Moins de 
5 000 km/an</t>
  </si>
  <si>
    <t>De 5 000 à
10 000 km/an</t>
  </si>
  <si>
    <t>De 10 000 à
 15 000 km/an</t>
  </si>
  <si>
    <t>Plus de 
15 000 km/an</t>
  </si>
  <si>
    <t>Répartition en %</t>
  </si>
  <si>
    <t>Effectifs en milliers</t>
  </si>
  <si>
    <t>%</t>
  </si>
  <si>
    <t>Effectifs 
en milliers</t>
  </si>
  <si>
    <t>Km moyen</t>
  </si>
  <si>
    <t>Type urbain du domicile</t>
  </si>
  <si>
    <t>Espace à dominante rurale</t>
  </si>
  <si>
    <t>Commune polarisée AU jusqu'à 99 999 habts</t>
  </si>
  <si>
    <t>Pôle urbain AU jusqu'à 99 999 habts</t>
  </si>
  <si>
    <t>Commune multipolarisée</t>
  </si>
  <si>
    <t>Commune polarisée AU de 100 000 à 10 000 000 habts</t>
  </si>
  <si>
    <t>Banlieue pôle urbain AU de 100 000 à 10 000 000 habts</t>
  </si>
  <si>
    <t>Centre pôle urbain AU de 100 000 à 10 000 000 habts</t>
  </si>
  <si>
    <t>Commune polarisée AU de Paris</t>
  </si>
  <si>
    <t>Banlieue de Paris</t>
  </si>
  <si>
    <t>Paris</t>
  </si>
  <si>
    <t>Décile de revenu par unité de consommation</t>
  </si>
  <si>
    <t>1er décile</t>
  </si>
  <si>
    <t>2ème décile</t>
  </si>
  <si>
    <t>3ème décile</t>
  </si>
  <si>
    <t>4ème décile</t>
  </si>
  <si>
    <t>5ème décile</t>
  </si>
  <si>
    <t>6ème décile</t>
  </si>
  <si>
    <t>7ème décile</t>
  </si>
  <si>
    <t>8ème décile</t>
  </si>
  <si>
    <t>9ème décile</t>
  </si>
  <si>
    <t>10ème décile</t>
  </si>
  <si>
    <t>Quartile de revenu par unité de consommation</t>
  </si>
  <si>
    <t>2ème quartile</t>
  </si>
  <si>
    <t>3ème quartile</t>
  </si>
  <si>
    <t>4ème quartile</t>
  </si>
  <si>
    <t>Revenu par UC du ménage</t>
  </si>
  <si>
    <t>Moins de 9 600 euros</t>
  </si>
  <si>
    <t>De 9 600 à 12 000 euros</t>
  </si>
  <si>
    <t>De 12 000 à 14 400 euros</t>
  </si>
  <si>
    <t>De 14 400 à 16 800 euros</t>
  </si>
  <si>
    <t>De 16 800 à 19 200 euros</t>
  </si>
  <si>
    <t>De 19 200 à 24 000 euros</t>
  </si>
  <si>
    <t>De 24 000 à 30 000 euros</t>
  </si>
  <si>
    <t>De 30 000 euros ou plus</t>
  </si>
  <si>
    <t>Type du ménage</t>
  </si>
  <si>
    <t>Personne seule</t>
  </si>
  <si>
    <t>Couple sans enfant</t>
  </si>
  <si>
    <t>Couple avec un enfant</t>
  </si>
  <si>
    <t>Couple avec deux enfants</t>
  </si>
  <si>
    <t>Couple avec trois enfants ou plus</t>
  </si>
  <si>
    <t>Famille monoparentale</t>
  </si>
  <si>
    <t>Autres cas</t>
  </si>
  <si>
    <t>Sexe de la pers. de référence</t>
  </si>
  <si>
    <t>Hommes</t>
  </si>
  <si>
    <t>Femmes</t>
  </si>
  <si>
    <t>Age de la pers. de référence</t>
  </si>
  <si>
    <t>Moins de 35 ans</t>
  </si>
  <si>
    <t>De 35 à 49 ans</t>
  </si>
  <si>
    <t>De 50 à 64 ans</t>
  </si>
  <si>
    <t>De 65 à 75 ans</t>
  </si>
  <si>
    <t>Plus de 75 ans</t>
  </si>
  <si>
    <t>Catégorie socioprofessionnelle de la pers. de référence</t>
  </si>
  <si>
    <t>Agriculteurs</t>
  </si>
  <si>
    <t>Artisans, commerçants et chefs d'entreprise</t>
  </si>
  <si>
    <t>Cadres et prof. intellectuelles supérieures</t>
  </si>
  <si>
    <t>Professions Intermédiaires</t>
  </si>
  <si>
    <t>Employés</t>
  </si>
  <si>
    <t>Ouvriers</t>
  </si>
  <si>
    <t>Retraités</t>
  </si>
  <si>
    <t>Chômeurs</t>
  </si>
  <si>
    <t>Elèves, étudiants</t>
  </si>
  <si>
    <t>Autres inactifs</t>
  </si>
  <si>
    <t>Source : SOeS - Inrets - Insee, enquête nationale transport et déplacements 2008</t>
  </si>
  <si>
    <t>Total vehicule VP+VU</t>
  </si>
  <si>
    <t>VP 2006</t>
  </si>
  <si>
    <t>VP</t>
  </si>
  <si>
    <t>Km 
parcouru VP+VUL</t>
  </si>
  <si>
    <t>Km 
parcouru VP</t>
  </si>
  <si>
    <t>Efficients</t>
  </si>
  <si>
    <t>total</t>
  </si>
  <si>
    <t>proportion</t>
  </si>
  <si>
    <t>AUTO</t>
  </si>
  <si>
    <t>Arrondi</t>
  </si>
  <si>
    <t>nombre de 
km effective total</t>
  </si>
  <si>
    <t>proportion 
incompresible</t>
  </si>
  <si>
    <t>km incompresible</t>
  </si>
  <si>
    <t>Tableau 14-2 - Répartition des trajets selon leur motif (Suite)</t>
  </si>
  <si>
    <t>Champ: Ensemble des trajets des VP + VUL roulants</t>
  </si>
  <si>
    <t>Retour au domicile</t>
  </si>
  <si>
    <t>Travail</t>
  </si>
  <si>
    <t>Déplac. professionnel</t>
  </si>
  <si>
    <t>Achats démarches</t>
  </si>
  <si>
    <t>Loisirs ou autres</t>
  </si>
  <si>
    <t>Accomp. aller chercher</t>
  </si>
  <si>
    <t>déplac. privés</t>
  </si>
  <si>
    <t>Effectifs
en milliers</t>
  </si>
  <si>
    <t>Couple avec trois enfants ou +</t>
  </si>
  <si>
    <t>( Ensemble des Déplacements )</t>
  </si>
  <si>
    <t>Moyen de transport principal du déplacement</t>
  </si>
  <si>
    <t>Voiture</t>
  </si>
  <si>
    <t>Train</t>
  </si>
  <si>
    <t>Autocar</t>
  </si>
  <si>
    <t>Avion</t>
  </si>
  <si>
    <t>Autre mode</t>
  </si>
  <si>
    <t>Millions</t>
  </si>
  <si>
    <t>( déplacements effectués pour motif personnel )</t>
  </si>
  <si>
    <t>( déplacements effectués pour motif professionnel )</t>
  </si>
  <si>
    <t>Source : SOeS, Inrets, Insee, enquête nationale transports et déplacements 2008</t>
  </si>
  <si>
    <t>1.2.6.d - Répartition du kilométrage selon le décile de revenu par unité de consommation et le mode de transport principal(deplacement longue distance)</t>
  </si>
  <si>
    <t>Target</t>
  </si>
  <si>
    <t xml:space="preserve">target </t>
  </si>
  <si>
    <t>ecart type</t>
  </si>
  <si>
    <t>Sum</t>
  </si>
  <si>
    <t>Logemment TOTAL</t>
  </si>
  <si>
    <t>Logement LOCATAIRE</t>
  </si>
  <si>
    <t>Logement PROPRIETAIRE</t>
  </si>
  <si>
    <t>Locataire total</t>
  </si>
  <si>
    <t>Nb logements 
enquete logement</t>
  </si>
  <si>
    <t>revenus disponible
 en Md euros</t>
  </si>
  <si>
    <t>Surface moyenne de residence principale 2006 (estimation solver)</t>
  </si>
  <si>
    <t>surface en m2 (estimation avec surface moyenne)</t>
  </si>
  <si>
    <t>surface moyenne en m2
locataire</t>
  </si>
  <si>
    <t>Nb logement
 locataire</t>
  </si>
  <si>
    <t>surface totale
locataire</t>
  </si>
  <si>
    <t>surface moyenne en m2 
proprietaire</t>
  </si>
  <si>
    <t>nb logements 
proietaire</t>
  </si>
  <si>
    <t>surface totale
proprietaire</t>
  </si>
  <si>
    <t>quantile</t>
  </si>
  <si>
    <t>cible</t>
  </si>
  <si>
    <t>depense énergie annuel moyenne 
par menage 
selon UC ( en euro)</t>
  </si>
  <si>
    <t xml:space="preserve">revenu disponible 2006 </t>
  </si>
  <si>
    <t>Du revenu primaire au revenu disponible brut des ménages en 2011</t>
  </si>
  <si>
    <t>en % du revenu primaire</t>
  </si>
  <si>
    <t>2009 (r)</t>
  </si>
  <si>
    <t>2010 (r)</t>
  </si>
  <si>
    <t>Revenu primaire brut (en milliards d'euros)</t>
  </si>
  <si>
    <t>Revenu primaire brut</t>
  </si>
  <si>
    <t>Rémunération des salariés</t>
  </si>
  <si>
    <t>- Transferts nets de redistribution</t>
  </si>
  <si>
    <t>Prestations sociales reçues</t>
  </si>
  <si>
    <t>Cotisations sociales versées</t>
  </si>
  <si>
    <t>Impôts sur le revenu et le patrimoine</t>
  </si>
  <si>
    <t>Autres transferts courants</t>
  </si>
  <si>
    <t xml:space="preserve"> = Revenu disponible brut</t>
  </si>
  <si>
    <t>Revenu disponible brut (en milliards d'euros)</t>
  </si>
  <si>
    <t>r : données révisées.</t>
  </si>
  <si>
    <t>Champ : y compris entreprises individuelles.</t>
  </si>
  <si>
    <t>Source : Insee, comptes nationaux - base 2005.</t>
  </si>
  <si>
    <t>source doc INSEE</t>
  </si>
  <si>
    <t>revenu de l'activité</t>
  </si>
  <si>
    <t>dont remuneration de salariés</t>
  </si>
  <si>
    <t>2003 source INSEE</t>
  </si>
  <si>
    <t>difference</t>
  </si>
  <si>
    <t>revenu d'activité dontt:remuneration de  salariés</t>
  </si>
  <si>
    <t>revenu d'activité dont:EBE</t>
  </si>
  <si>
    <t>dont cotisation salarié</t>
  </si>
  <si>
    <t>dont cotisation non salarié</t>
  </si>
  <si>
    <t>dont cotisation salariés</t>
  </si>
  <si>
    <t>dont cotisation non salariés</t>
  </si>
  <si>
    <t>indice de convertion</t>
  </si>
  <si>
    <t>dont EBE</t>
  </si>
  <si>
    <t>dont salaire brut</t>
  </si>
  <si>
    <t>EXP</t>
  </si>
  <si>
    <t>source enquete
 logement en euro</t>
  </si>
  <si>
    <t>GPL</t>
  </si>
  <si>
    <t>Parc AUTO
 (Vehicule particulier)</t>
  </si>
  <si>
    <t>Km moyen parcouru
 (en km/vehicule)</t>
  </si>
  <si>
    <t>Nombre de
 km effective</t>
  </si>
  <si>
    <t>Nombre de 
km incompresible</t>
  </si>
  <si>
    <t>Sources : Insee-DGFiP-Cnaf-Cnav-CCMSA, enquête Revenus fiscaux et sociaux 2006</t>
  </si>
  <si>
    <t>Quantile</t>
  </si>
  <si>
    <t>Rev moyen disponible
enquete revenus fiscaux 2006</t>
  </si>
  <si>
    <t>revenu moyen disponible 
enquete logement 2006</t>
  </si>
  <si>
    <t>nombre de logement</t>
  </si>
  <si>
    <t>Colonne1</t>
  </si>
  <si>
    <t>Colonne2</t>
  </si>
  <si>
    <t>Colonne3</t>
  </si>
  <si>
    <t>Colonne4</t>
  </si>
  <si>
    <t>Colonne5</t>
  </si>
  <si>
    <t>target 
Logement</t>
  </si>
  <si>
    <t>Target 
Revenu moyen</t>
  </si>
  <si>
    <t>target
logement</t>
  </si>
  <si>
    <t>Target Revenu
moyen</t>
  </si>
  <si>
    <t>revenu moyen</t>
  </si>
  <si>
    <t>NOMBRE DE
 LOGEMENTS</t>
  </si>
  <si>
    <t>Total général</t>
  </si>
  <si>
    <t>SURFACE 
TOTAL</t>
  </si>
  <si>
    <t>depense énergie logement</t>
  </si>
  <si>
    <t>Parc 2006</t>
  </si>
  <si>
    <t>Classe</t>
  </si>
  <si>
    <t>tranches gCo2/Km</t>
  </si>
  <si>
    <t>Parc véhicules&lt;15ans</t>
  </si>
  <si>
    <t>sources: données Gaël</t>
  </si>
  <si>
    <t>target
Parc Auto</t>
  </si>
  <si>
    <t>target 
Auto</t>
  </si>
  <si>
    <t>Auto</t>
  </si>
  <si>
    <t>source 
ancienne version</t>
  </si>
  <si>
    <t>calcule 
 donnée Gaël</t>
  </si>
  <si>
    <t>Part du parc auto_sob
 (A,B,C)</t>
  </si>
  <si>
    <t>Part du parc 
auto_oth</t>
  </si>
  <si>
    <t>Revenu disponible Moyen 
par UC en euros</t>
  </si>
  <si>
    <t>Total en millard d'euros</t>
  </si>
  <si>
    <t>Base 100</t>
  </si>
  <si>
    <t>Revenu d'activité</t>
  </si>
  <si>
    <t>cotisations employeurs</t>
  </si>
  <si>
    <t>cotisations salariés et non salarié</t>
  </si>
  <si>
    <t>Revenu du patrimoine</t>
  </si>
  <si>
    <t>Revenu finaciers</t>
  </si>
  <si>
    <t xml:space="preserve">dont: </t>
  </si>
  <si>
    <t>Revenu Primaire</t>
  </si>
  <si>
    <t>Impôt</t>
  </si>
  <si>
    <t>Vieillesse</t>
  </si>
  <si>
    <t>Chômage</t>
  </si>
  <si>
    <t>Autres</t>
  </si>
  <si>
    <t>Autres transferts</t>
  </si>
  <si>
    <t>Reveneu primaire moyen 
par UC en euros</t>
  </si>
  <si>
    <t>Total en milliard d'euros</t>
  </si>
  <si>
    <t>W_S</t>
  </si>
  <si>
    <t>W_SE</t>
  </si>
  <si>
    <t>L_S</t>
  </si>
  <si>
    <t>L_SE</t>
  </si>
  <si>
    <t>SB_ROW</t>
  </si>
  <si>
    <t>CSS</t>
  </si>
  <si>
    <t>CSS_SE</t>
  </si>
  <si>
    <t>PRESOC_DOM_VAL</t>
  </si>
  <si>
    <t>TR_ROW_VAL</t>
  </si>
  <si>
    <t>INT_VAL</t>
  </si>
  <si>
    <t>DIV_HH_VAL</t>
  </si>
  <si>
    <t>IR</t>
  </si>
  <si>
    <t>AIC</t>
  </si>
  <si>
    <t>DISPINC_AI_VAL (avant impôt)</t>
  </si>
  <si>
    <t>DISPINC_VAL (après impôt)</t>
  </si>
  <si>
    <t xml:space="preserve">Cotisations salariés  </t>
  </si>
  <si>
    <t>Cotisations non salariés</t>
  </si>
  <si>
    <t>Correction Revenus diponible 2006</t>
  </si>
  <si>
    <t xml:space="preserve">Target </t>
  </si>
  <si>
    <t>Verif</t>
  </si>
  <si>
    <t>CSE</t>
  </si>
  <si>
    <t>(1) source: INSEE, comptes nationaux 2003, enquêtes SRCV 2004, Revenus fiscaux 2003, budget de famille 2006</t>
  </si>
  <si>
    <t>% du RDB</t>
  </si>
  <si>
    <t>Rev indep.</t>
  </si>
  <si>
    <t>SB versé par le RDM</t>
  </si>
  <si>
    <t>autres impôt</t>
  </si>
  <si>
    <t>Impôt sur le revenu</t>
  </si>
  <si>
    <r>
      <t>Base 100 en fonction du revenu disponible 2003</t>
    </r>
    <r>
      <rPr>
        <vertAlign val="superscript"/>
        <sz val="11"/>
        <color theme="1"/>
        <rFont val="Calibri"/>
        <family val="2"/>
        <scheme val="minor"/>
      </rPr>
      <t xml:space="preserve">1   
</t>
    </r>
    <r>
      <rPr>
        <sz val="11"/>
        <color theme="1"/>
        <rFont val="Calibri"/>
        <family val="2"/>
        <scheme val="minor"/>
      </rPr>
      <t>ménages ordinaire metropole</t>
    </r>
  </si>
  <si>
    <t>dont SB versé par le RDM</t>
  </si>
  <si>
    <t>Salaire brut et revenus 
independant</t>
  </si>
  <si>
    <t xml:space="preserve">dont SB  </t>
  </si>
  <si>
    <t>SB et SB versé par le RDM</t>
  </si>
  <si>
    <t>verif</t>
  </si>
  <si>
    <t>verif rev d'activité</t>
  </si>
  <si>
    <t>verif RDB</t>
  </si>
  <si>
    <t>verif RDB %</t>
  </si>
  <si>
    <t>% effectif independent</t>
  </si>
  <si>
    <t>% effectif de salarié</t>
  </si>
  <si>
    <t xml:space="preserve">VP + VU </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</si>
</sst>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43" formatCode="_-* #,##0.00\ _€_-;\-* #,##0.00\ _€_-;_-* &quot;-&quot;??\ _€_-;_-@_-"/>
    <numFmt numFmtId="164" formatCode="0.0%"/>
    <numFmt numFmtId="165" formatCode="#,##0.0"/>
    <numFmt numFmtId="166" formatCode="0.0"/>
    <numFmt numFmtId="167" formatCode="0.000"/>
    <numFmt numFmtId="168" formatCode="#\ ##0.0"/>
    <numFmt numFmtId="169" formatCode="#\ ##0"/>
    <numFmt numFmtId="170" formatCode="###\ ##0.0"/>
    <numFmt numFmtId="171" formatCode="####\ ##0.0"/>
    <numFmt numFmtId="172" formatCode="#.##0"/>
    <numFmt numFmtId="173" formatCode="#.##"/>
    <numFmt numFmtId="174" formatCode="0.0000"/>
    <numFmt numFmtId="175" formatCode="0.0000000"/>
    <numFmt numFmtId="176" formatCode="#,##0\ _€"/>
    <numFmt numFmtId="177" formatCode="_-* #,##0\ _€_-;\-* #,##0\ _€_-;_-* &quot;-&quot;??\ _€_-;_-@_-"/>
    <numFmt numFmtId="178" formatCode="_-* #,##0.000\ _€_-;\-* #,##0.000\ _€_-;_-* &quot;-&quot;??\ _€_-;_-@_-"/>
    <numFmt numFmtId="179" formatCode="_-* #,##0.0000\ _€_-;\-* #,##0.0000\ _€_-;_-* &quot;-&quot;??\ _€_-;_-@_-"/>
    <numFmt numFmtId="180" formatCode="0.00000000"/>
    <numFmt numFmtId="181" formatCode="0.00000"/>
    <numFmt numFmtId="182" formatCode="0.000000000"/>
    <numFmt numFmtId="183" formatCode="0.00000000000"/>
    <numFmt numFmtId="184" formatCode="0.000000000000000"/>
    <numFmt numFmtId="185" formatCode="0.000000000000000000"/>
  </numFmts>
  <fonts count="56" x14ac:knownFonts="1">
    <font>
      <sz val="11"/>
      <color theme="1"/>
      <name val="Calibri"/>
      <family val="2"/>
      <scheme val="minor"/>
    </font>
    <font>
      <sz val="11"/>
      <color theme="1"/>
      <name val="Calibri"/>
      <family val="2"/>
      <scheme val="minor"/>
    </font>
    <font>
      <i/>
      <sz val="10"/>
      <name val="Arial"/>
      <family val="2"/>
    </font>
    <font>
      <b/>
      <sz val="10"/>
      <name val="Arial"/>
      <family val="2"/>
    </font>
    <font>
      <sz val="10"/>
      <name val="Arial"/>
      <family val="2"/>
    </font>
    <font>
      <sz val="8"/>
      <name val="Arial"/>
      <family val="2"/>
    </font>
    <font>
      <sz val="8"/>
      <color indexed="8"/>
      <name val="Arial"/>
      <family val="2"/>
    </font>
    <font>
      <b/>
      <sz val="8"/>
      <color indexed="8"/>
      <name val="Arial"/>
      <family val="2"/>
    </font>
    <font>
      <sz val="10"/>
      <color indexed="18"/>
      <name val="Arial"/>
      <family val="2"/>
    </font>
    <font>
      <b/>
      <i/>
      <sz val="10"/>
      <color indexed="18"/>
      <name val="Arial"/>
      <family val="2"/>
    </font>
    <font>
      <b/>
      <sz val="8"/>
      <color indexed="56"/>
      <name val="Arial"/>
      <family val="2"/>
    </font>
    <font>
      <b/>
      <sz val="8"/>
      <name val="Arial"/>
      <family val="2"/>
    </font>
    <font>
      <sz val="9"/>
      <color indexed="81"/>
      <name val="Tahoma"/>
      <family val="2"/>
    </font>
    <font>
      <b/>
      <sz val="9"/>
      <color indexed="81"/>
      <name val="Tahoma"/>
      <family val="2"/>
    </font>
    <font>
      <sz val="11"/>
      <color rgb="FF9C6500"/>
      <name val="Calibri"/>
      <family val="2"/>
      <scheme val="minor"/>
    </font>
    <font>
      <b/>
      <sz val="11"/>
      <color theme="1"/>
      <name val="Calibri"/>
      <family val="2"/>
      <scheme val="minor"/>
    </font>
    <font>
      <b/>
      <sz val="11"/>
      <color rgb="FF9C6500"/>
      <name val="Calibri"/>
      <family val="2"/>
      <scheme val="minor"/>
    </font>
    <font>
      <b/>
      <sz val="11"/>
      <name val="Calibri"/>
      <family val="2"/>
      <scheme val="minor"/>
    </font>
    <font>
      <sz val="12"/>
      <name val="Times New Roman"/>
      <family val="1"/>
    </font>
    <font>
      <b/>
      <i/>
      <sz val="20"/>
      <color indexed="56"/>
      <name val="Times New Roman"/>
      <family val="1"/>
    </font>
    <font>
      <sz val="20"/>
      <name val="Times New Roman"/>
      <family val="1"/>
    </font>
    <font>
      <b/>
      <i/>
      <sz val="12"/>
      <color indexed="56"/>
      <name val="Times New Roman"/>
      <family val="1"/>
    </font>
    <font>
      <b/>
      <sz val="12"/>
      <color indexed="56"/>
      <name val="Times New Roman"/>
      <family val="1"/>
    </font>
    <font>
      <sz val="12"/>
      <color indexed="8"/>
      <name val="Times New Roman"/>
      <family val="1"/>
    </font>
    <font>
      <i/>
      <sz val="12"/>
      <name val="Times New Roman"/>
      <family val="1"/>
    </font>
    <font>
      <sz val="11"/>
      <color rgb="FFFF0000"/>
      <name val="Calibri"/>
      <family val="2"/>
      <scheme val="minor"/>
    </font>
    <font>
      <sz val="11"/>
      <name val="Calibri"/>
      <family val="2"/>
      <scheme val="minor"/>
    </font>
    <font>
      <b/>
      <sz val="10"/>
      <color rgb="FFFF0000"/>
      <name val="Arial"/>
      <family val="2"/>
    </font>
    <font>
      <sz val="10"/>
      <color rgb="FFFF0000"/>
      <name val="Arial"/>
      <family val="2"/>
    </font>
    <font>
      <b/>
      <sz val="11"/>
      <color rgb="FFFF0000"/>
      <name val="Calibri"/>
      <family val="2"/>
      <scheme val="minor"/>
    </font>
    <font>
      <sz val="11"/>
      <color rgb="FF00B050"/>
      <name val="Calibri"/>
      <family val="2"/>
      <scheme val="minor"/>
    </font>
    <font>
      <i/>
      <sz val="8"/>
      <name val="Arial"/>
      <family val="2"/>
    </font>
    <font>
      <b/>
      <sz val="10"/>
      <color indexed="10"/>
      <name val="Arial"/>
      <family val="2"/>
    </font>
    <font>
      <b/>
      <sz val="11"/>
      <color rgb="FF00B050"/>
      <name val="Calibri"/>
      <family val="2"/>
      <scheme val="minor"/>
    </font>
    <font>
      <i/>
      <sz val="10"/>
      <color rgb="FF00B050"/>
      <name val="Arial"/>
      <family val="2"/>
    </font>
    <font>
      <sz val="9"/>
      <name val="Arial"/>
      <family val="2"/>
    </font>
    <font>
      <sz val="9"/>
      <color indexed="8"/>
      <name val="Arial"/>
      <family val="2"/>
    </font>
    <font>
      <b/>
      <sz val="9"/>
      <name val="Arial"/>
      <family val="2"/>
    </font>
    <font>
      <sz val="22"/>
      <color rgb="FF000000"/>
      <name val="Calibri"/>
      <family val="2"/>
    </font>
    <font>
      <vertAlign val="superscript"/>
      <sz val="11"/>
      <color theme="1"/>
      <name val="Calibri"/>
      <family val="2"/>
      <scheme val="minor"/>
    </font>
    <font>
      <b/>
      <i/>
      <sz val="11"/>
      <color theme="1"/>
      <name val="Calibri"/>
      <family val="2"/>
      <scheme val="minor"/>
    </font>
    <font>
      <sz val="11"/>
      <color rgb="FF00B0F0"/>
      <name val="Calibri"/>
      <family val="2"/>
      <scheme val="minor"/>
    </font>
    <font>
      <sz val="11"/>
      <color rgb="FF0070C0"/>
      <name val="Calibri"/>
      <family val="2"/>
      <scheme val="minor"/>
    </font>
    <font>
      <b/>
      <sz val="11"/>
      <color rgb="FF00B0F0"/>
      <name val="Calibri"/>
      <family val="2"/>
      <scheme val="minor"/>
    </font>
    <font>
      <b/>
      <sz val="12"/>
      <color theme="1"/>
      <name val="Calibri"/>
      <family val="2"/>
      <scheme val="minor"/>
    </font>
    <font>
      <i/>
      <sz val="11"/>
      <color rgb="FF00B050"/>
      <name val="Calibri"/>
      <family val="2"/>
      <scheme val="minor"/>
    </font>
    <font>
      <i/>
      <sz val="11"/>
      <color theme="1"/>
      <name val="Calibri"/>
      <family val="2"/>
      <scheme val="minor"/>
    </font>
    <font>
      <i/>
      <sz val="11"/>
      <color rgb="FFFF0000"/>
      <name val="Calibri"/>
      <family val="2"/>
      <scheme val="minor"/>
    </font>
    <font>
      <b/>
      <i/>
      <sz val="11"/>
      <color rgb="FF00B050"/>
      <name val="Calibri"/>
      <family val="2"/>
      <scheme val="minor"/>
    </font>
    <font>
      <b/>
      <i/>
      <sz val="11"/>
      <color rgb="FFFF0000"/>
      <name val="Calibri"/>
      <family val="2"/>
      <scheme val="minor"/>
    </font>
    <font>
      <b/>
      <i/>
      <sz val="12"/>
      <color theme="1"/>
      <name val="Calibri"/>
      <family val="2"/>
      <scheme val="minor"/>
    </font>
    <font>
      <sz val="12"/>
      <color rgb="FF00B050"/>
      <name val="Calibri"/>
      <family val="2"/>
      <scheme val="minor"/>
    </font>
    <font>
      <sz val="12"/>
      <color theme="1"/>
      <name val="Calibri"/>
      <family val="2"/>
      <scheme val="minor"/>
    </font>
    <font>
      <b/>
      <sz val="12"/>
      <color rgb="FF00B050"/>
      <name val="Calibri"/>
      <family val="2"/>
      <scheme val="minor"/>
    </font>
    <font>
      <sz val="12"/>
      <color rgb="FFFF0000"/>
      <name val="Calibri"/>
      <family val="2"/>
      <scheme val="minor"/>
    </font>
    <font>
      <sz val="10"/>
      <color rgb="FF00B050"/>
      <name val="Arial"/>
      <family val="2"/>
    </font>
  </fonts>
  <fills count="21">
    <fill>
      <patternFill patternType="none"/>
    </fill>
    <fill>
      <patternFill patternType="gray125"/>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indexed="9"/>
        <bgColor indexed="64"/>
      </patternFill>
    </fill>
    <fill>
      <patternFill patternType="solid">
        <fgColor indexed="22"/>
        <bgColor indexed="64"/>
      </patternFill>
    </fill>
    <fill>
      <patternFill patternType="solid">
        <fgColor theme="3" tint="0.79998168889431442"/>
        <bgColor indexed="64"/>
      </patternFill>
    </fill>
    <fill>
      <patternFill patternType="solid">
        <fgColor rgb="FFFFEB9C"/>
      </patternFill>
    </fill>
    <fill>
      <patternFill patternType="solid">
        <fgColor rgb="FFFFFF00"/>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79998168889431442"/>
        <bgColor indexed="64"/>
      </patternFill>
    </fill>
    <fill>
      <patternFill patternType="solid">
        <fgColor rgb="FF92D050"/>
        <bgColor indexed="64"/>
      </patternFill>
    </fill>
    <fill>
      <patternFill patternType="solid">
        <fgColor theme="0" tint="-0.14999847407452621"/>
        <bgColor theme="4" tint="0.59999389629810485"/>
      </patternFill>
    </fill>
    <fill>
      <patternFill patternType="solid">
        <fgColor theme="0" tint="-0.14999847407452621"/>
        <bgColor theme="4" tint="0.39997558519241921"/>
      </patternFill>
    </fill>
    <fill>
      <patternFill patternType="solid">
        <fgColor theme="0"/>
        <bgColor theme="4" tint="0.59999389629810485"/>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14999847407452621"/>
        <bgColor theme="4" tint="-0.499984740745262"/>
      </patternFill>
    </fill>
    <fill>
      <patternFill patternType="solid">
        <fgColor theme="6" tint="0.59999389629810485"/>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right style="thin">
        <color indexed="8"/>
      </right>
      <top/>
      <bottom style="thin">
        <color indexed="8"/>
      </bottom>
      <diagonal/>
    </border>
    <border>
      <left/>
      <right/>
      <top/>
      <bottom style="thin">
        <color indexed="8"/>
      </bottom>
      <diagonal/>
    </border>
    <border>
      <left style="thin">
        <color indexed="8"/>
      </left>
      <right style="thin">
        <color indexed="8"/>
      </right>
      <top/>
      <bottom/>
      <diagonal/>
    </border>
    <border>
      <left/>
      <right style="thin">
        <color indexed="8"/>
      </right>
      <top/>
      <bottom/>
      <diagonal/>
    </border>
    <border>
      <left/>
      <right style="thin">
        <color indexed="64"/>
      </right>
      <top style="medium">
        <color indexed="64"/>
      </top>
      <bottom style="thin">
        <color indexed="64"/>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8"/>
      </right>
      <top style="medium">
        <color indexed="64"/>
      </top>
      <bottom/>
      <diagonal/>
    </border>
    <border>
      <left style="thin">
        <color indexed="8"/>
      </left>
      <right style="thin">
        <color indexed="8"/>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indexed="8"/>
      </bottom>
      <diagonal/>
    </border>
    <border>
      <left style="medium">
        <color indexed="8"/>
      </left>
      <right style="thin">
        <color indexed="8"/>
      </right>
      <top style="medium">
        <color indexed="8"/>
      </top>
      <bottom/>
      <diagonal/>
    </border>
    <border>
      <left style="thin">
        <color indexed="8"/>
      </left>
      <right/>
      <top style="medium">
        <color indexed="8"/>
      </top>
      <bottom style="thin">
        <color indexed="8"/>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bottom/>
      <diagonal/>
    </border>
    <border>
      <left style="thin">
        <color indexed="8"/>
      </left>
      <right style="medium">
        <color indexed="8"/>
      </right>
      <top style="thin">
        <color indexed="8"/>
      </top>
      <bottom/>
      <diagonal/>
    </border>
    <border>
      <left style="medium">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64"/>
      </left>
      <right/>
      <top style="medium">
        <color indexed="64"/>
      </top>
      <bottom style="thin">
        <color indexed="64"/>
      </bottom>
      <diagonal/>
    </border>
    <border>
      <left/>
      <right/>
      <top style="medium">
        <color indexed="64"/>
      </top>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diagonal/>
    </border>
    <border>
      <left style="thin">
        <color indexed="8"/>
      </left>
      <right style="medium">
        <color indexed="64"/>
      </right>
      <top style="thin">
        <color indexed="8"/>
      </top>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medium">
        <color indexed="64"/>
      </left>
      <right style="thin">
        <color indexed="8"/>
      </right>
      <top style="thin">
        <color indexed="8"/>
      </top>
      <bottom style="thin">
        <color indexed="8"/>
      </bottom>
      <diagonal/>
    </border>
    <border>
      <left/>
      <right style="medium">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medium">
        <color indexed="64"/>
      </left>
      <right style="thin">
        <color indexed="8"/>
      </right>
      <top style="thin">
        <color indexed="8"/>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8"/>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style="thin">
        <color indexed="8"/>
      </left>
      <right/>
      <top style="medium">
        <color indexed="8"/>
      </top>
      <bottom/>
      <diagonal/>
    </border>
    <border>
      <left/>
      <right style="medium">
        <color indexed="8"/>
      </right>
      <top style="medium">
        <color indexed="8"/>
      </top>
      <bottom/>
      <diagonal/>
    </border>
    <border>
      <left style="thin">
        <color indexed="8"/>
      </left>
      <right/>
      <top/>
      <bottom style="thin">
        <color indexed="8"/>
      </bottom>
      <diagonal/>
    </border>
    <border>
      <left/>
      <right style="medium">
        <color indexed="8"/>
      </right>
      <top/>
      <bottom style="thin">
        <color indexed="8"/>
      </bottom>
      <diagonal/>
    </border>
    <border>
      <left style="medium">
        <color indexed="8"/>
      </left>
      <right style="thin">
        <color indexed="8"/>
      </right>
      <top/>
      <bottom style="thin">
        <color indexed="8"/>
      </bottom>
      <diagonal/>
    </border>
    <border>
      <left/>
      <right/>
      <top style="thin">
        <color theme="4" tint="0.79998168889431442"/>
      </top>
      <bottom style="thin">
        <color theme="4" tint="0.79998168889431442"/>
      </bottom>
      <diagonal/>
    </border>
    <border>
      <left/>
      <right/>
      <top style="thin">
        <color theme="4" tint="0.79998168889431442"/>
      </top>
      <bottom/>
      <diagonal/>
    </border>
    <border>
      <left/>
      <right/>
      <top style="thin">
        <color indexed="64"/>
      </top>
      <bottom/>
      <diagonal/>
    </border>
    <border>
      <left/>
      <right/>
      <top/>
      <bottom style="thin">
        <color theme="4" tint="0.79998168889431442"/>
      </bottom>
      <diagonal/>
    </border>
  </borders>
  <cellStyleXfs count="5">
    <xf numFmtId="0" fontId="0" fillId="0" borderId="0"/>
    <xf numFmtId="9" fontId="1" fillId="0" borderId="0" applyFont="0" applyFill="0" applyBorder="0" applyAlignment="0" applyProtection="0"/>
    <xf numFmtId="0" fontId="4" fillId="0" borderId="0"/>
    <xf numFmtId="43" fontId="4" fillId="0" borderId="0" applyFont="0" applyFill="0" applyBorder="0" applyAlignment="0" applyProtection="0"/>
    <xf numFmtId="0" fontId="14" fillId="8" borderId="0" applyNumberFormat="0" applyBorder="0" applyAlignment="0" applyProtection="0"/>
  </cellStyleXfs>
  <cellXfs count="509">
    <xf numFmtId="0" fontId="0" fillId="0" borderId="0" xfId="0"/>
    <xf numFmtId="0" fontId="2" fillId="0" borderId="1" xfId="0" applyFont="1" applyFill="1" applyBorder="1"/>
    <xf numFmtId="0" fontId="3" fillId="0" borderId="4" xfId="0" applyFont="1" applyFill="1" applyBorder="1" applyAlignment="1">
      <alignment horizontal="left" vertical="center"/>
    </xf>
    <xf numFmtId="0" fontId="4" fillId="0" borderId="4" xfId="0" applyFont="1" applyFill="1" applyBorder="1"/>
    <xf numFmtId="3" fontId="3" fillId="0" borderId="1" xfId="0" applyNumberFormat="1" applyFont="1" applyFill="1" applyBorder="1" applyAlignment="1">
      <alignment horizontal="center"/>
    </xf>
    <xf numFmtId="1" fontId="4" fillId="0" borderId="4" xfId="1" applyNumberFormat="1" applyFont="1" applyFill="1" applyBorder="1" applyAlignment="1">
      <alignment horizontal="right"/>
    </xf>
    <xf numFmtId="1" fontId="2" fillId="0" borderId="4" xfId="1" applyNumberFormat="1" applyFont="1" applyFill="1" applyBorder="1" applyAlignment="1">
      <alignment horizontal="right"/>
    </xf>
    <xf numFmtId="1" fontId="4" fillId="0" borderId="3" xfId="1" applyNumberFormat="1" applyFont="1" applyFill="1" applyBorder="1" applyAlignment="1">
      <alignment horizontal="right"/>
    </xf>
    <xf numFmtId="0" fontId="3" fillId="0" borderId="1" xfId="0" applyFont="1" applyFill="1" applyBorder="1" applyAlignment="1">
      <alignment horizontal="center"/>
    </xf>
    <xf numFmtId="0" fontId="4" fillId="0" borderId="4" xfId="0" applyFont="1" applyFill="1" applyBorder="1" applyAlignment="1">
      <alignment wrapText="1"/>
    </xf>
    <xf numFmtId="0" fontId="2" fillId="0" borderId="4" xfId="0" applyFont="1" applyFill="1" applyBorder="1" applyAlignment="1">
      <alignment horizontal="left" wrapText="1"/>
    </xf>
    <xf numFmtId="0" fontId="4" fillId="0" borderId="3" xfId="0" applyFont="1" applyFill="1" applyBorder="1" applyAlignment="1">
      <alignment wrapText="1"/>
    </xf>
    <xf numFmtId="0" fontId="3" fillId="0" borderId="4" xfId="0" applyFont="1" applyFill="1" applyBorder="1" applyAlignment="1">
      <alignment horizontal="left" vertical="center" wrapText="1"/>
    </xf>
    <xf numFmtId="9" fontId="3" fillId="0" borderId="4" xfId="1" applyFont="1" applyFill="1" applyBorder="1" applyAlignment="1">
      <alignment horizontal="right"/>
    </xf>
    <xf numFmtId="164" fontId="3" fillId="0" borderId="4" xfId="1" applyNumberFormat="1" applyFont="1" applyFill="1" applyBorder="1" applyAlignment="1">
      <alignment horizontal="right"/>
    </xf>
    <xf numFmtId="0" fontId="4" fillId="0" borderId="0" xfId="0" applyFont="1" applyFill="1"/>
    <xf numFmtId="0" fontId="5" fillId="0" borderId="0" xfId="0" applyFont="1" applyFill="1"/>
    <xf numFmtId="0" fontId="2" fillId="0" borderId="0" xfId="0" applyFont="1" applyFill="1"/>
    <xf numFmtId="0" fontId="4" fillId="0" borderId="0" xfId="2"/>
    <xf numFmtId="0" fontId="4" fillId="0" borderId="0" xfId="2"/>
    <xf numFmtId="0" fontId="5" fillId="0" borderId="0" xfId="2" applyFont="1"/>
    <xf numFmtId="165" fontId="4" fillId="0" borderId="0" xfId="2" applyNumberFormat="1" applyAlignment="1">
      <alignment horizontal="right"/>
    </xf>
    <xf numFmtId="165" fontId="4" fillId="0" borderId="0" xfId="2" applyNumberFormat="1"/>
    <xf numFmtId="165" fontId="4" fillId="0" borderId="0" xfId="2" applyNumberFormat="1"/>
    <xf numFmtId="0" fontId="4" fillId="0" borderId="0" xfId="2"/>
    <xf numFmtId="165" fontId="4" fillId="0" borderId="0" xfId="2" applyNumberFormat="1"/>
    <xf numFmtId="0" fontId="3" fillId="0" borderId="0" xfId="2" applyFont="1"/>
    <xf numFmtId="165" fontId="4" fillId="0" borderId="0" xfId="2" applyNumberFormat="1" applyAlignment="1">
      <alignment horizontal="right"/>
    </xf>
    <xf numFmtId="0" fontId="4" fillId="2" borderId="0" xfId="2" applyFill="1"/>
    <xf numFmtId="0" fontId="0" fillId="2" borderId="0" xfId="0" applyFill="1"/>
    <xf numFmtId="0" fontId="3" fillId="2" borderId="0" xfId="2" applyFont="1" applyFill="1"/>
    <xf numFmtId="165" fontId="4" fillId="2" borderId="0" xfId="2" applyNumberFormat="1" applyFill="1" applyAlignment="1">
      <alignment horizontal="right"/>
    </xf>
    <xf numFmtId="0" fontId="4" fillId="3" borderId="0" xfId="2" applyFill="1"/>
    <xf numFmtId="0" fontId="0" fillId="3" borderId="0" xfId="0" applyFill="1"/>
    <xf numFmtId="0" fontId="3" fillId="3" borderId="0" xfId="2" applyFont="1" applyFill="1"/>
    <xf numFmtId="165" fontId="4" fillId="3" borderId="0" xfId="2" applyNumberFormat="1" applyFill="1" applyAlignment="1">
      <alignment horizontal="right"/>
    </xf>
    <xf numFmtId="1" fontId="7" fillId="0" borderId="0" xfId="2" applyNumberFormat="1" applyFont="1" applyFill="1" applyBorder="1" applyAlignment="1">
      <alignment horizontal="right" vertical="top" wrapText="1"/>
    </xf>
    <xf numFmtId="0" fontId="0" fillId="0" borderId="0" xfId="0" applyFill="1"/>
    <xf numFmtId="166" fontId="5" fillId="0" borderId="0" xfId="0" applyNumberFormat="1" applyFont="1" applyFill="1"/>
    <xf numFmtId="0" fontId="3" fillId="0" borderId="1" xfId="0" applyFont="1" applyBorder="1"/>
    <xf numFmtId="3" fontId="0" fillId="0" borderId="0" xfId="0" applyNumberFormat="1"/>
    <xf numFmtId="0" fontId="3" fillId="4" borderId="3" xfId="0" applyFont="1" applyFill="1" applyBorder="1" applyAlignment="1">
      <alignment horizontal="left" wrapText="1"/>
    </xf>
    <xf numFmtId="0" fontId="3" fillId="4" borderId="4" xfId="1" applyNumberFormat="1" applyFont="1" applyFill="1" applyBorder="1" applyAlignment="1">
      <alignment horizontal="right"/>
    </xf>
    <xf numFmtId="166" fontId="6" fillId="4" borderId="0" xfId="2" applyNumberFormat="1" applyFont="1" applyFill="1" applyBorder="1" applyAlignment="1">
      <alignment horizontal="right" vertical="center" wrapText="1"/>
    </xf>
    <xf numFmtId="166" fontId="0" fillId="4" borderId="0" xfId="0" applyNumberFormat="1" applyFill="1"/>
    <xf numFmtId="0" fontId="3" fillId="4" borderId="5" xfId="0" applyFont="1" applyFill="1" applyBorder="1" applyAlignment="1">
      <alignment horizontal="left" wrapText="1"/>
    </xf>
    <xf numFmtId="0" fontId="3" fillId="4" borderId="6" xfId="1" applyNumberFormat="1" applyFont="1" applyFill="1" applyBorder="1" applyAlignment="1">
      <alignment horizontal="right"/>
    </xf>
    <xf numFmtId="0" fontId="3" fillId="0" borderId="7" xfId="0" applyFont="1" applyFill="1" applyBorder="1" applyAlignment="1">
      <alignment horizontal="left" wrapText="1"/>
    </xf>
    <xf numFmtId="3" fontId="3" fillId="0" borderId="7" xfId="0" applyNumberFormat="1" applyFont="1" applyFill="1" applyBorder="1" applyAlignment="1">
      <alignment horizontal="right" vertical="center"/>
    </xf>
    <xf numFmtId="0" fontId="3" fillId="4" borderId="8" xfId="0" applyFont="1" applyFill="1" applyBorder="1" applyAlignment="1">
      <alignment horizontal="left" wrapText="1"/>
    </xf>
    <xf numFmtId="0" fontId="3" fillId="4" borderId="9" xfId="0" applyFont="1" applyFill="1" applyBorder="1" applyAlignment="1">
      <alignment horizontal="left" wrapText="1"/>
    </xf>
    <xf numFmtId="0" fontId="3" fillId="4" borderId="10" xfId="0" applyFont="1" applyFill="1" applyBorder="1" applyAlignment="1">
      <alignment horizontal="left" wrapText="1"/>
    </xf>
    <xf numFmtId="0" fontId="3" fillId="4" borderId="11" xfId="1" applyNumberFormat="1" applyFont="1" applyFill="1" applyBorder="1" applyAlignment="1">
      <alignment horizontal="right"/>
    </xf>
    <xf numFmtId="0" fontId="3" fillId="4" borderId="12" xfId="1" applyNumberFormat="1" applyFont="1" applyFill="1" applyBorder="1" applyAlignment="1">
      <alignment horizontal="right"/>
    </xf>
    <xf numFmtId="0" fontId="3" fillId="4" borderId="13" xfId="1" applyNumberFormat="1" applyFont="1" applyFill="1" applyBorder="1" applyAlignment="1">
      <alignment horizontal="right"/>
    </xf>
    <xf numFmtId="0" fontId="3" fillId="4" borderId="14" xfId="1" applyNumberFormat="1" applyFont="1" applyFill="1" applyBorder="1" applyAlignment="1">
      <alignment horizontal="right"/>
    </xf>
    <xf numFmtId="0" fontId="3" fillId="4" borderId="15" xfId="1" applyNumberFormat="1" applyFont="1" applyFill="1" applyBorder="1" applyAlignment="1">
      <alignment horizontal="right"/>
    </xf>
    <xf numFmtId="0" fontId="3" fillId="4" borderId="16" xfId="0" applyFont="1" applyFill="1" applyBorder="1" applyAlignment="1">
      <alignment horizontal="left" wrapText="1"/>
    </xf>
    <xf numFmtId="0" fontId="3" fillId="4" borderId="0" xfId="1" applyNumberFormat="1" applyFont="1" applyFill="1" applyBorder="1" applyAlignment="1">
      <alignment horizontal="right"/>
    </xf>
    <xf numFmtId="3" fontId="3" fillId="0" borderId="4" xfId="0" applyNumberFormat="1" applyFont="1" applyFill="1" applyBorder="1" applyAlignment="1">
      <alignment horizontal="center"/>
    </xf>
    <xf numFmtId="0" fontId="3" fillId="0" borderId="4" xfId="0" applyFont="1" applyFill="1" applyBorder="1" applyAlignment="1">
      <alignment horizontal="center"/>
    </xf>
    <xf numFmtId="0" fontId="3" fillId="0" borderId="17" xfId="0" applyFont="1" applyFill="1" applyBorder="1" applyAlignment="1">
      <alignment horizontal="left" vertical="center" wrapText="1"/>
    </xf>
    <xf numFmtId="165" fontId="3" fillId="0" borderId="17" xfId="0" applyNumberFormat="1" applyFont="1" applyFill="1" applyBorder="1" applyAlignment="1">
      <alignment horizontal="right"/>
    </xf>
    <xf numFmtId="0" fontId="3" fillId="4" borderId="18" xfId="0" applyFont="1" applyFill="1" applyBorder="1" applyAlignment="1">
      <alignment horizontal="left" wrapText="1"/>
    </xf>
    <xf numFmtId="0" fontId="3" fillId="4" borderId="19" xfId="0" applyFont="1" applyFill="1" applyBorder="1" applyAlignment="1">
      <alignment horizontal="left" wrapText="1"/>
    </xf>
    <xf numFmtId="0" fontId="3" fillId="4" borderId="20" xfId="1" applyNumberFormat="1" applyFont="1" applyFill="1" applyBorder="1" applyAlignment="1">
      <alignment horizontal="right"/>
    </xf>
    <xf numFmtId="0" fontId="3" fillId="4" borderId="21" xfId="1" applyNumberFormat="1" applyFont="1" applyFill="1" applyBorder="1" applyAlignment="1">
      <alignment horizontal="right"/>
    </xf>
    <xf numFmtId="0" fontId="3" fillId="0" borderId="0" xfId="0" applyFont="1"/>
    <xf numFmtId="0" fontId="3" fillId="0" borderId="22" xfId="0" applyFont="1" applyBorder="1"/>
    <xf numFmtId="0" fontId="3" fillId="0" borderId="23" xfId="0" applyFont="1" applyBorder="1"/>
    <xf numFmtId="0" fontId="0" fillId="0" borderId="2" xfId="0" applyBorder="1"/>
    <xf numFmtId="3" fontId="0" fillId="0" borderId="2" xfId="0" applyNumberFormat="1" applyBorder="1"/>
    <xf numFmtId="0" fontId="0" fillId="0" borderId="4" xfId="0" applyBorder="1"/>
    <xf numFmtId="3" fontId="0" fillId="0" borderId="4" xfId="0" applyNumberFormat="1" applyBorder="1"/>
    <xf numFmtId="0" fontId="0" fillId="0" borderId="3" xfId="0" applyBorder="1"/>
    <xf numFmtId="3" fontId="0" fillId="0" borderId="3" xfId="0" applyNumberFormat="1" applyBorder="1"/>
    <xf numFmtId="0" fontId="0" fillId="0" borderId="0" xfId="0" quotePrefix="1"/>
    <xf numFmtId="0" fontId="8" fillId="5" borderId="0" xfId="0" applyFont="1" applyFill="1"/>
    <xf numFmtId="0" fontId="4" fillId="5" borderId="0" xfId="0" applyFont="1" applyFill="1"/>
    <xf numFmtId="0" fontId="9" fillId="5" borderId="0" xfId="0" applyFont="1" applyFill="1" applyAlignment="1">
      <alignment horizontal="left"/>
    </xf>
    <xf numFmtId="0" fontId="10" fillId="0" borderId="25" xfId="0" applyFont="1" applyFill="1" applyBorder="1" applyAlignment="1">
      <alignment horizontal="center" wrapText="1"/>
    </xf>
    <xf numFmtId="0" fontId="10" fillId="0" borderId="30" xfId="0" applyFont="1" applyFill="1" applyBorder="1" applyAlignment="1">
      <alignment horizontal="center" wrapText="1"/>
    </xf>
    <xf numFmtId="0" fontId="10" fillId="0" borderId="30" xfId="0" applyFont="1" applyFill="1" applyBorder="1" applyAlignment="1">
      <alignment horizontal="center" vertical="center" wrapText="1"/>
    </xf>
    <xf numFmtId="0" fontId="10" fillId="0" borderId="31" xfId="0" applyFont="1" applyFill="1" applyBorder="1" applyAlignment="1">
      <alignment horizontal="center" vertical="center" wrapText="1"/>
    </xf>
    <xf numFmtId="49" fontId="6" fillId="6" borderId="32" xfId="0" applyNumberFormat="1" applyFont="1" applyFill="1" applyBorder="1" applyAlignment="1">
      <alignment horizontal="center" vertical="top" wrapText="1"/>
    </xf>
    <xf numFmtId="0" fontId="11" fillId="6" borderId="0" xfId="0" applyFont="1" applyFill="1" applyAlignment="1">
      <alignment horizontal="left" vertical="top" wrapText="1"/>
    </xf>
    <xf numFmtId="1" fontId="7" fillId="6" borderId="32" xfId="0" applyNumberFormat="1" applyFont="1" applyFill="1" applyBorder="1" applyAlignment="1">
      <alignment horizontal="right" vertical="top" wrapText="1"/>
    </xf>
    <xf numFmtId="1" fontId="7" fillId="6" borderId="33" xfId="0" applyNumberFormat="1" applyFont="1" applyFill="1" applyBorder="1" applyAlignment="1">
      <alignment horizontal="right" vertical="top" wrapText="1"/>
    </xf>
    <xf numFmtId="49" fontId="6" fillId="0" borderId="32" xfId="0" applyNumberFormat="1" applyFont="1" applyFill="1" applyBorder="1" applyAlignment="1">
      <alignment horizontal="center" vertical="top" wrapText="1"/>
    </xf>
    <xf numFmtId="0" fontId="5" fillId="5" borderId="0" xfId="0" applyFont="1" applyFill="1" applyAlignment="1">
      <alignment horizontal="left" vertical="top" wrapText="1"/>
    </xf>
    <xf numFmtId="1" fontId="6" fillId="0" borderId="32" xfId="0" applyNumberFormat="1" applyFont="1" applyFill="1" applyBorder="1" applyAlignment="1">
      <alignment horizontal="right" vertical="top" wrapText="1"/>
    </xf>
    <xf numFmtId="1" fontId="6" fillId="0" borderId="33" xfId="0" applyNumberFormat="1" applyFont="1" applyFill="1" applyBorder="1" applyAlignment="1">
      <alignment horizontal="right" vertical="top" wrapText="1"/>
    </xf>
    <xf numFmtId="49" fontId="7" fillId="0" borderId="32" xfId="0" applyNumberFormat="1" applyFont="1" applyFill="1" applyBorder="1" applyAlignment="1">
      <alignment horizontal="right" vertical="top" wrapText="1"/>
    </xf>
    <xf numFmtId="0" fontId="11" fillId="5" borderId="0" xfId="0" applyFont="1" applyFill="1" applyAlignment="1">
      <alignment horizontal="left" vertical="top" wrapText="1"/>
    </xf>
    <xf numFmtId="1" fontId="7" fillId="0" borderId="32" xfId="0" applyNumberFormat="1" applyFont="1" applyFill="1" applyBorder="1" applyAlignment="1">
      <alignment horizontal="right" vertical="top" wrapText="1"/>
    </xf>
    <xf numFmtId="1" fontId="7" fillId="0" borderId="33" xfId="0" applyNumberFormat="1" applyFont="1" applyFill="1" applyBorder="1" applyAlignment="1">
      <alignment horizontal="right" vertical="top" wrapText="1"/>
    </xf>
    <xf numFmtId="49" fontId="7" fillId="6" borderId="32" xfId="0" applyNumberFormat="1" applyFont="1" applyFill="1" applyBorder="1" applyAlignment="1">
      <alignment horizontal="center" vertical="top" wrapText="1"/>
    </xf>
    <xf numFmtId="49" fontId="11" fillId="6" borderId="32" xfId="0" applyNumberFormat="1" applyFont="1" applyFill="1" applyBorder="1" applyAlignment="1">
      <alignment horizontal="right" vertical="top" wrapText="1"/>
    </xf>
    <xf numFmtId="49" fontId="7" fillId="0" borderId="29" xfId="0" applyNumberFormat="1" applyFont="1" applyFill="1" applyBorder="1" applyAlignment="1">
      <alignment horizontal="right" vertical="top" wrapText="1"/>
    </xf>
    <xf numFmtId="0" fontId="11" fillId="5" borderId="31" xfId="0" applyFont="1" applyFill="1" applyBorder="1" applyAlignment="1">
      <alignment horizontal="left" vertical="top" wrapText="1"/>
    </xf>
    <xf numFmtId="1" fontId="7" fillId="0" borderId="29" xfId="0" applyNumberFormat="1" applyFont="1" applyFill="1" applyBorder="1" applyAlignment="1">
      <alignment horizontal="right" vertical="top" wrapText="1"/>
    </xf>
    <xf numFmtId="1" fontId="7" fillId="0" borderId="30" xfId="0" applyNumberFormat="1" applyFont="1" applyFill="1" applyBorder="1" applyAlignment="1">
      <alignment horizontal="right" vertical="top" wrapText="1"/>
    </xf>
    <xf numFmtId="0" fontId="5" fillId="5" borderId="0" xfId="0" applyFont="1" applyFill="1"/>
    <xf numFmtId="1" fontId="0" fillId="0" borderId="0" xfId="0" applyNumberFormat="1" applyFill="1"/>
    <xf numFmtId="0" fontId="3" fillId="4" borderId="34" xfId="0" applyFont="1" applyFill="1" applyBorder="1" applyAlignment="1">
      <alignment horizontal="left" wrapText="1"/>
    </xf>
    <xf numFmtId="0" fontId="3" fillId="4" borderId="35" xfId="1" applyNumberFormat="1" applyFont="1" applyFill="1" applyBorder="1" applyAlignment="1">
      <alignment horizontal="right"/>
    </xf>
    <xf numFmtId="3" fontId="3" fillId="4" borderId="0" xfId="1" applyNumberFormat="1" applyFont="1" applyFill="1" applyBorder="1" applyAlignment="1">
      <alignment horizontal="right"/>
    </xf>
    <xf numFmtId="3" fontId="0" fillId="0" borderId="0" xfId="0" applyNumberFormat="1" applyFill="1"/>
    <xf numFmtId="0" fontId="3" fillId="7" borderId="34" xfId="0" applyFont="1" applyFill="1" applyBorder="1" applyAlignment="1">
      <alignment horizontal="left" wrapText="1"/>
    </xf>
    <xf numFmtId="0" fontId="3" fillId="7" borderId="35" xfId="1" applyNumberFormat="1" applyFont="1" applyFill="1" applyBorder="1" applyAlignment="1">
      <alignment horizontal="right"/>
    </xf>
    <xf numFmtId="9" fontId="0" fillId="0" borderId="0" xfId="0" applyNumberFormat="1"/>
    <xf numFmtId="0" fontId="15" fillId="0" borderId="0" xfId="0" applyFont="1"/>
    <xf numFmtId="0" fontId="0" fillId="9" borderId="0" xfId="0" applyFill="1"/>
    <xf numFmtId="2" fontId="3" fillId="4" borderId="35" xfId="1" applyNumberFormat="1" applyFont="1" applyFill="1" applyBorder="1" applyAlignment="1">
      <alignment horizontal="right"/>
    </xf>
    <xf numFmtId="0" fontId="3" fillId="10" borderId="34" xfId="0" applyFont="1" applyFill="1" applyBorder="1" applyAlignment="1">
      <alignment horizontal="left" wrapText="1"/>
    </xf>
    <xf numFmtId="0" fontId="3" fillId="10" borderId="35" xfId="1" applyNumberFormat="1" applyFont="1" applyFill="1" applyBorder="1" applyAlignment="1">
      <alignment horizontal="right"/>
    </xf>
    <xf numFmtId="167" fontId="3" fillId="10" borderId="35" xfId="1" applyNumberFormat="1" applyFont="1" applyFill="1" applyBorder="1" applyAlignment="1">
      <alignment horizontal="right"/>
    </xf>
    <xf numFmtId="0" fontId="3" fillId="10" borderId="0" xfId="1" applyNumberFormat="1" applyFont="1" applyFill="1" applyBorder="1" applyAlignment="1">
      <alignment horizontal="right"/>
    </xf>
    <xf numFmtId="2" fontId="3" fillId="10" borderId="35" xfId="1" applyNumberFormat="1" applyFont="1" applyFill="1" applyBorder="1" applyAlignment="1">
      <alignment horizontal="right"/>
    </xf>
    <xf numFmtId="3" fontId="3" fillId="7" borderId="35" xfId="1" applyNumberFormat="1" applyFont="1" applyFill="1" applyBorder="1" applyAlignment="1">
      <alignment horizontal="right"/>
    </xf>
    <xf numFmtId="0" fontId="0" fillId="0" borderId="0" xfId="0"/>
    <xf numFmtId="166" fontId="0" fillId="0" borderId="0" xfId="0" applyNumberFormat="1"/>
    <xf numFmtId="0" fontId="3" fillId="4" borderId="16" xfId="0" applyFont="1" applyFill="1" applyBorder="1" applyAlignment="1">
      <alignment horizontal="left" wrapText="1"/>
    </xf>
    <xf numFmtId="0" fontId="3" fillId="4" borderId="0" xfId="1" applyNumberFormat="1" applyFont="1" applyFill="1" applyBorder="1" applyAlignment="1">
      <alignment horizontal="right"/>
    </xf>
    <xf numFmtId="3" fontId="3" fillId="0" borderId="4" xfId="0" applyNumberFormat="1" applyFont="1" applyFill="1" applyBorder="1" applyAlignment="1">
      <alignment horizontal="center"/>
    </xf>
    <xf numFmtId="0" fontId="3" fillId="4" borderId="19" xfId="0" applyFont="1" applyFill="1" applyBorder="1" applyAlignment="1">
      <alignment horizontal="left" wrapText="1"/>
    </xf>
    <xf numFmtId="0" fontId="3" fillId="4" borderId="21" xfId="1" applyNumberFormat="1" applyFont="1" applyFill="1" applyBorder="1" applyAlignment="1">
      <alignment horizontal="right"/>
    </xf>
    <xf numFmtId="0" fontId="3" fillId="7" borderId="34" xfId="0" applyFont="1" applyFill="1" applyBorder="1" applyAlignment="1">
      <alignment horizontal="left" wrapText="1"/>
    </xf>
    <xf numFmtId="0" fontId="3" fillId="7" borderId="35" xfId="1" applyNumberFormat="1" applyFont="1" applyFill="1" applyBorder="1" applyAlignment="1">
      <alignment horizontal="right"/>
    </xf>
    <xf numFmtId="0" fontId="15" fillId="0" borderId="0" xfId="0" applyFont="1"/>
    <xf numFmtId="0" fontId="3" fillId="10" borderId="35" xfId="1" applyNumberFormat="1" applyFont="1" applyFill="1" applyBorder="1" applyAlignment="1">
      <alignment horizontal="right"/>
    </xf>
    <xf numFmtId="0" fontId="0" fillId="0" borderId="0" xfId="0" applyFill="1" applyAlignment="1">
      <alignment horizontal="center" vertical="center"/>
    </xf>
    <xf numFmtId="0" fontId="0" fillId="0" borderId="0" xfId="0" applyBorder="1"/>
    <xf numFmtId="0" fontId="14" fillId="8" borderId="0" xfId="4" applyBorder="1" applyAlignment="1">
      <alignment horizontal="center" vertical="center"/>
    </xf>
    <xf numFmtId="0" fontId="0" fillId="0" borderId="1" xfId="0" applyBorder="1"/>
    <xf numFmtId="0" fontId="3" fillId="11" borderId="1" xfId="0" applyFont="1" applyFill="1" applyBorder="1" applyAlignment="1">
      <alignment horizontal="left" wrapText="1"/>
    </xf>
    <xf numFmtId="0" fontId="14" fillId="8" borderId="0" xfId="4" applyBorder="1" applyAlignment="1">
      <alignment vertical="center"/>
    </xf>
    <xf numFmtId="0" fontId="3" fillId="0" borderId="3" xfId="0" applyFont="1" applyFill="1" applyBorder="1" applyAlignment="1">
      <alignment horizontal="center"/>
    </xf>
    <xf numFmtId="0" fontId="3" fillId="0" borderId="1" xfId="2" applyFont="1" applyBorder="1"/>
    <xf numFmtId="0" fontId="3" fillId="4" borderId="1" xfId="0" applyFont="1" applyFill="1" applyBorder="1" applyAlignment="1">
      <alignment horizontal="left" wrapText="1"/>
    </xf>
    <xf numFmtId="0" fontId="3" fillId="0" borderId="1" xfId="0" applyFont="1" applyFill="1" applyBorder="1" applyAlignment="1">
      <alignment horizontal="left" wrapText="1"/>
    </xf>
    <xf numFmtId="0" fontId="3" fillId="0" borderId="1" xfId="0" applyFont="1" applyFill="1" applyBorder="1" applyAlignment="1">
      <alignment horizontal="left" vertical="center"/>
    </xf>
    <xf numFmtId="0" fontId="3" fillId="0" borderId="1" xfId="2" applyFont="1" applyBorder="1" applyAlignment="1">
      <alignment horizontal="center" vertical="center" wrapText="1"/>
    </xf>
    <xf numFmtId="166" fontId="6" fillId="0" borderId="1" xfId="2" applyNumberFormat="1" applyFont="1" applyFill="1" applyBorder="1" applyAlignment="1">
      <alignment horizontal="right" vertical="center" wrapText="1"/>
    </xf>
    <xf numFmtId="0" fontId="3" fillId="0" borderId="1" xfId="2" applyFont="1" applyBorder="1" applyAlignment="1">
      <alignment horizontal="center" vertical="center"/>
    </xf>
    <xf numFmtId="0" fontId="4" fillId="0" borderId="1" xfId="2" applyBorder="1"/>
    <xf numFmtId="0" fontId="5" fillId="0" borderId="1" xfId="0" applyFont="1" applyFill="1" applyBorder="1"/>
    <xf numFmtId="1" fontId="0" fillId="0" borderId="1" xfId="0" applyNumberFormat="1" applyFill="1" applyBorder="1"/>
    <xf numFmtId="166" fontId="5" fillId="0" borderId="1" xfId="0" applyNumberFormat="1" applyFont="1" applyFill="1" applyBorder="1"/>
    <xf numFmtId="166" fontId="0" fillId="0" borderId="1" xfId="0" applyNumberFormat="1" applyBorder="1"/>
    <xf numFmtId="166" fontId="0" fillId="0" borderId="1" xfId="1" applyNumberFormat="1" applyFont="1" applyBorder="1"/>
    <xf numFmtId="0" fontId="16" fillId="8" borderId="0" xfId="4" applyFont="1" applyBorder="1" applyAlignment="1">
      <alignment horizontal="center" vertical="center"/>
    </xf>
    <xf numFmtId="0" fontId="15" fillId="0" borderId="1" xfId="0" applyFont="1" applyBorder="1"/>
    <xf numFmtId="0" fontId="2" fillId="0" borderId="3" xfId="0" applyFont="1" applyFill="1" applyBorder="1" applyAlignment="1">
      <alignment wrapText="1"/>
    </xf>
    <xf numFmtId="0" fontId="3" fillId="12" borderId="34" xfId="0" applyFont="1" applyFill="1" applyBorder="1" applyAlignment="1">
      <alignment horizontal="left" wrapText="1"/>
    </xf>
    <xf numFmtId="0" fontId="3" fillId="12" borderId="35" xfId="1" applyNumberFormat="1" applyFont="1" applyFill="1" applyBorder="1" applyAlignment="1">
      <alignment horizontal="right"/>
    </xf>
    <xf numFmtId="3" fontId="3" fillId="12" borderId="35" xfId="1" applyNumberFormat="1" applyFont="1" applyFill="1" applyBorder="1" applyAlignment="1">
      <alignment horizontal="right"/>
    </xf>
    <xf numFmtId="2" fontId="3" fillId="12" borderId="35" xfId="1" applyNumberFormat="1" applyFont="1" applyFill="1" applyBorder="1" applyAlignment="1">
      <alignment horizontal="right"/>
    </xf>
    <xf numFmtId="0" fontId="3" fillId="12" borderId="8" xfId="0" applyFont="1" applyFill="1" applyBorder="1" applyAlignment="1">
      <alignment horizontal="left" wrapText="1"/>
    </xf>
    <xf numFmtId="0" fontId="3" fillId="12" borderId="9" xfId="0" applyFont="1" applyFill="1" applyBorder="1" applyAlignment="1">
      <alignment horizontal="left" wrapText="1"/>
    </xf>
    <xf numFmtId="2" fontId="15" fillId="12" borderId="0" xfId="0" applyNumberFormat="1" applyFont="1" applyFill="1"/>
    <xf numFmtId="0" fontId="3" fillId="11" borderId="0" xfId="1" applyNumberFormat="1" applyFont="1" applyFill="1" applyBorder="1" applyAlignment="1">
      <alignment horizontal="right"/>
    </xf>
    <xf numFmtId="0" fontId="0" fillId="11" borderId="0" xfId="0" applyFill="1"/>
    <xf numFmtId="0" fontId="0" fillId="0" borderId="0" xfId="0"/>
    <xf numFmtId="0" fontId="3" fillId="11" borderId="4" xfId="0" applyFont="1" applyFill="1" applyBorder="1" applyAlignment="1">
      <alignment horizontal="left" wrapText="1"/>
    </xf>
    <xf numFmtId="2" fontId="3" fillId="7" borderId="35" xfId="1" applyNumberFormat="1" applyFont="1" applyFill="1" applyBorder="1" applyAlignment="1">
      <alignment horizontal="right"/>
    </xf>
    <xf numFmtId="0" fontId="3" fillId="11" borderId="0" xfId="0" applyFont="1" applyFill="1" applyBorder="1" applyAlignment="1">
      <alignment horizontal="left" wrapText="1"/>
    </xf>
    <xf numFmtId="3" fontId="15" fillId="0" borderId="1" xfId="0" applyNumberFormat="1" applyFont="1" applyBorder="1"/>
    <xf numFmtId="2" fontId="0" fillId="0" borderId="0" xfId="0" applyNumberFormat="1" applyBorder="1"/>
    <xf numFmtId="0" fontId="15" fillId="0" borderId="0" xfId="0" applyFont="1" applyBorder="1"/>
    <xf numFmtId="0" fontId="14" fillId="0" borderId="0" xfId="4" applyFill="1" applyBorder="1" applyAlignment="1">
      <alignment horizontal="center" vertical="center"/>
    </xf>
    <xf numFmtId="1" fontId="0" fillId="0" borderId="0" xfId="0" applyNumberFormat="1"/>
    <xf numFmtId="0" fontId="14" fillId="8" borderId="0" xfId="4" applyBorder="1" applyAlignment="1">
      <alignment horizontal="center" vertical="center" wrapText="1"/>
    </xf>
    <xf numFmtId="0" fontId="0" fillId="0" borderId="0" xfId="0" applyFill="1" applyBorder="1"/>
    <xf numFmtId="0" fontId="0" fillId="0" borderId="0" xfId="0" applyFont="1" applyBorder="1"/>
    <xf numFmtId="0" fontId="5" fillId="9" borderId="0" xfId="0" applyFont="1" applyFill="1" applyAlignment="1">
      <alignment horizontal="left" vertical="top" wrapText="1"/>
    </xf>
    <xf numFmtId="1" fontId="6" fillId="9" borderId="32" xfId="0" applyNumberFormat="1" applyFont="1" applyFill="1" applyBorder="1" applyAlignment="1">
      <alignment horizontal="right" vertical="top" wrapText="1"/>
    </xf>
    <xf numFmtId="1" fontId="6" fillId="9" borderId="33" xfId="0" applyNumberFormat="1" applyFont="1" applyFill="1" applyBorder="1" applyAlignment="1">
      <alignment horizontal="right" vertical="top" wrapText="1"/>
    </xf>
    <xf numFmtId="1" fontId="4" fillId="5" borderId="0" xfId="0" applyNumberFormat="1" applyFont="1" applyFill="1"/>
    <xf numFmtId="1" fontId="4" fillId="5" borderId="22" xfId="0" applyNumberFormat="1" applyFont="1" applyFill="1" applyBorder="1"/>
    <xf numFmtId="1" fontId="4" fillId="5" borderId="36" xfId="0" applyNumberFormat="1" applyFont="1" applyFill="1" applyBorder="1"/>
    <xf numFmtId="1" fontId="4" fillId="5" borderId="23" xfId="0" applyNumberFormat="1" applyFont="1" applyFill="1" applyBorder="1"/>
    <xf numFmtId="0" fontId="0" fillId="13" borderId="0" xfId="0" applyFill="1" applyBorder="1"/>
    <xf numFmtId="0" fontId="17" fillId="13" borderId="0" xfId="4" applyFont="1" applyFill="1" applyBorder="1" applyAlignment="1">
      <alignment horizontal="center" vertical="center"/>
    </xf>
    <xf numFmtId="168" fontId="18" fillId="5" borderId="0" xfId="0" applyNumberFormat="1" applyFont="1" applyFill="1" applyAlignment="1">
      <alignment horizontal="center"/>
    </xf>
    <xf numFmtId="0" fontId="18" fillId="5" borderId="0" xfId="0" applyFont="1" applyFill="1" applyAlignment="1">
      <alignment horizontal="center"/>
    </xf>
    <xf numFmtId="168" fontId="22" fillId="5" borderId="37" xfId="0" applyNumberFormat="1" applyFont="1" applyFill="1" applyBorder="1" applyAlignment="1">
      <alignment horizontal="center" vertical="center" wrapText="1"/>
    </xf>
    <xf numFmtId="0" fontId="22" fillId="5" borderId="38" xfId="0" applyFont="1" applyFill="1" applyBorder="1" applyAlignment="1">
      <alignment horizontal="center" vertical="center" wrapText="1"/>
    </xf>
    <xf numFmtId="0" fontId="22" fillId="5" borderId="39" xfId="0" applyFont="1" applyFill="1" applyBorder="1" applyAlignment="1">
      <alignment horizontal="center" vertical="center" wrapText="1"/>
    </xf>
    <xf numFmtId="0" fontId="22" fillId="5" borderId="40" xfId="0" applyFont="1" applyFill="1" applyBorder="1" applyAlignment="1">
      <alignment horizontal="left" vertical="center" wrapText="1"/>
    </xf>
    <xf numFmtId="168" fontId="23" fillId="5" borderId="1" xfId="0" applyNumberFormat="1" applyFont="1" applyFill="1" applyBorder="1" applyAlignment="1">
      <alignment horizontal="right" wrapText="1"/>
    </xf>
    <xf numFmtId="168" fontId="23" fillId="5" borderId="41" xfId="0" applyNumberFormat="1" applyFont="1" applyFill="1" applyBorder="1" applyAlignment="1">
      <alignment horizontal="right" wrapText="1"/>
    </xf>
    <xf numFmtId="0" fontId="22" fillId="5" borderId="42" xfId="0" applyFont="1" applyFill="1" applyBorder="1" applyAlignment="1">
      <alignment horizontal="left" vertical="center" wrapText="1"/>
    </xf>
    <xf numFmtId="169" fontId="23" fillId="5" borderId="43" xfId="0" applyNumberFormat="1" applyFont="1" applyFill="1" applyBorder="1" applyAlignment="1">
      <alignment horizontal="right" wrapText="1"/>
    </xf>
    <xf numFmtId="169" fontId="23" fillId="5" borderId="44" xfId="0" applyNumberFormat="1" applyFont="1" applyFill="1" applyBorder="1" applyAlignment="1">
      <alignment horizontal="right" wrapText="1"/>
    </xf>
    <xf numFmtId="168" fontId="18" fillId="5" borderId="45" xfId="0" applyNumberFormat="1" applyFont="1" applyFill="1" applyBorder="1" applyAlignment="1">
      <alignment horizontal="center"/>
    </xf>
    <xf numFmtId="168" fontId="21" fillId="5" borderId="47" xfId="0" applyNumberFormat="1" applyFont="1" applyFill="1" applyBorder="1" applyAlignment="1">
      <alignment horizontal="center" vertical="top" wrapText="1"/>
    </xf>
    <xf numFmtId="168" fontId="21" fillId="5" borderId="48" xfId="0" applyNumberFormat="1" applyFont="1" applyFill="1" applyBorder="1" applyAlignment="1">
      <alignment horizontal="center" vertical="top" wrapText="1"/>
    </xf>
    <xf numFmtId="168" fontId="22" fillId="5" borderId="50" xfId="0" applyNumberFormat="1" applyFont="1" applyFill="1" applyBorder="1" applyAlignment="1">
      <alignment horizontal="center" vertical="top" wrapText="1"/>
    </xf>
    <xf numFmtId="0" fontId="22" fillId="5" borderId="24" xfId="0" applyFont="1" applyFill="1" applyBorder="1" applyAlignment="1">
      <alignment horizontal="center" vertical="center" wrapText="1"/>
    </xf>
    <xf numFmtId="0" fontId="22" fillId="5" borderId="52" xfId="0" applyFont="1" applyFill="1" applyBorder="1" applyAlignment="1">
      <alignment horizontal="center" vertical="center" wrapText="1"/>
    </xf>
    <xf numFmtId="0" fontId="21" fillId="5" borderId="53" xfId="0" applyFont="1" applyFill="1" applyBorder="1" applyAlignment="1">
      <alignment horizontal="center" vertical="center" wrapText="1"/>
    </xf>
    <xf numFmtId="168" fontId="18" fillId="5" borderId="26" xfId="0" applyNumberFormat="1" applyFont="1" applyFill="1" applyBorder="1" applyAlignment="1">
      <alignment horizontal="center" vertical="top" wrapText="1"/>
    </xf>
    <xf numFmtId="168" fontId="18" fillId="5" borderId="27" xfId="0" applyNumberFormat="1" applyFont="1" applyFill="1" applyBorder="1" applyAlignment="1">
      <alignment horizontal="center" vertical="top" wrapText="1"/>
    </xf>
    <xf numFmtId="168" fontId="18" fillId="5" borderId="54" xfId="0" applyNumberFormat="1" applyFont="1" applyFill="1" applyBorder="1" applyAlignment="1">
      <alignment horizontal="center" vertical="top" wrapText="1"/>
    </xf>
    <xf numFmtId="0" fontId="22" fillId="5" borderId="53" xfId="0" applyFont="1" applyFill="1" applyBorder="1" applyAlignment="1">
      <alignment horizontal="left" vertical="center" wrapText="1"/>
    </xf>
    <xf numFmtId="168" fontId="23" fillId="5" borderId="55" xfId="0" applyNumberFormat="1" applyFont="1" applyFill="1" applyBorder="1" applyAlignment="1">
      <alignment horizontal="right" wrapText="1"/>
    </xf>
    <xf numFmtId="169" fontId="23" fillId="5" borderId="55" xfId="0" applyNumberFormat="1" applyFont="1" applyFill="1" applyBorder="1" applyAlignment="1">
      <alignment horizontal="right" wrapText="1"/>
    </xf>
    <xf numFmtId="169" fontId="23" fillId="5" borderId="56" xfId="0" applyNumberFormat="1" applyFont="1" applyFill="1" applyBorder="1" applyAlignment="1">
      <alignment horizontal="right" wrapText="1"/>
    </xf>
    <xf numFmtId="0" fontId="22" fillId="5" borderId="57" xfId="0" applyFont="1" applyFill="1" applyBorder="1" applyAlignment="1">
      <alignment horizontal="left" vertical="center" wrapText="1"/>
    </xf>
    <xf numFmtId="168" fontId="23" fillId="5" borderId="58" xfId="0" applyNumberFormat="1" applyFont="1" applyFill="1" applyBorder="1" applyAlignment="1">
      <alignment horizontal="right" wrapText="1"/>
    </xf>
    <xf numFmtId="169" fontId="23" fillId="5" borderId="58" xfId="0" applyNumberFormat="1" applyFont="1" applyFill="1" applyBorder="1" applyAlignment="1">
      <alignment horizontal="right" wrapText="1"/>
    </xf>
    <xf numFmtId="169" fontId="23" fillId="5" borderId="59" xfId="0" applyNumberFormat="1" applyFont="1" applyFill="1" applyBorder="1" applyAlignment="1">
      <alignment horizontal="right" wrapText="1"/>
    </xf>
    <xf numFmtId="168" fontId="24" fillId="5" borderId="0" xfId="0" applyNumberFormat="1" applyFont="1" applyFill="1" applyAlignment="1"/>
    <xf numFmtId="0" fontId="18" fillId="5" borderId="0" xfId="0" applyNumberFormat="1" applyFont="1" applyFill="1" applyAlignment="1">
      <alignment horizontal="center"/>
    </xf>
    <xf numFmtId="168" fontId="18" fillId="5" borderId="0" xfId="0" applyNumberFormat="1" applyFont="1" applyFill="1" applyAlignment="1">
      <alignment horizontal="center" wrapText="1"/>
    </xf>
    <xf numFmtId="170" fontId="18" fillId="5" borderId="0" xfId="0" applyNumberFormat="1" applyFont="1" applyFill="1" applyAlignment="1">
      <alignment horizontal="center"/>
    </xf>
    <xf numFmtId="171" fontId="18" fillId="5" borderId="0" xfId="0" applyNumberFormat="1" applyFont="1" applyFill="1" applyAlignment="1">
      <alignment horizontal="center"/>
    </xf>
    <xf numFmtId="172" fontId="23" fillId="5" borderId="56" xfId="0" applyNumberFormat="1" applyFont="1" applyFill="1" applyBorder="1" applyAlignment="1">
      <alignment horizontal="right" wrapText="1"/>
    </xf>
    <xf numFmtId="173" fontId="23" fillId="5" borderId="56" xfId="0" applyNumberFormat="1" applyFont="1" applyFill="1" applyBorder="1" applyAlignment="1">
      <alignment horizontal="right" wrapText="1"/>
    </xf>
    <xf numFmtId="167" fontId="18" fillId="5" borderId="0" xfId="0" applyNumberFormat="1" applyFont="1" applyFill="1" applyAlignment="1">
      <alignment horizontal="center"/>
    </xf>
    <xf numFmtId="2" fontId="18" fillId="5" borderId="0" xfId="0" applyNumberFormat="1" applyFont="1" applyFill="1" applyAlignment="1">
      <alignment horizontal="center"/>
    </xf>
    <xf numFmtId="0" fontId="22" fillId="5" borderId="61" xfId="0" applyFont="1" applyFill="1" applyBorder="1" applyAlignment="1">
      <alignment horizontal="center" vertical="center" wrapText="1"/>
    </xf>
    <xf numFmtId="0" fontId="22" fillId="5" borderId="0" xfId="0" applyFont="1" applyFill="1" applyBorder="1" applyAlignment="1">
      <alignment horizontal="center" vertical="center" wrapText="1"/>
    </xf>
    <xf numFmtId="168" fontId="23" fillId="5" borderId="22" xfId="0" applyNumberFormat="1" applyFont="1" applyFill="1" applyBorder="1" applyAlignment="1">
      <alignment horizontal="right" wrapText="1"/>
    </xf>
    <xf numFmtId="168" fontId="23" fillId="5" borderId="23" xfId="0" applyNumberFormat="1" applyFont="1" applyFill="1" applyBorder="1" applyAlignment="1">
      <alignment horizontal="right" wrapText="1"/>
    </xf>
    <xf numFmtId="0" fontId="22" fillId="5" borderId="29" xfId="0" applyFont="1" applyFill="1" applyBorder="1" applyAlignment="1">
      <alignment horizontal="center" vertical="center" wrapText="1"/>
    </xf>
    <xf numFmtId="0" fontId="21" fillId="5" borderId="69" xfId="0" applyFont="1" applyFill="1" applyBorder="1" applyAlignment="1">
      <alignment horizontal="center" vertical="center" wrapText="1"/>
    </xf>
    <xf numFmtId="0" fontId="22" fillId="5" borderId="69" xfId="0" applyFont="1" applyFill="1" applyBorder="1" applyAlignment="1">
      <alignment horizontal="left" vertical="center" wrapText="1"/>
    </xf>
    <xf numFmtId="169" fontId="23" fillId="5" borderId="71" xfId="0" applyNumberFormat="1" applyFont="1" applyFill="1" applyBorder="1" applyAlignment="1">
      <alignment horizontal="right" wrapText="1"/>
    </xf>
    <xf numFmtId="0" fontId="22" fillId="5" borderId="72" xfId="0" applyFont="1" applyFill="1" applyBorder="1" applyAlignment="1">
      <alignment horizontal="left" vertical="center" wrapText="1"/>
    </xf>
    <xf numFmtId="168" fontId="23" fillId="5" borderId="43" xfId="0" applyNumberFormat="1" applyFont="1" applyFill="1" applyBorder="1" applyAlignment="1">
      <alignment horizontal="right" wrapText="1"/>
    </xf>
    <xf numFmtId="168" fontId="23" fillId="5" borderId="73" xfId="0" applyNumberFormat="1" applyFont="1" applyFill="1" applyBorder="1" applyAlignment="1">
      <alignment horizontal="right" wrapText="1"/>
    </xf>
    <xf numFmtId="168" fontId="23" fillId="5" borderId="74" xfId="0" applyNumberFormat="1" applyFont="1" applyFill="1" applyBorder="1" applyAlignment="1">
      <alignment horizontal="right" wrapText="1"/>
    </xf>
    <xf numFmtId="168" fontId="23" fillId="5" borderId="75" xfId="0" applyNumberFormat="1" applyFont="1" applyFill="1" applyBorder="1" applyAlignment="1">
      <alignment horizontal="right" wrapText="1"/>
    </xf>
    <xf numFmtId="169" fontId="23" fillId="5" borderId="76" xfId="0" applyNumberFormat="1" applyFont="1" applyFill="1" applyBorder="1" applyAlignment="1">
      <alignment horizontal="right" wrapText="1"/>
    </xf>
    <xf numFmtId="0" fontId="20" fillId="5" borderId="0" xfId="0" applyFont="1" applyFill="1" applyAlignment="1">
      <alignment horizontal="center"/>
    </xf>
    <xf numFmtId="0" fontId="22" fillId="5" borderId="55" xfId="0" applyFont="1" applyFill="1" applyBorder="1" applyAlignment="1">
      <alignment horizontal="center" vertical="center" wrapText="1"/>
    </xf>
    <xf numFmtId="0" fontId="22" fillId="5" borderId="56" xfId="0" applyFont="1" applyFill="1" applyBorder="1" applyAlignment="1">
      <alignment horizontal="center" vertical="center" wrapText="1"/>
    </xf>
    <xf numFmtId="172" fontId="23" fillId="5" borderId="59" xfId="0" applyNumberFormat="1" applyFont="1" applyFill="1" applyBorder="1" applyAlignment="1">
      <alignment horizontal="right" wrapText="1"/>
    </xf>
    <xf numFmtId="0" fontId="18" fillId="5" borderId="45" xfId="0" applyFont="1" applyFill="1" applyBorder="1" applyAlignment="1">
      <alignment horizontal="center"/>
    </xf>
    <xf numFmtId="0" fontId="24" fillId="5" borderId="0" xfId="0" applyFont="1" applyFill="1" applyAlignment="1"/>
    <xf numFmtId="0" fontId="2" fillId="0" borderId="6" xfId="0" applyFont="1" applyFill="1" applyBorder="1" applyAlignment="1">
      <alignment horizontal="left" wrapText="1"/>
    </xf>
    <xf numFmtId="0" fontId="4" fillId="0" borderId="0" xfId="2" applyFill="1"/>
    <xf numFmtId="1" fontId="2" fillId="0" borderId="6" xfId="1" applyNumberFormat="1" applyFont="1" applyFill="1" applyBorder="1" applyAlignment="1">
      <alignment horizontal="right"/>
    </xf>
    <xf numFmtId="1" fontId="2" fillId="0" borderId="0" xfId="1" applyNumberFormat="1" applyFont="1" applyFill="1" applyBorder="1" applyAlignment="1">
      <alignment horizontal="right"/>
    </xf>
    <xf numFmtId="0" fontId="25" fillId="0" borderId="1" xfId="0" applyFont="1" applyBorder="1"/>
    <xf numFmtId="0" fontId="26" fillId="0" borderId="1" xfId="0" applyFont="1" applyBorder="1"/>
    <xf numFmtId="0" fontId="27" fillId="11" borderId="0" xfId="0" applyFont="1" applyFill="1" applyBorder="1" applyAlignment="1">
      <alignment horizontal="left" wrapText="1"/>
    </xf>
    <xf numFmtId="0" fontId="25" fillId="0" borderId="0" xfId="0" applyFont="1" applyBorder="1"/>
    <xf numFmtId="0" fontId="25" fillId="0" borderId="1" xfId="0" applyFont="1" applyBorder="1" applyAlignment="1">
      <alignment horizontal="center"/>
    </xf>
    <xf numFmtId="0" fontId="27" fillId="11" borderId="1" xfId="0" applyFont="1" applyFill="1" applyBorder="1" applyAlignment="1">
      <alignment horizontal="center" wrapText="1"/>
    </xf>
    <xf numFmtId="0" fontId="28" fillId="11" borderId="1" xfId="0" applyFont="1" applyFill="1" applyBorder="1" applyAlignment="1">
      <alignment horizontal="center" wrapText="1"/>
    </xf>
    <xf numFmtId="0" fontId="25" fillId="0" borderId="0" xfId="4" applyFont="1" applyFill="1" applyBorder="1" applyAlignment="1">
      <alignment horizontal="center" vertical="center"/>
    </xf>
    <xf numFmtId="0" fontId="3" fillId="11" borderId="1" xfId="0" applyFont="1" applyFill="1" applyBorder="1" applyAlignment="1">
      <alignment wrapText="1"/>
    </xf>
    <xf numFmtId="0" fontId="15" fillId="0" borderId="1" xfId="0" applyFont="1" applyBorder="1" applyAlignment="1"/>
    <xf numFmtId="3" fontId="3" fillId="11" borderId="0" xfId="0" applyNumberFormat="1" applyFont="1" applyFill="1" applyBorder="1" applyAlignment="1">
      <alignment wrapText="1"/>
    </xf>
    <xf numFmtId="0" fontId="0" fillId="0" borderId="0" xfId="0" applyAlignment="1"/>
    <xf numFmtId="0" fontId="27" fillId="9" borderId="0" xfId="0" applyFont="1" applyFill="1" applyBorder="1" applyAlignment="1">
      <alignment horizontal="right" wrapText="1"/>
    </xf>
    <xf numFmtId="0" fontId="29" fillId="9" borderId="1" xfId="0" applyFont="1" applyFill="1" applyBorder="1"/>
    <xf numFmtId="3" fontId="25" fillId="0" borderId="0" xfId="4" applyNumberFormat="1" applyFont="1" applyFill="1" applyBorder="1" applyAlignment="1">
      <alignment horizontal="center" vertical="center"/>
    </xf>
    <xf numFmtId="0" fontId="29" fillId="0" borderId="0" xfId="4" applyFont="1" applyFill="1" applyBorder="1" applyAlignment="1">
      <alignment horizontal="center" vertical="center"/>
    </xf>
    <xf numFmtId="0" fontId="25" fillId="0" borderId="4" xfId="0" applyFont="1" applyFill="1" applyBorder="1"/>
    <xf numFmtId="0" fontId="17" fillId="11" borderId="1" xfId="0" applyFont="1" applyFill="1" applyBorder="1"/>
    <xf numFmtId="0" fontId="29" fillId="0" borderId="1" xfId="0" applyFont="1" applyBorder="1"/>
    <xf numFmtId="0" fontId="17" fillId="0" borderId="1" xfId="0" applyFont="1" applyBorder="1"/>
    <xf numFmtId="2" fontId="26" fillId="0" borderId="1" xfId="0" applyNumberFormat="1" applyFont="1" applyBorder="1"/>
    <xf numFmtId="2" fontId="26" fillId="11" borderId="1" xfId="0" applyNumberFormat="1" applyFont="1" applyFill="1" applyBorder="1"/>
    <xf numFmtId="0" fontId="0" fillId="4" borderId="0" xfId="0" applyFill="1"/>
    <xf numFmtId="0" fontId="0" fillId="14" borderId="82" xfId="0" applyNumberFormat="1" applyFont="1" applyFill="1" applyBorder="1"/>
    <xf numFmtId="0" fontId="0" fillId="15" borderId="82" xfId="0" applyNumberFormat="1" applyFont="1" applyFill="1" applyBorder="1"/>
    <xf numFmtId="0" fontId="0" fillId="4" borderId="0" xfId="0" applyFill="1" applyBorder="1"/>
    <xf numFmtId="0" fontId="0" fillId="16" borderId="82" xfId="0" applyNumberFormat="1" applyFont="1" applyFill="1" applyBorder="1"/>
    <xf numFmtId="0" fontId="3" fillId="4" borderId="0" xfId="0" applyFont="1" applyFill="1" applyBorder="1" applyAlignment="1">
      <alignment horizontal="left" wrapText="1"/>
    </xf>
    <xf numFmtId="2" fontId="3" fillId="4" borderId="0" xfId="1" applyNumberFormat="1" applyFont="1" applyFill="1" applyBorder="1" applyAlignment="1">
      <alignment horizontal="right"/>
    </xf>
    <xf numFmtId="2" fontId="15" fillId="4" borderId="0" xfId="0" applyNumberFormat="1" applyFont="1" applyFill="1"/>
    <xf numFmtId="167" fontId="0" fillId="0" borderId="0" xfId="0" applyNumberFormat="1"/>
    <xf numFmtId="166" fontId="15" fillId="4" borderId="0" xfId="0" applyNumberFormat="1" applyFont="1" applyFill="1"/>
    <xf numFmtId="167" fontId="3" fillId="4" borderId="35" xfId="1" applyNumberFormat="1" applyFont="1" applyFill="1" applyBorder="1" applyAlignment="1">
      <alignment horizontal="right"/>
    </xf>
    <xf numFmtId="166" fontId="3" fillId="4" borderId="0" xfId="1" applyNumberFormat="1" applyFont="1" applyFill="1" applyBorder="1" applyAlignment="1">
      <alignment horizontal="right"/>
    </xf>
    <xf numFmtId="2" fontId="2" fillId="0" borderId="0" xfId="1" applyNumberFormat="1" applyFont="1" applyFill="1" applyBorder="1" applyAlignment="1">
      <alignment horizontal="right"/>
    </xf>
    <xf numFmtId="2" fontId="0" fillId="0" borderId="0" xfId="0" applyNumberFormat="1"/>
    <xf numFmtId="0" fontId="15" fillId="4" borderId="1" xfId="0" applyFont="1" applyFill="1" applyBorder="1"/>
    <xf numFmtId="3" fontId="15" fillId="4" borderId="1" xfId="0" applyNumberFormat="1" applyFont="1" applyFill="1" applyBorder="1" applyAlignment="1"/>
    <xf numFmtId="4" fontId="0" fillId="4" borderId="1" xfId="0" applyNumberFormat="1" applyFill="1" applyBorder="1"/>
    <xf numFmtId="3" fontId="0" fillId="0" borderId="1" xfId="0" applyNumberFormat="1" applyBorder="1"/>
    <xf numFmtId="0" fontId="30" fillId="0" borderId="1" xfId="0" applyFont="1" applyBorder="1"/>
    <xf numFmtId="0" fontId="0" fillId="17" borderId="1" xfId="0" applyFill="1" applyBorder="1"/>
    <xf numFmtId="0" fontId="0" fillId="17" borderId="1" xfId="0" applyFill="1" applyBorder="1" applyAlignment="1">
      <alignment wrapText="1"/>
    </xf>
    <xf numFmtId="0" fontId="27" fillId="11" borderId="1" xfId="0" applyFont="1" applyFill="1" applyBorder="1" applyAlignment="1">
      <alignment horizontal="left" wrapText="1"/>
    </xf>
    <xf numFmtId="2" fontId="2" fillId="0" borderId="4" xfId="1" applyNumberFormat="1" applyFont="1" applyFill="1" applyBorder="1" applyAlignment="1">
      <alignment horizontal="right"/>
    </xf>
    <xf numFmtId="0" fontId="3" fillId="0" borderId="35" xfId="0" applyFont="1" applyFill="1" applyBorder="1" applyAlignment="1">
      <alignment horizontal="left" vertical="center" wrapText="1"/>
    </xf>
    <xf numFmtId="2" fontId="3" fillId="0" borderId="35" xfId="1" applyNumberFormat="1" applyFont="1" applyFill="1" applyBorder="1" applyAlignment="1">
      <alignment horizontal="right"/>
    </xf>
    <xf numFmtId="0" fontId="3" fillId="0" borderId="0" xfId="0" applyFont="1" applyAlignment="1">
      <alignment vertical="center"/>
    </xf>
    <xf numFmtId="0" fontId="4" fillId="0" borderId="0" xfId="0" applyFont="1" applyAlignment="1">
      <alignment vertical="center"/>
    </xf>
    <xf numFmtId="0" fontId="4" fillId="0" borderId="0" xfId="0" applyFont="1" applyAlignment="1">
      <alignment horizontal="right" vertical="center"/>
    </xf>
    <xf numFmtId="0" fontId="3" fillId="0" borderId="0" xfId="0" applyNumberFormat="1" applyFont="1" applyAlignment="1">
      <alignment horizontal="center" vertical="center"/>
    </xf>
    <xf numFmtId="165" fontId="3" fillId="0" borderId="0" xfId="0" applyNumberFormat="1" applyFont="1" applyAlignment="1">
      <alignment vertical="center"/>
    </xf>
    <xf numFmtId="165" fontId="3" fillId="0" borderId="0" xfId="0" applyNumberFormat="1" applyFont="1" applyFill="1" applyAlignment="1">
      <alignment vertical="center"/>
    </xf>
    <xf numFmtId="165" fontId="4" fillId="0" borderId="0" xfId="0" applyNumberFormat="1" applyFont="1" applyAlignment="1">
      <alignment horizontal="left" vertical="center" indent="1"/>
    </xf>
    <xf numFmtId="165" fontId="0" fillId="0" borderId="0" xfId="0" applyNumberFormat="1" applyAlignment="1">
      <alignment vertical="center"/>
    </xf>
    <xf numFmtId="165" fontId="4" fillId="0" borderId="0" xfId="0" applyNumberFormat="1" applyFont="1" applyAlignment="1">
      <alignment vertical="center"/>
    </xf>
    <xf numFmtId="166" fontId="4" fillId="0" borderId="0" xfId="0" applyNumberFormat="1" applyFont="1" applyAlignment="1">
      <alignment vertical="center"/>
    </xf>
    <xf numFmtId="165" fontId="3" fillId="0" borderId="0" xfId="0" quotePrefix="1" applyNumberFormat="1" applyFont="1" applyAlignment="1">
      <alignment vertical="center"/>
    </xf>
    <xf numFmtId="165" fontId="5" fillId="0" borderId="0" xfId="0" applyNumberFormat="1" applyFont="1" applyAlignment="1">
      <alignment vertical="center"/>
    </xf>
    <xf numFmtId="165" fontId="3" fillId="0" borderId="0" xfId="0" applyNumberFormat="1" applyFont="1" applyAlignment="1">
      <alignment horizontal="right" vertical="center"/>
    </xf>
    <xf numFmtId="0" fontId="5" fillId="0" borderId="0" xfId="0" applyFont="1" applyAlignment="1">
      <alignment vertical="center"/>
    </xf>
    <xf numFmtId="0" fontId="31" fillId="0" borderId="0" xfId="0" applyFont="1" applyAlignment="1">
      <alignment vertical="center"/>
    </xf>
    <xf numFmtId="165" fontId="32" fillId="0" borderId="0" xfId="0" applyNumberFormat="1" applyFont="1" applyAlignment="1">
      <alignment vertical="center"/>
    </xf>
    <xf numFmtId="0" fontId="0" fillId="0" borderId="0" xfId="0" applyAlignment="1">
      <alignment vertical="center"/>
    </xf>
    <xf numFmtId="175" fontId="0" fillId="0" borderId="0" xfId="0" applyNumberFormat="1"/>
    <xf numFmtId="166" fontId="4" fillId="9" borderId="0" xfId="0" applyNumberFormat="1" applyFont="1" applyFill="1" applyAlignment="1">
      <alignment vertical="center"/>
    </xf>
    <xf numFmtId="0" fontId="25" fillId="0" borderId="0" xfId="0" applyFont="1"/>
    <xf numFmtId="167" fontId="25" fillId="0" borderId="0" xfId="0" applyNumberFormat="1" applyFont="1"/>
    <xf numFmtId="174" fontId="4" fillId="0" borderId="0" xfId="0" applyNumberFormat="1" applyFont="1" applyAlignment="1">
      <alignment vertical="center"/>
    </xf>
    <xf numFmtId="175" fontId="4" fillId="0" borderId="0" xfId="0" applyNumberFormat="1" applyFont="1" applyAlignment="1">
      <alignment vertical="center"/>
    </xf>
    <xf numFmtId="0" fontId="33" fillId="11" borderId="0" xfId="0" applyFont="1" applyFill="1"/>
    <xf numFmtId="0" fontId="30" fillId="11" borderId="0" xfId="0" applyFont="1" applyFill="1"/>
    <xf numFmtId="2" fontId="34" fillId="11" borderId="4" xfId="1" applyNumberFormat="1" applyFont="1" applyFill="1" applyBorder="1" applyAlignment="1">
      <alignment horizontal="right"/>
    </xf>
    <xf numFmtId="167" fontId="30" fillId="11" borderId="0" xfId="0" applyNumberFormat="1" applyFont="1" applyFill="1"/>
    <xf numFmtId="2" fontId="30" fillId="11" borderId="0" xfId="0" applyNumberFormat="1" applyFont="1" applyFill="1"/>
    <xf numFmtId="0" fontId="14" fillId="18" borderId="0" xfId="4" applyFill="1" applyBorder="1" applyAlignment="1">
      <alignment horizontal="center" vertical="center" wrapText="1"/>
    </xf>
    <xf numFmtId="0" fontId="14" fillId="18" borderId="0" xfId="4" applyFill="1" applyBorder="1" applyAlignment="1">
      <alignment horizontal="center" vertical="center"/>
    </xf>
    <xf numFmtId="0" fontId="14" fillId="11" borderId="0" xfId="4" applyFill="1" applyBorder="1" applyAlignment="1">
      <alignment horizontal="center" vertical="center"/>
    </xf>
    <xf numFmtId="0" fontId="0" fillId="0" borderId="0" xfId="0" applyAlignment="1">
      <alignment wrapText="1"/>
    </xf>
    <xf numFmtId="0" fontId="0" fillId="4" borderId="0" xfId="0" applyFill="1" applyAlignment="1">
      <alignment wrapText="1"/>
    </xf>
    <xf numFmtId="2" fontId="0" fillId="4" borderId="0" xfId="0" applyNumberFormat="1" applyFill="1"/>
    <xf numFmtId="2" fontId="26" fillId="19" borderId="83" xfId="0" applyNumberFormat="1" applyFont="1" applyFill="1" applyBorder="1"/>
    <xf numFmtId="0" fontId="11" fillId="0" borderId="0" xfId="0" applyFont="1" applyAlignment="1"/>
    <xf numFmtId="176" fontId="0" fillId="0" borderId="0" xfId="0" applyNumberFormat="1"/>
    <xf numFmtId="1" fontId="0" fillId="0" borderId="0" xfId="0" applyNumberFormat="1" applyAlignment="1">
      <alignment wrapText="1"/>
    </xf>
    <xf numFmtId="3" fontId="35" fillId="0" borderId="0" xfId="0" applyNumberFormat="1" applyFont="1"/>
    <xf numFmtId="166" fontId="36" fillId="0" borderId="84" xfId="0" applyNumberFormat="1" applyFont="1" applyBorder="1" applyAlignment="1">
      <alignment vertical="top" wrapText="1"/>
    </xf>
    <xf numFmtId="1" fontId="0" fillId="4" borderId="0" xfId="0" applyNumberFormat="1" applyFill="1"/>
    <xf numFmtId="166" fontId="36" fillId="0" borderId="0" xfId="0" applyNumberFormat="1" applyFont="1" applyBorder="1" applyAlignment="1">
      <alignment vertical="top" wrapText="1"/>
    </xf>
    <xf numFmtId="3" fontId="37" fillId="0" borderId="0" xfId="0" applyNumberFormat="1" applyFont="1" applyFill="1"/>
    <xf numFmtId="0" fontId="15" fillId="4" borderId="0" xfId="0" applyFont="1" applyFill="1"/>
    <xf numFmtId="0" fontId="0" fillId="14" borderId="0" xfId="0" applyNumberFormat="1" applyFont="1" applyFill="1" applyBorder="1"/>
    <xf numFmtId="0" fontId="0" fillId="15" borderId="0" xfId="0" applyNumberFormat="1" applyFont="1" applyFill="1" applyBorder="1"/>
    <xf numFmtId="0" fontId="26" fillId="0" borderId="0" xfId="0" applyFont="1" applyBorder="1"/>
    <xf numFmtId="0" fontId="17" fillId="0" borderId="0" xfId="0" applyFont="1" applyBorder="1"/>
    <xf numFmtId="0" fontId="25" fillId="0" borderId="0" xfId="0" applyFont="1" applyFill="1" applyBorder="1"/>
    <xf numFmtId="0" fontId="3" fillId="11" borderId="3" xfId="0" applyFont="1" applyFill="1" applyBorder="1" applyAlignment="1">
      <alignment horizontal="left" wrapText="1"/>
    </xf>
    <xf numFmtId="0" fontId="26" fillId="0" borderId="3" xfId="0" applyFont="1" applyBorder="1"/>
    <xf numFmtId="0" fontId="28" fillId="11" borderId="3" xfId="0" applyFont="1" applyFill="1" applyBorder="1" applyAlignment="1">
      <alignment horizontal="center" wrapText="1"/>
    </xf>
    <xf numFmtId="0" fontId="0" fillId="14" borderId="85" xfId="0" applyNumberFormat="1" applyFont="1" applyFill="1" applyBorder="1"/>
    <xf numFmtId="0" fontId="25" fillId="0" borderId="1" xfId="0" applyNumberFormat="1" applyFont="1" applyBorder="1"/>
    <xf numFmtId="0" fontId="25" fillId="14" borderId="0" xfId="0" applyNumberFormat="1" applyFont="1" applyFill="1" applyBorder="1"/>
    <xf numFmtId="0" fontId="0" fillId="0" borderId="1" xfId="0" applyBorder="1" applyAlignment="1">
      <alignment wrapText="1"/>
    </xf>
    <xf numFmtId="0" fontId="0" fillId="0" borderId="1" xfId="0" applyFill="1" applyBorder="1"/>
    <xf numFmtId="0" fontId="0" fillId="0" borderId="1" xfId="0" applyFont="1" applyFill="1" applyBorder="1"/>
    <xf numFmtId="177" fontId="4" fillId="0" borderId="1" xfId="3" applyNumberFormat="1" applyBorder="1"/>
    <xf numFmtId="178" fontId="0" fillId="0" borderId="1" xfId="0" applyNumberFormat="1" applyBorder="1"/>
    <xf numFmtId="0" fontId="4" fillId="0" borderId="1" xfId="0" applyFont="1" applyBorder="1"/>
    <xf numFmtId="0" fontId="0" fillId="0" borderId="4" xfId="0" applyFill="1" applyBorder="1"/>
    <xf numFmtId="43" fontId="0" fillId="0" borderId="0" xfId="0" applyNumberFormat="1"/>
    <xf numFmtId="43" fontId="0" fillId="14" borderId="85" xfId="0" applyNumberFormat="1" applyFont="1" applyFill="1" applyBorder="1"/>
    <xf numFmtId="43" fontId="25" fillId="0" borderId="1" xfId="0" applyNumberFormat="1" applyFont="1" applyBorder="1"/>
    <xf numFmtId="43" fontId="26" fillId="0" borderId="3" xfId="0" applyNumberFormat="1" applyFont="1" applyBorder="1"/>
    <xf numFmtId="43" fontId="28" fillId="11" borderId="3" xfId="0" applyNumberFormat="1" applyFont="1" applyFill="1" applyBorder="1" applyAlignment="1">
      <alignment horizontal="center" wrapText="1"/>
    </xf>
    <xf numFmtId="43" fontId="26" fillId="0" borderId="0" xfId="0" applyNumberFormat="1" applyFont="1" applyBorder="1"/>
    <xf numFmtId="43" fontId="25" fillId="0" borderId="0" xfId="0" applyNumberFormat="1" applyFont="1" applyBorder="1"/>
    <xf numFmtId="43" fontId="0" fillId="4" borderId="0" xfId="0" applyNumberFormat="1" applyFill="1" applyBorder="1"/>
    <xf numFmtId="43" fontId="0" fillId="0" borderId="0" xfId="0" applyNumberFormat="1" applyBorder="1"/>
    <xf numFmtId="43" fontId="0" fillId="0" borderId="1" xfId="0" applyNumberFormat="1" applyBorder="1"/>
    <xf numFmtId="0" fontId="0" fillId="0" borderId="1" xfId="0" applyFill="1" applyBorder="1" applyAlignment="1">
      <alignment wrapText="1"/>
    </xf>
    <xf numFmtId="179" fontId="0" fillId="0" borderId="1" xfId="0" applyNumberFormat="1" applyBorder="1"/>
    <xf numFmtId="9" fontId="3" fillId="3" borderId="0" xfId="2" applyNumberFormat="1" applyFont="1" applyFill="1"/>
    <xf numFmtId="164" fontId="4" fillId="3" borderId="0" xfId="1" applyNumberFormat="1" applyFont="1" applyFill="1" applyAlignment="1">
      <alignment horizontal="right"/>
    </xf>
    <xf numFmtId="0" fontId="0" fillId="0" borderId="0" xfId="0" applyAlignment="1">
      <alignment horizontal="right"/>
    </xf>
    <xf numFmtId="0" fontId="15" fillId="0" borderId="0" xfId="0" applyFont="1" applyAlignment="1">
      <alignment wrapText="1"/>
    </xf>
    <xf numFmtId="0" fontId="0" fillId="0" borderId="0" xfId="0" applyAlignment="1">
      <alignment horizontal="left"/>
    </xf>
    <xf numFmtId="0" fontId="15" fillId="0" borderId="0" xfId="0" applyFont="1" applyAlignment="1">
      <alignment horizontal="left"/>
    </xf>
    <xf numFmtId="0" fontId="15" fillId="0" borderId="0" xfId="0" applyFont="1" applyAlignment="1">
      <alignment horizontal="left" wrapText="1"/>
    </xf>
    <xf numFmtId="0" fontId="0" fillId="0" borderId="0" xfId="0" applyFont="1"/>
    <xf numFmtId="0" fontId="3" fillId="0" borderId="0" xfId="0" applyFont="1" applyFill="1" applyBorder="1"/>
    <xf numFmtId="0" fontId="15" fillId="0" borderId="0" xfId="0" applyFont="1" applyFill="1"/>
    <xf numFmtId="2" fontId="15" fillId="0" borderId="0" xfId="0" applyNumberFormat="1" applyFont="1"/>
    <xf numFmtId="0" fontId="29" fillId="0" borderId="0" xfId="0" applyFont="1"/>
    <xf numFmtId="0" fontId="33" fillId="0" borderId="0" xfId="0" applyFont="1" applyFill="1"/>
    <xf numFmtId="2" fontId="33" fillId="0" borderId="0" xfId="0" applyNumberFormat="1" applyFont="1"/>
    <xf numFmtId="0" fontId="30" fillId="0" borderId="0" xfId="0" applyFont="1"/>
    <xf numFmtId="2" fontId="30" fillId="0" borderId="0" xfId="0" applyNumberFormat="1" applyFont="1"/>
    <xf numFmtId="2" fontId="0" fillId="0" borderId="0" xfId="0" applyNumberFormat="1" applyFont="1"/>
    <xf numFmtId="174" fontId="30" fillId="0" borderId="0" xfId="0" applyNumberFormat="1" applyFont="1"/>
    <xf numFmtId="167" fontId="30" fillId="0" borderId="0" xfId="0" applyNumberFormat="1" applyFont="1"/>
    <xf numFmtId="174" fontId="0" fillId="0" borderId="0" xfId="0" applyNumberFormat="1"/>
    <xf numFmtId="0" fontId="41" fillId="0" borderId="0" xfId="0" applyFont="1"/>
    <xf numFmtId="0" fontId="42" fillId="0" borderId="0" xfId="0" applyFont="1"/>
    <xf numFmtId="0" fontId="0" fillId="0" borderId="0" xfId="0" applyFont="1" applyAlignment="1">
      <alignment horizontal="right"/>
    </xf>
    <xf numFmtId="0" fontId="33" fillId="0" borderId="0" xfId="0" applyFont="1"/>
    <xf numFmtId="0" fontId="43" fillId="0" borderId="0" xfId="0" applyFont="1"/>
    <xf numFmtId="2" fontId="41" fillId="0" borderId="0" xfId="0" applyNumberFormat="1" applyFont="1"/>
    <xf numFmtId="2" fontId="43" fillId="0" borderId="0" xfId="0" applyNumberFormat="1" applyFont="1"/>
    <xf numFmtId="166" fontId="41" fillId="0" borderId="0" xfId="0" applyNumberFormat="1" applyFont="1"/>
    <xf numFmtId="0" fontId="33" fillId="0" borderId="0" xfId="0" applyFont="1" applyAlignment="1">
      <alignment horizontal="left"/>
    </xf>
    <xf numFmtId="2" fontId="29" fillId="0" borderId="0" xfId="0" applyNumberFormat="1" applyFont="1"/>
    <xf numFmtId="167" fontId="41" fillId="0" borderId="0" xfId="0" applyNumberFormat="1" applyFont="1"/>
    <xf numFmtId="166" fontId="43" fillId="0" borderId="0" xfId="0" applyNumberFormat="1" applyFont="1"/>
    <xf numFmtId="0" fontId="29" fillId="0" borderId="0" xfId="0" applyFont="1" applyAlignment="1">
      <alignment horizontal="left"/>
    </xf>
    <xf numFmtId="174" fontId="29" fillId="0" borderId="0" xfId="0" applyNumberFormat="1" applyFont="1"/>
    <xf numFmtId="2" fontId="42" fillId="0" borderId="0" xfId="0" applyNumberFormat="1" applyFont="1"/>
    <xf numFmtId="0" fontId="44" fillId="0" borderId="0" xfId="0" applyFont="1"/>
    <xf numFmtId="2" fontId="40" fillId="0" borderId="0" xfId="0" applyNumberFormat="1" applyFont="1"/>
    <xf numFmtId="0" fontId="40" fillId="0" borderId="0" xfId="0" applyFont="1" applyAlignment="1">
      <alignment horizontal="left"/>
    </xf>
    <xf numFmtId="0" fontId="45" fillId="0" borderId="0" xfId="0" applyFont="1"/>
    <xf numFmtId="0" fontId="40" fillId="0" borderId="0" xfId="0" applyFont="1"/>
    <xf numFmtId="0" fontId="46" fillId="0" borderId="0" xfId="0" applyFont="1"/>
    <xf numFmtId="167" fontId="45" fillId="0" borderId="0" xfId="0" applyNumberFormat="1" applyFont="1"/>
    <xf numFmtId="2" fontId="25" fillId="0" borderId="0" xfId="0" applyNumberFormat="1" applyFont="1"/>
    <xf numFmtId="0" fontId="48" fillId="0" borderId="0" xfId="0" applyFont="1"/>
    <xf numFmtId="2" fontId="49" fillId="0" borderId="0" xfId="0" applyNumberFormat="1" applyFont="1"/>
    <xf numFmtId="2" fontId="48" fillId="0" borderId="0" xfId="0" applyNumberFormat="1" applyFont="1"/>
    <xf numFmtId="0" fontId="50" fillId="0" borderId="0" xfId="0" applyFont="1" applyAlignment="1">
      <alignment horizontal="left" wrapText="1"/>
    </xf>
    <xf numFmtId="0" fontId="51" fillId="0" borderId="0" xfId="0" applyFont="1"/>
    <xf numFmtId="0" fontId="52" fillId="0" borderId="0" xfId="0" applyFont="1"/>
    <xf numFmtId="2" fontId="44" fillId="0" borderId="0" xfId="0" applyNumberFormat="1" applyFont="1"/>
    <xf numFmtId="2" fontId="53" fillId="0" borderId="0" xfId="0" applyNumberFormat="1" applyFont="1"/>
    <xf numFmtId="174" fontId="25" fillId="0" borderId="0" xfId="0" applyNumberFormat="1" applyFont="1"/>
    <xf numFmtId="0" fontId="0" fillId="9" borderId="0" xfId="0" applyFont="1" applyFill="1"/>
    <xf numFmtId="0" fontId="30" fillId="0" borderId="0" xfId="0" applyNumberFormat="1" applyFont="1" applyFill="1" applyBorder="1"/>
    <xf numFmtId="2" fontId="55" fillId="0" borderId="0" xfId="0" applyNumberFormat="1" applyFont="1" applyFill="1" applyBorder="1"/>
    <xf numFmtId="0" fontId="30" fillId="0" borderId="0" xfId="0" applyFont="1" applyFill="1"/>
    <xf numFmtId="2" fontId="30" fillId="0" borderId="0" xfId="0" applyNumberFormat="1" applyFont="1" applyFill="1" applyBorder="1"/>
    <xf numFmtId="181" fontId="41" fillId="0" borderId="0" xfId="0" applyNumberFormat="1" applyFont="1"/>
    <xf numFmtId="174" fontId="41" fillId="0" borderId="0" xfId="0" applyNumberFormat="1" applyFont="1"/>
    <xf numFmtId="182" fontId="29" fillId="0" borderId="0" xfId="0" applyNumberFormat="1" applyFont="1"/>
    <xf numFmtId="175" fontId="29" fillId="0" borderId="0" xfId="0" applyNumberFormat="1" applyFont="1"/>
    <xf numFmtId="0" fontId="17" fillId="0" borderId="0" xfId="0" applyFont="1"/>
    <xf numFmtId="180" fontId="26" fillId="9" borderId="0" xfId="0" applyNumberFormat="1" applyFont="1" applyFill="1"/>
    <xf numFmtId="180" fontId="17" fillId="0" borderId="0" xfId="0" applyNumberFormat="1" applyFont="1"/>
    <xf numFmtId="166" fontId="0" fillId="0" borderId="0" xfId="0" applyNumberFormat="1" applyFont="1"/>
    <xf numFmtId="183" fontId="29" fillId="0" borderId="0" xfId="0" applyNumberFormat="1" applyFont="1"/>
    <xf numFmtId="182" fontId="44" fillId="0" borderId="0" xfId="0" applyNumberFormat="1" applyFont="1"/>
    <xf numFmtId="182" fontId="15" fillId="0" borderId="0" xfId="0" applyNumberFormat="1" applyFont="1"/>
    <xf numFmtId="182" fontId="40" fillId="0" borderId="0" xfId="0" applyNumberFormat="1" applyFont="1"/>
    <xf numFmtId="182" fontId="49" fillId="0" borderId="0" xfId="0" applyNumberFormat="1" applyFont="1"/>
    <xf numFmtId="182" fontId="17" fillId="0" borderId="0" xfId="0" applyNumberFormat="1" applyFont="1"/>
    <xf numFmtId="183" fontId="25" fillId="0" borderId="0" xfId="0" applyNumberFormat="1" applyFont="1"/>
    <xf numFmtId="185" fontId="25" fillId="0" borderId="0" xfId="0" applyNumberFormat="1" applyFont="1"/>
    <xf numFmtId="184" fontId="42" fillId="0" borderId="0" xfId="0" applyNumberFormat="1" applyFont="1"/>
    <xf numFmtId="183" fontId="54" fillId="0" borderId="0" xfId="0" applyNumberFormat="1" applyFont="1"/>
    <xf numFmtId="183" fontId="41" fillId="0" borderId="0" xfId="0" applyNumberFormat="1" applyFont="1"/>
    <xf numFmtId="183" fontId="47" fillId="0" borderId="0" xfId="0" applyNumberFormat="1" applyFont="1"/>
    <xf numFmtId="183" fontId="49" fillId="0" borderId="0" xfId="0" applyNumberFormat="1" applyFont="1"/>
    <xf numFmtId="2" fontId="4" fillId="0" borderId="0" xfId="0" applyNumberFormat="1" applyFont="1" applyFill="1" applyBorder="1"/>
    <xf numFmtId="166" fontId="4" fillId="0" borderId="0" xfId="0" applyNumberFormat="1" applyFont="1" applyFill="1" applyBorder="1"/>
    <xf numFmtId="166" fontId="0" fillId="0" borderId="0" xfId="0" applyNumberFormat="1" applyFont="1" applyFill="1"/>
    <xf numFmtId="0" fontId="4" fillId="0" borderId="0" xfId="0" applyFont="1" applyFill="1" applyBorder="1" applyAlignment="1">
      <alignment vertical="center" wrapText="1"/>
    </xf>
    <xf numFmtId="0" fontId="0" fillId="20" borderId="0" xfId="0" applyFill="1" applyAlignment="1">
      <alignment horizontal="center" wrapText="1"/>
    </xf>
    <xf numFmtId="0" fontId="0" fillId="20" borderId="0" xfId="0" applyFill="1" applyAlignment="1">
      <alignment horizontal="center"/>
    </xf>
    <xf numFmtId="0" fontId="29" fillId="0" borderId="0" xfId="0" applyFont="1" applyAlignment="1">
      <alignment horizontal="center"/>
    </xf>
    <xf numFmtId="0" fontId="0" fillId="0" borderId="0" xfId="0" applyAlignment="1">
      <alignment horizontal="center"/>
    </xf>
    <xf numFmtId="0" fontId="3" fillId="0" borderId="2" xfId="0" applyFont="1" applyBorder="1" applyAlignment="1">
      <alignment vertical="center"/>
    </xf>
    <xf numFmtId="0" fontId="3" fillId="0" borderId="4" xfId="0" applyFont="1" applyBorder="1" applyAlignment="1">
      <alignment vertical="center"/>
    </xf>
    <xf numFmtId="0" fontId="3" fillId="0" borderId="3" xfId="0" applyFont="1" applyBorder="1" applyAlignment="1">
      <alignment vertical="center"/>
    </xf>
    <xf numFmtId="0" fontId="3" fillId="0" borderId="1" xfId="0" applyFont="1" applyBorder="1" applyAlignment="1">
      <alignment horizontal="center"/>
    </xf>
    <xf numFmtId="0" fontId="3" fillId="0" borderId="2" xfId="0" applyFont="1" applyBorder="1" applyAlignment="1">
      <alignment vertical="center" wrapText="1"/>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10" fillId="0" borderId="24" xfId="0" applyFont="1" applyFill="1" applyBorder="1" applyAlignment="1">
      <alignment horizontal="center" wrapText="1"/>
    </xf>
    <xf numFmtId="0" fontId="10" fillId="0" borderId="29" xfId="0" applyFont="1" applyFill="1" applyBorder="1" applyAlignment="1">
      <alignment horizontal="center" wrapText="1"/>
    </xf>
    <xf numFmtId="0" fontId="10" fillId="0" borderId="26"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29" xfId="0" applyFont="1" applyFill="1" applyBorder="1" applyAlignment="1">
      <alignment horizontal="center" vertical="center" wrapText="1"/>
    </xf>
    <xf numFmtId="0" fontId="19" fillId="5" borderId="0" xfId="0" applyFont="1" applyFill="1" applyAlignment="1">
      <alignment horizontal="center" vertical="center" wrapText="1"/>
    </xf>
    <xf numFmtId="168" fontId="20" fillId="5" borderId="0" xfId="0" applyNumberFormat="1" applyFont="1" applyFill="1" applyAlignment="1">
      <alignment horizontal="center" vertical="center" wrapText="1"/>
    </xf>
    <xf numFmtId="0" fontId="21" fillId="5" borderId="0" xfId="0" applyFont="1" applyFill="1" applyAlignment="1">
      <alignment horizontal="center" vertical="center" wrapText="1"/>
    </xf>
    <xf numFmtId="168" fontId="18" fillId="5" borderId="0" xfId="0" applyNumberFormat="1" applyFont="1" applyFill="1" applyAlignment="1">
      <alignment horizontal="center" vertical="center" wrapText="1"/>
    </xf>
    <xf numFmtId="168" fontId="22" fillId="5" borderId="46" xfId="0" applyNumberFormat="1" applyFont="1" applyFill="1" applyBorder="1" applyAlignment="1">
      <alignment horizontal="center" vertical="center" wrapText="1"/>
    </xf>
    <xf numFmtId="168" fontId="22" fillId="5" borderId="51" xfId="0" applyNumberFormat="1" applyFont="1" applyFill="1" applyBorder="1" applyAlignment="1">
      <alignment horizontal="center" vertical="center" wrapText="1"/>
    </xf>
    <xf numFmtId="0" fontId="22" fillId="5" borderId="47" xfId="0" applyFont="1" applyFill="1" applyBorder="1" applyAlignment="1">
      <alignment horizontal="center" vertical="center" wrapText="1"/>
    </xf>
    <xf numFmtId="168" fontId="22" fillId="5" borderId="49" xfId="0" applyNumberFormat="1" applyFont="1" applyFill="1" applyBorder="1" applyAlignment="1">
      <alignment horizontal="center" vertical="center" wrapText="1"/>
    </xf>
    <xf numFmtId="168" fontId="18" fillId="5" borderId="26" xfId="0" applyNumberFormat="1" applyFont="1" applyFill="1" applyBorder="1" applyAlignment="1">
      <alignment horizontal="center" vertical="top" wrapText="1"/>
    </xf>
    <xf numFmtId="168" fontId="18" fillId="5" borderId="27" xfId="0" applyNumberFormat="1" applyFont="1" applyFill="1" applyBorder="1" applyAlignment="1">
      <alignment horizontal="center" vertical="top" wrapText="1"/>
    </xf>
    <xf numFmtId="168" fontId="18" fillId="5" borderId="70" xfId="0" applyNumberFormat="1" applyFont="1" applyFill="1" applyBorder="1" applyAlignment="1">
      <alignment horizontal="center" vertical="top" wrapText="1"/>
    </xf>
    <xf numFmtId="168" fontId="22" fillId="5" borderId="37" xfId="0" applyNumberFormat="1" applyFont="1" applyFill="1" applyBorder="1" applyAlignment="1">
      <alignment horizontal="center" vertical="center" wrapText="1"/>
    </xf>
    <xf numFmtId="168" fontId="22" fillId="5" borderId="65" xfId="0" applyNumberFormat="1" applyFont="1" applyFill="1" applyBorder="1" applyAlignment="1">
      <alignment horizontal="center" vertical="center" wrapText="1"/>
    </xf>
    <xf numFmtId="168" fontId="22" fillId="5" borderId="67" xfId="0" applyNumberFormat="1" applyFont="1" applyFill="1" applyBorder="1" applyAlignment="1">
      <alignment horizontal="center" vertical="center" wrapText="1"/>
    </xf>
    <xf numFmtId="168" fontId="21" fillId="5" borderId="62" xfId="0" applyNumberFormat="1" applyFont="1" applyFill="1" applyBorder="1" applyAlignment="1">
      <alignment horizontal="center" vertical="top" wrapText="1"/>
    </xf>
    <xf numFmtId="168" fontId="21" fillId="5" borderId="63" xfId="0" applyNumberFormat="1" applyFont="1" applyFill="1" applyBorder="1" applyAlignment="1">
      <alignment horizontal="center" vertical="top" wrapText="1"/>
    </xf>
    <xf numFmtId="0" fontId="22" fillId="5" borderId="62" xfId="0" applyFont="1" applyFill="1" applyBorder="1" applyAlignment="1">
      <alignment horizontal="center" vertical="center" wrapText="1"/>
    </xf>
    <xf numFmtId="168" fontId="22" fillId="5" borderId="64" xfId="0" applyNumberFormat="1" applyFont="1" applyFill="1" applyBorder="1" applyAlignment="1">
      <alignment horizontal="center" vertical="center" wrapText="1"/>
    </xf>
    <xf numFmtId="0" fontId="22" fillId="5" borderId="24" xfId="0" applyFont="1" applyFill="1" applyBorder="1" applyAlignment="1">
      <alignment horizontal="center" vertical="center" wrapText="1"/>
    </xf>
    <xf numFmtId="168" fontId="22" fillId="5" borderId="29" xfId="0" applyNumberFormat="1" applyFont="1" applyFill="1" applyBorder="1" applyAlignment="1">
      <alignment horizontal="center" vertical="center" wrapText="1"/>
    </xf>
    <xf numFmtId="0" fontId="22" fillId="5" borderId="66" xfId="0" applyFont="1" applyFill="1" applyBorder="1" applyAlignment="1">
      <alignment horizontal="center" vertical="center" wrapText="1"/>
    </xf>
    <xf numFmtId="168" fontId="22" fillId="5" borderId="68" xfId="0" applyNumberFormat="1" applyFont="1" applyFill="1" applyBorder="1" applyAlignment="1">
      <alignment horizontal="center" vertical="center" wrapText="1"/>
    </xf>
    <xf numFmtId="168" fontId="22" fillId="5" borderId="8" xfId="0" applyNumberFormat="1" applyFont="1" applyFill="1" applyBorder="1" applyAlignment="1">
      <alignment horizontal="center" vertical="center" wrapText="1"/>
    </xf>
    <xf numFmtId="168" fontId="22" fillId="5" borderId="40" xfId="0" applyNumberFormat="1" applyFont="1" applyFill="1" applyBorder="1" applyAlignment="1">
      <alignment horizontal="center" vertical="center" wrapText="1"/>
    </xf>
    <xf numFmtId="0" fontId="22" fillId="5" borderId="9" xfId="0" applyFont="1" applyFill="1" applyBorder="1" applyAlignment="1">
      <alignment horizontal="center" vertical="center" wrapText="1"/>
    </xf>
    <xf numFmtId="168" fontId="22" fillId="5" borderId="1" xfId="0" applyNumberFormat="1" applyFont="1" applyFill="1" applyBorder="1" applyAlignment="1">
      <alignment horizontal="center" vertical="center" wrapText="1"/>
    </xf>
    <xf numFmtId="0" fontId="22" fillId="5" borderId="60" xfId="0" applyFont="1" applyFill="1" applyBorder="1" applyAlignment="1">
      <alignment horizontal="center" vertical="center" wrapText="1"/>
    </xf>
    <xf numFmtId="168" fontId="22" fillId="5" borderId="22" xfId="0" applyNumberFormat="1" applyFont="1" applyFill="1" applyBorder="1" applyAlignment="1">
      <alignment horizontal="center" vertical="center" wrapText="1"/>
    </xf>
    <xf numFmtId="0" fontId="22" fillId="5" borderId="10" xfId="0" applyFont="1" applyFill="1" applyBorder="1" applyAlignment="1">
      <alignment horizontal="center" vertical="center" wrapText="1"/>
    </xf>
    <xf numFmtId="168" fontId="22" fillId="5" borderId="41" xfId="0" applyNumberFormat="1" applyFont="1" applyFill="1" applyBorder="1" applyAlignment="1">
      <alignment horizontal="center" vertical="center" wrapText="1"/>
    </xf>
    <xf numFmtId="0" fontId="18" fillId="5" borderId="0" xfId="0" applyFont="1" applyFill="1" applyAlignment="1">
      <alignment horizontal="center" vertical="center" wrapText="1"/>
    </xf>
    <xf numFmtId="0" fontId="22" fillId="5" borderId="46" xfId="0" applyFont="1" applyFill="1" applyBorder="1" applyAlignment="1">
      <alignment horizontal="center" vertical="center" wrapText="1"/>
    </xf>
    <xf numFmtId="0" fontId="22" fillId="5" borderId="51" xfId="0" applyFont="1" applyFill="1" applyBorder="1" applyAlignment="1">
      <alignment horizontal="center" vertical="center" wrapText="1"/>
    </xf>
    <xf numFmtId="0" fontId="22" fillId="5" borderId="81" xfId="0" applyFont="1" applyFill="1" applyBorder="1" applyAlignment="1">
      <alignment horizontal="center" vertical="center" wrapText="1"/>
    </xf>
    <xf numFmtId="0" fontId="22" fillId="5" borderId="48" xfId="0" applyFont="1" applyFill="1" applyBorder="1" applyAlignment="1">
      <alignment horizontal="center" vertical="center" wrapText="1"/>
    </xf>
    <xf numFmtId="0" fontId="22" fillId="5" borderId="77" xfId="0" applyFont="1" applyFill="1" applyBorder="1" applyAlignment="1">
      <alignment horizontal="center" vertical="center" wrapText="1"/>
    </xf>
    <xf numFmtId="0" fontId="22" fillId="5" borderId="78" xfId="0" applyFont="1" applyFill="1" applyBorder="1" applyAlignment="1">
      <alignment horizontal="center" vertical="center" wrapText="1"/>
    </xf>
    <xf numFmtId="0" fontId="22" fillId="5" borderId="79" xfId="0" applyFont="1" applyFill="1" applyBorder="1" applyAlignment="1">
      <alignment horizontal="center" vertical="center" wrapText="1"/>
    </xf>
    <xf numFmtId="0" fontId="22" fillId="5" borderId="80" xfId="0" applyFont="1" applyFill="1" applyBorder="1" applyAlignment="1">
      <alignment horizontal="center" vertical="center" wrapText="1"/>
    </xf>
    <xf numFmtId="0" fontId="22" fillId="5" borderId="26" xfId="0" applyFont="1" applyFill="1" applyBorder="1" applyAlignment="1">
      <alignment horizontal="center" vertical="center" wrapText="1"/>
    </xf>
    <xf numFmtId="0" fontId="22" fillId="5" borderId="28" xfId="0" applyFont="1" applyFill="1" applyBorder="1" applyAlignment="1">
      <alignment horizontal="center" vertical="center" wrapText="1"/>
    </xf>
    <xf numFmtId="0" fontId="20" fillId="5" borderId="0" xfId="0" applyFont="1" applyFill="1" applyAlignment="1">
      <alignment horizontal="center" vertical="center" wrapText="1"/>
    </xf>
  </cellXfs>
  <cellStyles count="5">
    <cellStyle name="Milliers 2" xfId="3"/>
    <cellStyle name="Neutre" xfId="4" builtinId="28"/>
    <cellStyle name="Normal" xfId="0" builtinId="0"/>
    <cellStyle name="Normal 2" xfId="2"/>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158750</xdr:colOff>
          <xdr:row>0</xdr:row>
          <xdr:rowOff>38100</xdr:rowOff>
        </xdr:from>
        <xdr:to>
          <xdr:col>2</xdr:col>
          <xdr:colOff>0</xdr:colOff>
          <xdr:row>1</xdr:row>
          <xdr:rowOff>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64008" tIns="64008" rIns="64008" bIns="64008" anchor="ctr" upright="1"/>
            <a:lstStyle/>
            <a:p>
              <a:pPr algn="ctr" rtl="0">
                <a:defRPr sz="1000"/>
              </a:pPr>
              <a:r>
                <a:rPr lang="fr-FR" sz="2200" b="0" i="0" u="none" strike="noStrike" baseline="0">
                  <a:solidFill>
                    <a:srgbClr val="000000"/>
                  </a:solidFill>
                  <a:latin typeface="Calibri"/>
                </a:rPr>
                <a:t>RUN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158750</xdr:colOff>
          <xdr:row>0</xdr:row>
          <xdr:rowOff>38100</xdr:rowOff>
        </xdr:from>
        <xdr:to>
          <xdr:col>2</xdr:col>
          <xdr:colOff>0</xdr:colOff>
          <xdr:row>1</xdr:row>
          <xdr:rowOff>425450</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64008" tIns="64008" rIns="64008" bIns="64008" anchor="ctr" upright="1"/>
            <a:lstStyle/>
            <a:p>
              <a:pPr algn="ctr" rtl="0">
                <a:defRPr sz="1000"/>
              </a:pPr>
              <a:r>
                <a:rPr lang="fr-FR" sz="2200" b="0" i="0" u="none" strike="noStrike" baseline="0">
                  <a:solidFill>
                    <a:srgbClr val="000000"/>
                  </a:solidFill>
                  <a:latin typeface="Calibri"/>
                </a:rPr>
                <a:t>RUN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158750</xdr:colOff>
          <xdr:row>0</xdr:row>
          <xdr:rowOff>38100</xdr:rowOff>
        </xdr:from>
        <xdr:to>
          <xdr:col>2</xdr:col>
          <xdr:colOff>0</xdr:colOff>
          <xdr:row>0</xdr:row>
          <xdr:rowOff>425450</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64008" tIns="64008" rIns="64008" bIns="64008" anchor="ctr" upright="1"/>
            <a:lstStyle/>
            <a:p>
              <a:pPr algn="ctr" rtl="0">
                <a:defRPr sz="1000"/>
              </a:pPr>
              <a:r>
                <a:rPr lang="fr-FR" sz="2200" b="0" i="0" u="none" strike="noStrike" baseline="0">
                  <a:solidFill>
                    <a:srgbClr val="000000"/>
                  </a:solidFill>
                  <a:latin typeface="Calibri"/>
                </a:rPr>
                <a:t>RUN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158750</xdr:colOff>
          <xdr:row>0</xdr:row>
          <xdr:rowOff>38100</xdr:rowOff>
        </xdr:from>
        <xdr:to>
          <xdr:col>2</xdr:col>
          <xdr:colOff>0</xdr:colOff>
          <xdr:row>1</xdr:row>
          <xdr:rowOff>425450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64008" tIns="64008" rIns="64008" bIns="64008" anchor="ctr" upright="1"/>
            <a:lstStyle/>
            <a:p>
              <a:pPr algn="ctr" rtl="0">
                <a:defRPr sz="1000"/>
              </a:pPr>
              <a:r>
                <a:rPr lang="fr-FR" sz="2200" b="0" i="0" u="none" strike="noStrike" baseline="0">
                  <a:solidFill>
                    <a:srgbClr val="000000"/>
                  </a:solidFill>
                  <a:latin typeface="Calibri"/>
                </a:rPr>
                <a:t>RUN !!!</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issela/Documents/threeme/T3ME63/DC32/tee_2006_Base200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Gissela/Documents/threeme/DC34FR/tee_2006_Base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Gissela/Documents/threeme/donn&#233;es%20m&#233;nages/Transport/parc%20et%20parcours%20moyen%20des%20v&#233;hicules%20en%20servic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anisation du TEE"/>
      <sheetName val="EA_2006"/>
      <sheetName val="RP_2006"/>
      <sheetName val="TES17"/>
      <sheetName val="CpteMenage_t_7401"/>
      <sheetName val="TEE_2006_COMPLET"/>
    </sheetNames>
    <sheetDataSet>
      <sheetData sheetId="0"/>
      <sheetData sheetId="1"/>
      <sheetData sheetId="2"/>
      <sheetData sheetId="3"/>
      <sheetData sheetId="4"/>
      <sheetData sheetId="5">
        <row r="2">
          <cell r="AM2">
            <v>1159.3821799999998</v>
          </cell>
        </row>
        <row r="8">
          <cell r="AN8">
            <v>-97.527000000000001</v>
          </cell>
        </row>
        <row r="9">
          <cell r="AN9">
            <v>-23.545000000000002</v>
          </cell>
        </row>
        <row r="12">
          <cell r="AM12">
            <v>116.30900000000001</v>
          </cell>
        </row>
        <row r="18">
          <cell r="AM18">
            <v>355.01299999999998</v>
          </cell>
        </row>
        <row r="19">
          <cell r="AM19">
            <v>-157.53700000000001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anisation du TEE"/>
      <sheetName val="EA_2006"/>
      <sheetName val="RP_2006"/>
      <sheetName val="TES17"/>
      <sheetName val="CpteMenage_t_7401"/>
      <sheetName val="TEE_2006_COMPLET"/>
    </sheetNames>
    <sheetDataSet>
      <sheetData sheetId="0"/>
      <sheetData sheetId="1"/>
      <sheetData sheetId="2"/>
      <sheetData sheetId="3"/>
      <sheetData sheetId="4"/>
      <sheetData sheetId="5">
        <row r="3">
          <cell r="AM3">
            <v>947.28121999999996</v>
          </cell>
        </row>
        <row r="7">
          <cell r="AN7">
            <v>-249.07300000000001</v>
          </cell>
        </row>
        <row r="8">
          <cell r="AN8">
            <v>-97.527000000000001</v>
          </cell>
        </row>
        <row r="9">
          <cell r="AN9">
            <v>-23.545000000000002</v>
          </cell>
        </row>
        <row r="10">
          <cell r="AM10">
            <v>261.53044999999997</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nnées"/>
    </sheetNames>
    <sheetDataSet>
      <sheetData sheetId="0">
        <row r="5">
          <cell r="R5">
            <v>30250</v>
          </cell>
        </row>
        <row r="15">
          <cell r="R15">
            <v>12990.548540991718</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7"/>
  <sheetViews>
    <sheetView workbookViewId="0">
      <selection activeCell="I1" sqref="I1"/>
    </sheetView>
  </sheetViews>
  <sheetFormatPr baseColWidth="10" defaultColWidth="11.453125" defaultRowHeight="14.5" x14ac:dyDescent="0.35"/>
  <sheetData>
    <row r="1" spans="1:9" ht="98" customHeight="1" x14ac:dyDescent="0.35">
      <c r="A1" s="448" t="s">
        <v>77</v>
      </c>
      <c r="B1" s="448"/>
      <c r="C1" s="448"/>
      <c r="D1" s="448"/>
      <c r="E1" s="448"/>
      <c r="F1" s="448"/>
      <c r="G1" s="448"/>
    </row>
    <row r="2" spans="1:9" ht="35" customHeight="1" x14ac:dyDescent="0.35">
      <c r="A2" s="15" t="s">
        <v>19</v>
      </c>
      <c r="B2" s="16"/>
      <c r="C2" s="16"/>
      <c r="D2" s="16"/>
      <c r="E2" s="16"/>
      <c r="F2" s="16"/>
      <c r="G2" s="16"/>
    </row>
    <row r="3" spans="1:9" ht="36.65" customHeight="1" x14ac:dyDescent="0.35">
      <c r="A3" s="17" t="s">
        <v>20</v>
      </c>
      <c r="B3" s="16"/>
      <c r="C3" s="16"/>
      <c r="D3" s="16"/>
      <c r="E3" s="16"/>
      <c r="F3" s="16"/>
      <c r="G3" s="16"/>
    </row>
    <row r="5" spans="1:9" x14ac:dyDescent="0.35">
      <c r="A5" s="20" t="s">
        <v>36</v>
      </c>
      <c r="B5" s="19"/>
      <c r="C5" s="19"/>
      <c r="D5" s="19"/>
      <c r="E5" s="19"/>
      <c r="F5" s="19"/>
      <c r="G5" s="19"/>
      <c r="H5" s="19"/>
      <c r="I5" s="19"/>
    </row>
    <row r="6" spans="1:9" x14ac:dyDescent="0.35">
      <c r="A6" s="20" t="s">
        <v>35</v>
      </c>
      <c r="B6" s="19"/>
      <c r="C6" s="19"/>
      <c r="D6" s="19"/>
      <c r="E6" s="19"/>
      <c r="F6" s="19"/>
      <c r="G6" s="19"/>
      <c r="H6" s="19"/>
      <c r="I6" s="19"/>
    </row>
    <row r="7" spans="1:9" x14ac:dyDescent="0.35">
      <c r="A7" t="s">
        <v>50</v>
      </c>
    </row>
  </sheetData>
  <mergeCells count="1">
    <mergeCell ref="A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rgb="FFFF0000"/>
  </sheetPr>
  <dimension ref="A1:AD35"/>
  <sheetViews>
    <sheetView topLeftCell="A7" zoomScale="85" zoomScaleNormal="85" workbookViewId="0">
      <selection activeCell="A35" sqref="A35"/>
    </sheetView>
  </sheetViews>
  <sheetFormatPr baseColWidth="10" defaultColWidth="11.54296875" defaultRowHeight="14.5" x14ac:dyDescent="0.35"/>
  <cols>
    <col min="1" max="1" width="16.6328125" style="163" customWidth="1"/>
    <col min="2" max="2" width="22.6328125" style="163" customWidth="1"/>
    <col min="3" max="3" width="20.453125" style="163" customWidth="1"/>
    <col min="4" max="4" width="15.36328125" style="163" customWidth="1"/>
    <col min="5" max="5" width="14.6328125" style="163" customWidth="1"/>
    <col min="6" max="6" width="16.6328125" style="163" customWidth="1"/>
    <col min="7" max="7" width="15.54296875" style="163" customWidth="1"/>
    <col min="8" max="8" width="16" style="163" customWidth="1"/>
    <col min="9" max="9" width="11.54296875" style="163"/>
    <col min="10" max="10" width="15.6328125" style="163" customWidth="1"/>
    <col min="11" max="16384" width="11.54296875" style="163"/>
  </cols>
  <sheetData>
    <row r="1" spans="1:30" ht="29" x14ac:dyDescent="0.3">
      <c r="A1" s="133"/>
      <c r="B1" s="133"/>
      <c r="C1" s="133" t="s">
        <v>0</v>
      </c>
      <c r="D1" s="133" t="s">
        <v>1</v>
      </c>
      <c r="E1" s="133" t="s">
        <v>2</v>
      </c>
      <c r="F1" s="133" t="s">
        <v>3</v>
      </c>
      <c r="G1" s="133" t="s">
        <v>4</v>
      </c>
      <c r="H1" s="133" t="s">
        <v>46</v>
      </c>
      <c r="I1" s="133"/>
      <c r="J1" s="172" t="s">
        <v>738</v>
      </c>
      <c r="K1" s="172"/>
      <c r="L1" s="133"/>
      <c r="M1" s="172" t="s">
        <v>533</v>
      </c>
      <c r="N1" s="133"/>
      <c r="O1" s="133" t="s">
        <v>653</v>
      </c>
      <c r="P1" s="133"/>
      <c r="Q1" s="133"/>
      <c r="R1" s="133"/>
      <c r="S1" s="133"/>
      <c r="T1" s="133"/>
      <c r="U1" s="133"/>
      <c r="V1" s="133"/>
      <c r="W1" s="133"/>
      <c r="X1" s="133"/>
      <c r="Y1" s="133"/>
      <c r="Z1" s="133"/>
      <c r="AA1" s="133"/>
      <c r="AB1" s="133"/>
      <c r="AC1" s="133"/>
      <c r="AD1" s="133"/>
    </row>
    <row r="2" spans="1:30" ht="14.4" x14ac:dyDescent="0.3">
      <c r="A2" s="182" t="s">
        <v>739</v>
      </c>
      <c r="B2" s="134"/>
      <c r="C2" s="134"/>
      <c r="D2" s="134"/>
      <c r="E2" s="134"/>
      <c r="F2" s="134"/>
      <c r="G2" s="134"/>
      <c r="H2" s="134"/>
      <c r="I2" s="250"/>
      <c r="J2" s="134"/>
      <c r="K2" s="132"/>
    </row>
    <row r="3" spans="1:30" ht="14.4" x14ac:dyDescent="0.3">
      <c r="A3" s="133"/>
      <c r="B3" s="342" t="s">
        <v>79</v>
      </c>
      <c r="C3" s="358">
        <f>$J3*Q3*C$13*$K3</f>
        <v>415.0023162585594</v>
      </c>
      <c r="D3" s="358">
        <f t="shared" ref="C3:G9" si="0">$J3*R3*D$13*$K3</f>
        <v>440.98241269043405</v>
      </c>
      <c r="E3" s="358">
        <f t="shared" si="0"/>
        <v>651.9821134323048</v>
      </c>
      <c r="F3" s="358">
        <f t="shared" si="0"/>
        <v>365.37986598066931</v>
      </c>
      <c r="G3" s="358">
        <f t="shared" si="0"/>
        <v>202.83049163803253</v>
      </c>
      <c r="H3" s="358">
        <f>SUM(C3:G3)</f>
        <v>2076.1772000000001</v>
      </c>
      <c r="I3" s="359">
        <f>J3-H3</f>
        <v>0</v>
      </c>
      <c r="J3" s="356">
        <v>2076.1772000000001</v>
      </c>
      <c r="K3" s="347">
        <v>1.0952011341313845</v>
      </c>
      <c r="O3" s="173"/>
      <c r="P3" s="135" t="s">
        <v>79</v>
      </c>
      <c r="Q3" s="346">
        <v>0.25</v>
      </c>
      <c r="R3" s="346">
        <v>0.2</v>
      </c>
      <c r="S3" s="346">
        <v>0.35</v>
      </c>
      <c r="T3" s="346">
        <v>0.13</v>
      </c>
      <c r="U3" s="346">
        <v>7.0000000000000007E-2</v>
      </c>
      <c r="V3" s="262">
        <f>SUM(Q3:U3)</f>
        <v>1</v>
      </c>
      <c r="X3" s="135" t="s">
        <v>79</v>
      </c>
      <c r="Y3" s="357">
        <f t="shared" ref="Y3:AC9" si="1">C3/$J3</f>
        <v>0.19988771491111615</v>
      </c>
      <c r="Z3" s="246">
        <f t="shared" si="1"/>
        <v>0.21240114412702057</v>
      </c>
      <c r="AA3" s="246">
        <f t="shared" si="1"/>
        <v>0.31403009022173289</v>
      </c>
      <c r="AB3" s="246">
        <f t="shared" si="1"/>
        <v>0.17598684061296371</v>
      </c>
      <c r="AC3" s="246">
        <f t="shared" si="1"/>
        <v>9.7694210127166656E-2</v>
      </c>
      <c r="AD3" s="262">
        <f>SUM(Y3:AC3)</f>
        <v>0.99999999999999989</v>
      </c>
    </row>
    <row r="4" spans="1:30" ht="14.4" x14ac:dyDescent="0.3">
      <c r="A4" s="133"/>
      <c r="B4" s="135" t="s">
        <v>80</v>
      </c>
      <c r="C4" s="343">
        <f t="shared" si="0"/>
        <v>279185.09694052086</v>
      </c>
      <c r="D4" s="343">
        <f t="shared" si="0"/>
        <v>317852.91864493041</v>
      </c>
      <c r="E4" s="343">
        <f t="shared" si="0"/>
        <v>402804.04782276426</v>
      </c>
      <c r="F4" s="343">
        <f t="shared" si="0"/>
        <v>310629.55264400662</v>
      </c>
      <c r="G4" s="343">
        <f t="shared" si="0"/>
        <v>236699.75044777823</v>
      </c>
      <c r="H4" s="343">
        <f t="shared" ref="H4:H9" si="2">SUM(C4:G4)</f>
        <v>1547171.3665000005</v>
      </c>
      <c r="I4" s="344">
        <f t="shared" ref="I4:I9" si="3">J4-H4</f>
        <v>0</v>
      </c>
      <c r="J4" s="356">
        <v>1547171.3665000002</v>
      </c>
      <c r="K4" s="347">
        <v>1.0593142570187439</v>
      </c>
      <c r="O4" s="173"/>
      <c r="P4" s="135" t="s">
        <v>80</v>
      </c>
      <c r="Q4" s="266">
        <f>Q$3+(Q$6-Q$3)/3</f>
        <v>0.23333333333333334</v>
      </c>
      <c r="R4" s="266">
        <f>R$3+(R$6-R$3)/3</f>
        <v>0.2</v>
      </c>
      <c r="S4" s="266">
        <f t="shared" ref="S4:U4" si="4">S$3+(S$6-S$3)/3</f>
        <v>0.3</v>
      </c>
      <c r="T4" s="266">
        <f t="shared" si="4"/>
        <v>0.15333333333333335</v>
      </c>
      <c r="U4" s="266">
        <f t="shared" si="4"/>
        <v>0.11333333333333334</v>
      </c>
      <c r="V4" s="262">
        <f t="shared" ref="V4:V9" si="5">SUM(Q4:U4)</f>
        <v>1</v>
      </c>
      <c r="X4" s="135" t="s">
        <v>80</v>
      </c>
      <c r="Y4" s="246">
        <f t="shared" si="1"/>
        <v>0.18044872273721776</v>
      </c>
      <c r="Z4" s="246">
        <f t="shared" si="1"/>
        <v>0.20544131408272825</v>
      </c>
      <c r="AA4" s="246">
        <f t="shared" si="1"/>
        <v>0.26034869604262689</v>
      </c>
      <c r="AB4" s="246">
        <f t="shared" si="1"/>
        <v>0.20077255782383727</v>
      </c>
      <c r="AC4" s="246">
        <f t="shared" si="1"/>
        <v>0.15298870931358993</v>
      </c>
      <c r="AD4" s="262">
        <f t="shared" ref="AD4:AD9" si="6">SUM(Y4:AC4)</f>
        <v>1.0000000000000002</v>
      </c>
    </row>
    <row r="5" spans="1:30" ht="14.4" x14ac:dyDescent="0.3">
      <c r="A5" s="133"/>
      <c r="B5" s="135" t="s">
        <v>81</v>
      </c>
      <c r="C5" s="343">
        <f t="shared" si="0"/>
        <v>684017.51202115091</v>
      </c>
      <c r="D5" s="343">
        <f t="shared" si="0"/>
        <v>760645.02186822367</v>
      </c>
      <c r="E5" s="343">
        <f t="shared" si="0"/>
        <v>1017491.3965358298</v>
      </c>
      <c r="F5" s="343">
        <f t="shared" si="0"/>
        <v>705652.36946235085</v>
      </c>
      <c r="G5" s="343">
        <f t="shared" si="0"/>
        <v>494246.33620275836</v>
      </c>
      <c r="H5" s="343">
        <f t="shared" si="2"/>
        <v>3662052.6360903136</v>
      </c>
      <c r="I5" s="344">
        <f t="shared" si="3"/>
        <v>0</v>
      </c>
      <c r="J5" s="356">
        <v>3662052.6360903136</v>
      </c>
      <c r="K5" s="347">
        <v>1.0710123483044158</v>
      </c>
      <c r="L5" s="163" t="s">
        <v>656</v>
      </c>
      <c r="M5" s="355">
        <f>SUM(I3:I9,C11:G11)</f>
        <v>-4.1909515857696533E-9</v>
      </c>
      <c r="O5" s="173"/>
      <c r="P5" s="135" t="s">
        <v>81</v>
      </c>
      <c r="Q5" s="266">
        <f>Q3+(Q$6-Q$4)/3</f>
        <v>0.2388888888888889</v>
      </c>
      <c r="R5" s="266">
        <f t="shared" ref="R5:U5" si="7">R3+(R$6-R$4)/3</f>
        <v>0.2</v>
      </c>
      <c r="S5" s="266">
        <f t="shared" si="7"/>
        <v>0.31666666666666665</v>
      </c>
      <c r="T5" s="266">
        <f t="shared" si="7"/>
        <v>0.14555555555555555</v>
      </c>
      <c r="U5" s="266">
        <f t="shared" si="7"/>
        <v>9.8888888888888901E-2</v>
      </c>
      <c r="V5" s="262">
        <f t="shared" si="5"/>
        <v>1</v>
      </c>
      <c r="X5" s="135" t="s">
        <v>81</v>
      </c>
      <c r="Y5" s="246">
        <f t="shared" si="1"/>
        <v>0.18678527590783697</v>
      </c>
      <c r="Z5" s="246">
        <f t="shared" si="1"/>
        <v>0.20771001879435155</v>
      </c>
      <c r="AA5" s="246">
        <f t="shared" si="1"/>
        <v>0.27784728884239235</v>
      </c>
      <c r="AB5" s="246">
        <f t="shared" si="1"/>
        <v>0.19269312584641615</v>
      </c>
      <c r="AC5" s="246">
        <f t="shared" si="1"/>
        <v>0.13496429060900295</v>
      </c>
      <c r="AD5" s="262">
        <f t="shared" si="6"/>
        <v>1</v>
      </c>
    </row>
    <row r="6" spans="1:30" ht="14.4" x14ac:dyDescent="0.3">
      <c r="A6" s="133"/>
      <c r="B6" s="135" t="s">
        <v>82</v>
      </c>
      <c r="C6" s="343">
        <f t="shared" si="0"/>
        <v>744202.74952577613</v>
      </c>
      <c r="D6" s="343">
        <f t="shared" si="0"/>
        <v>988489.43475614546</v>
      </c>
      <c r="E6" s="343">
        <f t="shared" si="0"/>
        <v>835119.05914907285</v>
      </c>
      <c r="F6" s="343">
        <f t="shared" si="0"/>
        <v>1260033.28652212</v>
      </c>
      <c r="G6" s="343">
        <f t="shared" si="0"/>
        <v>1299020.3707565751</v>
      </c>
      <c r="H6" s="343">
        <f t="shared" si="2"/>
        <v>5126864.9007096896</v>
      </c>
      <c r="I6" s="344">
        <f t="shared" si="3"/>
        <v>0</v>
      </c>
      <c r="J6" s="356">
        <v>5126864.9007096859</v>
      </c>
      <c r="K6" s="347">
        <v>0.99416207432039472</v>
      </c>
      <c r="L6" s="163" t="s">
        <v>655</v>
      </c>
      <c r="M6" s="163">
        <f>STDEVPA(I3:I9,C11:G11)</f>
        <v>1.1583178270452422E-9</v>
      </c>
      <c r="O6" s="173"/>
      <c r="P6" s="135" t="s">
        <v>82</v>
      </c>
      <c r="Q6" s="346">
        <v>0.2</v>
      </c>
      <c r="R6" s="346">
        <v>0.2</v>
      </c>
      <c r="S6" s="346">
        <v>0.2</v>
      </c>
      <c r="T6" s="346">
        <v>0.2</v>
      </c>
      <c r="U6" s="346">
        <v>0.2</v>
      </c>
      <c r="V6" s="262">
        <f t="shared" si="5"/>
        <v>1</v>
      </c>
      <c r="X6" s="135" t="s">
        <v>82</v>
      </c>
      <c r="Y6" s="246">
        <f t="shared" si="1"/>
        <v>0.14515747224444317</v>
      </c>
      <c r="Z6" s="246">
        <f t="shared" si="1"/>
        <v>0.19280582849361097</v>
      </c>
      <c r="AA6" s="246">
        <f t="shared" si="1"/>
        <v>0.16289078712284219</v>
      </c>
      <c r="AB6" s="246">
        <f t="shared" si="1"/>
        <v>0.24577072166416947</v>
      </c>
      <c r="AC6" s="246">
        <f t="shared" si="1"/>
        <v>0.25337519047493495</v>
      </c>
      <c r="AD6" s="262">
        <f t="shared" si="6"/>
        <v>1.0000000000000009</v>
      </c>
    </row>
    <row r="7" spans="1:30" ht="14.4" x14ac:dyDescent="0.3">
      <c r="A7" s="133"/>
      <c r="B7" s="135" t="s">
        <v>83</v>
      </c>
      <c r="C7" s="343">
        <f t="shared" si="0"/>
        <v>1501505.3817694921</v>
      </c>
      <c r="D7" s="343">
        <f t="shared" si="0"/>
        <v>2248980.3785635922</v>
      </c>
      <c r="E7" s="343">
        <f t="shared" si="0"/>
        <v>2688731.4286135123</v>
      </c>
      <c r="F7" s="343">
        <f t="shared" si="0"/>
        <v>3245420.9362897016</v>
      </c>
      <c r="G7" s="343">
        <f t="shared" si="0"/>
        <v>3624658.3978637131</v>
      </c>
      <c r="H7" s="343">
        <f t="shared" si="2"/>
        <v>13309296.523100011</v>
      </c>
      <c r="I7" s="344">
        <f t="shared" si="3"/>
        <v>0</v>
      </c>
      <c r="J7" s="356">
        <v>13309296.5231</v>
      </c>
      <c r="K7" s="347">
        <v>0.9863770960394298</v>
      </c>
      <c r="O7" s="173"/>
      <c r="P7" s="135" t="s">
        <v>83</v>
      </c>
      <c r="Q7" s="267">
        <f>Q6+(Q$9-Q$6)/3</f>
        <v>0.15666666666666668</v>
      </c>
      <c r="R7" s="267">
        <f t="shared" ref="R7:U7" si="8">R6+(R$9-R$6)/3</f>
        <v>0.17666666666666667</v>
      </c>
      <c r="S7" s="267">
        <f t="shared" si="8"/>
        <v>0.25</v>
      </c>
      <c r="T7" s="267">
        <f t="shared" si="8"/>
        <v>0.2</v>
      </c>
      <c r="U7" s="267">
        <f t="shared" si="8"/>
        <v>0.21666666666666667</v>
      </c>
      <c r="V7" s="262">
        <f t="shared" si="5"/>
        <v>1</v>
      </c>
      <c r="X7" s="135" t="s">
        <v>83</v>
      </c>
      <c r="Y7" s="246">
        <f t="shared" si="1"/>
        <v>0.11281628440417087</v>
      </c>
      <c r="Z7" s="246">
        <f t="shared" si="1"/>
        <v>0.16897815558171664</v>
      </c>
      <c r="AA7" s="246">
        <f t="shared" si="1"/>
        <v>0.20201904916213057</v>
      </c>
      <c r="AB7" s="246">
        <f t="shared" si="1"/>
        <v>0.24384616652404245</v>
      </c>
      <c r="AC7" s="246">
        <f t="shared" si="1"/>
        <v>0.27234034432794035</v>
      </c>
      <c r="AD7" s="262">
        <f t="shared" si="6"/>
        <v>1.0000000000000009</v>
      </c>
    </row>
    <row r="8" spans="1:30" ht="14.4" x14ac:dyDescent="0.3">
      <c r="A8" s="133"/>
      <c r="B8" s="135" t="s">
        <v>84</v>
      </c>
      <c r="C8" s="343">
        <f t="shared" si="0"/>
        <v>579966.01360850781</v>
      </c>
      <c r="D8" s="343">
        <f t="shared" si="0"/>
        <v>830368.13153059129</v>
      </c>
      <c r="E8" s="343">
        <f t="shared" si="0"/>
        <v>887479.32285158162</v>
      </c>
      <c r="F8" s="343">
        <f t="shared" si="0"/>
        <v>1147744.1199812961</v>
      </c>
      <c r="G8" s="343">
        <f t="shared" si="0"/>
        <v>1248993.3205280253</v>
      </c>
      <c r="H8" s="343">
        <f t="shared" si="2"/>
        <v>4694550.9085000027</v>
      </c>
      <c r="I8" s="344">
        <f t="shared" si="3"/>
        <v>0</v>
      </c>
      <c r="J8" s="356">
        <v>4694550.9084999999</v>
      </c>
      <c r="K8" s="347">
        <v>0.98895850628465687</v>
      </c>
      <c r="O8" s="173"/>
      <c r="P8" s="135" t="s">
        <v>84</v>
      </c>
      <c r="Q8" s="266">
        <f>Q6+(Q$9-Q$7)/3</f>
        <v>0.17111111111111113</v>
      </c>
      <c r="R8" s="266">
        <f t="shared" ref="R8:U8" si="9">R6+(R$9-R$7)/3</f>
        <v>0.18444444444444447</v>
      </c>
      <c r="S8" s="266">
        <f t="shared" si="9"/>
        <v>0.23333333333333334</v>
      </c>
      <c r="T8" s="266">
        <f t="shared" si="9"/>
        <v>0.2</v>
      </c>
      <c r="U8" s="266">
        <f t="shared" si="9"/>
        <v>0.21111111111111111</v>
      </c>
      <c r="V8" s="262">
        <f t="shared" si="5"/>
        <v>1</v>
      </c>
      <c r="X8" s="135" t="s">
        <v>84</v>
      </c>
      <c r="Y8" s="246">
        <f t="shared" si="1"/>
        <v>0.12354025441675702</v>
      </c>
      <c r="Z8" s="246">
        <f t="shared" si="1"/>
        <v>0.17687914088376774</v>
      </c>
      <c r="AA8" s="246">
        <f t="shared" si="1"/>
        <v>0.18904456254691004</v>
      </c>
      <c r="AB8" s="246">
        <f t="shared" si="1"/>
        <v>0.24448432711703677</v>
      </c>
      <c r="AC8" s="246">
        <f t="shared" si="1"/>
        <v>0.26605171503552888</v>
      </c>
      <c r="AD8" s="262">
        <f t="shared" si="6"/>
        <v>1.0000000000000004</v>
      </c>
    </row>
    <row r="9" spans="1:30" ht="14.4" x14ac:dyDescent="0.3">
      <c r="A9" s="133"/>
      <c r="B9" s="135" t="s">
        <v>85</v>
      </c>
      <c r="C9" s="358">
        <f t="shared" si="0"/>
        <v>106751.92381829786</v>
      </c>
      <c r="D9" s="343">
        <f t="shared" si="0"/>
        <v>263330.87622383033</v>
      </c>
      <c r="E9" s="343">
        <f t="shared" si="0"/>
        <v>598966.92291381117</v>
      </c>
      <c r="F9" s="343">
        <f t="shared" si="0"/>
        <v>516414.4832345465</v>
      </c>
      <c r="G9" s="343">
        <f t="shared" si="0"/>
        <v>665491.28170951409</v>
      </c>
      <c r="H9" s="343">
        <f t="shared" si="2"/>
        <v>2150955.4879000001</v>
      </c>
      <c r="I9" s="344">
        <f t="shared" si="3"/>
        <v>0</v>
      </c>
      <c r="J9" s="356">
        <v>2150955.4879000001</v>
      </c>
      <c r="K9" s="347">
        <v>0.97116726999717029</v>
      </c>
      <c r="O9" s="173"/>
      <c r="P9" s="135" t="s">
        <v>85</v>
      </c>
      <c r="Q9" s="346">
        <f>U3</f>
        <v>7.0000000000000007E-2</v>
      </c>
      <c r="R9" s="346">
        <f>T3</f>
        <v>0.13</v>
      </c>
      <c r="S9" s="346">
        <f>S3</f>
        <v>0.35</v>
      </c>
      <c r="T9" s="346">
        <f>R3</f>
        <v>0.2</v>
      </c>
      <c r="U9" s="346">
        <f>Q3</f>
        <v>0.25</v>
      </c>
      <c r="V9" s="262">
        <f t="shared" si="5"/>
        <v>1</v>
      </c>
      <c r="X9" s="135" t="s">
        <v>85</v>
      </c>
      <c r="Y9" s="246">
        <f t="shared" si="1"/>
        <v>4.9630001373259867E-2</v>
      </c>
      <c r="Z9" s="246">
        <f t="shared" si="1"/>
        <v>0.12242507002361215</v>
      </c>
      <c r="AA9" s="246">
        <f t="shared" si="1"/>
        <v>0.2784655127840831</v>
      </c>
      <c r="AB9" s="246">
        <f t="shared" si="1"/>
        <v>0.24008608552784477</v>
      </c>
      <c r="AC9" s="246">
        <f t="shared" si="1"/>
        <v>0.30939333029120009</v>
      </c>
      <c r="AD9" s="262">
        <f t="shared" si="6"/>
        <v>0.99999999999999989</v>
      </c>
    </row>
    <row r="10" spans="1:30" ht="14.4" x14ac:dyDescent="0.3">
      <c r="A10" s="133"/>
      <c r="B10" s="166"/>
      <c r="C10" s="360">
        <f>SUM(C3:C9)</f>
        <v>3896043.6800000044</v>
      </c>
      <c r="D10" s="360">
        <f t="shared" ref="D10:G10" si="10">SUM(D3:D9)</f>
        <v>5410107.7440000037</v>
      </c>
      <c r="E10" s="360">
        <f t="shared" si="10"/>
        <v>6431244.1600000048</v>
      </c>
      <c r="F10" s="360">
        <f t="shared" si="10"/>
        <v>7186260.1280000024</v>
      </c>
      <c r="G10" s="360">
        <f t="shared" si="10"/>
        <v>7569312.2880000025</v>
      </c>
      <c r="H10" s="363">
        <f>SUM(C10:G10)</f>
        <v>30492968.000000019</v>
      </c>
      <c r="I10" s="252"/>
      <c r="J10" s="337"/>
      <c r="K10" s="337"/>
      <c r="O10" s="173"/>
      <c r="P10" s="166"/>
      <c r="Q10" s="340"/>
      <c r="R10" s="340"/>
      <c r="S10" s="340"/>
      <c r="T10" s="340"/>
      <c r="U10" s="340"/>
      <c r="V10" s="341"/>
      <c r="X10" s="166"/>
      <c r="Y10" s="249"/>
      <c r="Z10" s="249"/>
      <c r="AA10" s="249"/>
      <c r="AB10" s="249"/>
      <c r="AC10" s="249"/>
      <c r="AD10" s="341"/>
    </row>
    <row r="11" spans="1:30" ht="14.4" x14ac:dyDescent="0.3">
      <c r="A11" s="133"/>
      <c r="B11" s="166"/>
      <c r="C11" s="361">
        <f>C12-C10</f>
        <v>-4.1909515857696533E-9</v>
      </c>
      <c r="D11" s="249">
        <f t="shared" ref="D11:G11" si="11">D12-D10</f>
        <v>0</v>
      </c>
      <c r="E11" s="249">
        <f t="shared" si="11"/>
        <v>0</v>
      </c>
      <c r="F11" s="249">
        <f t="shared" si="11"/>
        <v>0</v>
      </c>
      <c r="G11" s="249">
        <f t="shared" si="11"/>
        <v>0</v>
      </c>
      <c r="H11" s="132"/>
      <c r="I11" s="252"/>
      <c r="J11" s="337"/>
      <c r="K11" s="337"/>
      <c r="O11" s="173"/>
      <c r="P11" s="166"/>
      <c r="Q11" s="340"/>
      <c r="R11" s="340"/>
      <c r="S11" s="340"/>
      <c r="T11" s="340"/>
      <c r="U11" s="340"/>
      <c r="V11" s="341"/>
      <c r="X11" s="166"/>
      <c r="Y11" s="249"/>
      <c r="Z11" s="249"/>
      <c r="AA11" s="249"/>
      <c r="AB11" s="249"/>
      <c r="AC11" s="249"/>
      <c r="AD11" s="341"/>
    </row>
    <row r="12" spans="1:30" ht="29" x14ac:dyDescent="0.3">
      <c r="A12" s="172" t="s">
        <v>737</v>
      </c>
      <c r="B12" s="166"/>
      <c r="C12" s="271">
        <v>3896043.68</v>
      </c>
      <c r="D12" s="271">
        <v>5410107.7439999999</v>
      </c>
      <c r="E12" s="271">
        <v>6431244.1600000001</v>
      </c>
      <c r="F12" s="271">
        <v>7186260.1280000005</v>
      </c>
      <c r="G12" s="271">
        <v>7569312.2879999997</v>
      </c>
      <c r="H12" s="271">
        <v>30492968</v>
      </c>
      <c r="I12" s="251">
        <f>J12-H12</f>
        <v>0</v>
      </c>
      <c r="J12" s="362">
        <f>SUM(J3:J9)</f>
        <v>30492968</v>
      </c>
      <c r="K12" s="271"/>
    </row>
    <row r="13" spans="1:30" ht="14.4" x14ac:dyDescent="0.3">
      <c r="C13" s="312">
        <v>0.73004933498228775</v>
      </c>
      <c r="D13" s="312">
        <v>0.96969012132861854</v>
      </c>
      <c r="E13" s="312">
        <v>0.81923657786982906</v>
      </c>
      <c r="F13" s="312">
        <v>1.2360696913135483</v>
      </c>
      <c r="G13" s="312">
        <v>1.2743153104494618</v>
      </c>
    </row>
    <row r="20" spans="1:8" x14ac:dyDescent="0.35">
      <c r="A20" s="354" t="s">
        <v>736</v>
      </c>
    </row>
    <row r="21" spans="1:8" ht="14.4" x14ac:dyDescent="0.3">
      <c r="A21" s="134"/>
      <c r="B21" s="134" t="s">
        <v>732</v>
      </c>
      <c r="C21" s="134"/>
      <c r="D21" s="134"/>
      <c r="E21" s="134"/>
    </row>
    <row r="22" spans="1:8" ht="43.5" x14ac:dyDescent="0.35">
      <c r="A22" s="349" t="s">
        <v>733</v>
      </c>
      <c r="B22" s="134" t="s">
        <v>734</v>
      </c>
      <c r="C22" s="134" t="s">
        <v>735</v>
      </c>
      <c r="D22" s="350" t="s">
        <v>550</v>
      </c>
      <c r="E22" s="134"/>
      <c r="F22" s="134"/>
      <c r="G22" s="365" t="s">
        <v>742</v>
      </c>
      <c r="H22" s="365" t="s">
        <v>743</v>
      </c>
    </row>
    <row r="23" spans="1:8" ht="29" x14ac:dyDescent="0.35">
      <c r="A23" s="349" t="s">
        <v>79</v>
      </c>
      <c r="B23" s="134">
        <v>100</v>
      </c>
      <c r="C23" s="351">
        <v>2076.1772000000001</v>
      </c>
      <c r="D23" s="366">
        <f>C23/$C$30</f>
        <v>6.8087081585498666E-5</v>
      </c>
      <c r="E23" s="364">
        <f>$E$31*D23</f>
        <v>2.0596342179613347</v>
      </c>
      <c r="F23" s="348" t="s">
        <v>740</v>
      </c>
      <c r="G23" s="134" t="e">
        <f>G20/$A$3</f>
        <v>#DIV/0!</v>
      </c>
      <c r="H23" s="134" t="e">
        <f>H20/$A$3</f>
        <v>#DIV/0!</v>
      </c>
    </row>
    <row r="24" spans="1:8" ht="29" x14ac:dyDescent="0.35">
      <c r="A24" s="349" t="s">
        <v>80</v>
      </c>
      <c r="B24" s="134">
        <v>120</v>
      </c>
      <c r="C24" s="351">
        <v>1547171.3665000002</v>
      </c>
      <c r="D24" s="352">
        <f>C24/$C$30</f>
        <v>5.0738628214216479E-2</v>
      </c>
      <c r="E24" s="364">
        <f t="shared" ref="E24:E30" si="12">$E$31*D24</f>
        <v>1534.8435034800484</v>
      </c>
      <c r="F24" s="348" t="s">
        <v>741</v>
      </c>
      <c r="G24" s="364">
        <f>SUM(E23:E25)/E30</f>
        <v>0.17090170362525267</v>
      </c>
      <c r="H24" s="364">
        <f>SUM(E26:E29)/E30</f>
        <v>0.8290982963747473</v>
      </c>
    </row>
    <row r="25" spans="1:8" x14ac:dyDescent="0.35">
      <c r="A25" s="349" t="s">
        <v>81</v>
      </c>
      <c r="B25" s="134">
        <v>140</v>
      </c>
      <c r="C25" s="351">
        <v>3662052.6360903136</v>
      </c>
      <c r="D25" s="352">
        <f t="shared" ref="D25:D30" si="13">C25/$C$30</f>
        <v>0.1200949883294507</v>
      </c>
      <c r="E25" s="364">
        <f t="shared" si="12"/>
        <v>3632.8733969658838</v>
      </c>
    </row>
    <row r="26" spans="1:8" x14ac:dyDescent="0.35">
      <c r="A26" s="349" t="s">
        <v>82</v>
      </c>
      <c r="B26" s="134">
        <v>160</v>
      </c>
      <c r="C26" s="351">
        <v>5126864.9007096859</v>
      </c>
      <c r="D26" s="352">
        <f t="shared" si="13"/>
        <v>0.16813269540405795</v>
      </c>
      <c r="E26" s="364">
        <f t="shared" si="12"/>
        <v>5086.0140359727529</v>
      </c>
    </row>
    <row r="27" spans="1:8" x14ac:dyDescent="0.35">
      <c r="A27" s="349" t="s">
        <v>83</v>
      </c>
      <c r="B27" s="134">
        <v>200</v>
      </c>
      <c r="C27" s="351">
        <v>13309296.5231</v>
      </c>
      <c r="D27" s="352">
        <f t="shared" si="13"/>
        <v>0.43647100941764672</v>
      </c>
      <c r="E27" s="364">
        <f t="shared" si="12"/>
        <v>13203.248034883813</v>
      </c>
    </row>
    <row r="28" spans="1:8" x14ac:dyDescent="0.35">
      <c r="A28" s="349" t="s">
        <v>84</v>
      </c>
      <c r="B28" s="134">
        <v>250</v>
      </c>
      <c r="C28" s="351">
        <v>4694550.9084999999</v>
      </c>
      <c r="D28" s="352">
        <f t="shared" si="13"/>
        <v>0.15395519742453406</v>
      </c>
      <c r="E28" s="364">
        <f t="shared" si="12"/>
        <v>4657.1447220921555</v>
      </c>
    </row>
    <row r="29" spans="1:8" x14ac:dyDescent="0.35">
      <c r="A29" s="349" t="s">
        <v>85</v>
      </c>
      <c r="B29" s="353">
        <v>475</v>
      </c>
      <c r="C29" s="351">
        <v>2150955.4879000001</v>
      </c>
      <c r="D29" s="352">
        <f t="shared" si="13"/>
        <v>7.0539394128508584E-2</v>
      </c>
      <c r="E29" s="364">
        <f t="shared" si="12"/>
        <v>2133.8166723873846</v>
      </c>
    </row>
    <row r="30" spans="1:8" x14ac:dyDescent="0.35">
      <c r="A30" s="134"/>
      <c r="B30" s="134"/>
      <c r="C30" s="351">
        <v>30492968</v>
      </c>
      <c r="D30" s="352">
        <f t="shared" si="13"/>
        <v>1</v>
      </c>
      <c r="E30" s="364">
        <f t="shared" si="12"/>
        <v>30250</v>
      </c>
    </row>
    <row r="31" spans="1:8" x14ac:dyDescent="0.35">
      <c r="E31" s="163">
        <v>30250</v>
      </c>
    </row>
    <row r="32" spans="1:8" x14ac:dyDescent="0.35">
      <c r="A32" s="134">
        <v>1</v>
      </c>
      <c r="B32" s="349">
        <v>2</v>
      </c>
      <c r="C32" s="134">
        <v>3</v>
      </c>
      <c r="D32" s="349">
        <v>4</v>
      </c>
      <c r="E32" s="134">
        <v>5</v>
      </c>
      <c r="F32" s="134"/>
    </row>
    <row r="33" spans="1:6" x14ac:dyDescent="0.35">
      <c r="A33" s="134">
        <f>'Km vehicule'!$N26</f>
        <v>3896</v>
      </c>
      <c r="B33" s="134">
        <f>'Km vehicule'!$N27</f>
        <v>5367</v>
      </c>
      <c r="C33" s="134">
        <f>'Km vehicule'!$N28</f>
        <v>6431</v>
      </c>
      <c r="D33" s="134">
        <f>'Km vehicule'!$N29</f>
        <v>7186</v>
      </c>
      <c r="E33" s="134">
        <f>'Km vehicule'!$N30</f>
        <v>7569</v>
      </c>
      <c r="F33" s="134">
        <f>SUM(A33:E33)</f>
        <v>30449</v>
      </c>
    </row>
    <row r="34" spans="1:6" x14ac:dyDescent="0.35">
      <c r="A34" s="134">
        <f>A33/$F$33</f>
        <v>0.1279516568688627</v>
      </c>
      <c r="B34" s="134">
        <f t="shared" ref="B34:F34" si="14">B33/$F$33</f>
        <v>0.17626194620512989</v>
      </c>
      <c r="C34" s="134">
        <f t="shared" si="14"/>
        <v>0.21120562251633879</v>
      </c>
      <c r="D34" s="134">
        <f t="shared" si="14"/>
        <v>0.2360011823048376</v>
      </c>
      <c r="E34" s="134">
        <f t="shared" si="14"/>
        <v>0.24857959210483102</v>
      </c>
      <c r="F34" s="134">
        <f t="shared" si="14"/>
        <v>1</v>
      </c>
    </row>
    <row r="35" spans="1:6" x14ac:dyDescent="0.35">
      <c r="A35" s="364">
        <f>$C$30*A34</f>
        <v>3901625.7784492103</v>
      </c>
      <c r="B35" s="364">
        <f t="shared" ref="B35:F35" si="15">$C$30*B34</f>
        <v>5374749.8852507472</v>
      </c>
      <c r="C35" s="364">
        <f t="shared" si="15"/>
        <v>6440286.288810798</v>
      </c>
      <c r="D35" s="364">
        <f t="shared" si="15"/>
        <v>7196376.4999835789</v>
      </c>
      <c r="E35" s="364">
        <f t="shared" si="15"/>
        <v>7579929.5475056646</v>
      </c>
      <c r="F35" s="364">
        <f t="shared" si="15"/>
        <v>30492968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Auto">
                <anchor moveWithCells="1" sizeWithCells="1">
                  <from>
                    <xdr:col>1</xdr:col>
                    <xdr:colOff>158750</xdr:colOff>
                    <xdr:row>0</xdr:row>
                    <xdr:rowOff>38100</xdr:rowOff>
                  </from>
                  <to>
                    <xdr:col>2</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88"/>
  <sheetViews>
    <sheetView zoomScale="80" zoomScaleNormal="80" workbookViewId="0">
      <pane xSplit="1" ySplit="2" topLeftCell="B63" activePane="bottomRight" state="frozen"/>
      <selection pane="topRight" activeCell="B1" sqref="B1"/>
      <selection pane="bottomLeft" activeCell="A2" sqref="A2"/>
      <selection pane="bottomRight" activeCell="B70" sqref="B70:F70"/>
    </sheetView>
  </sheetViews>
  <sheetFormatPr baseColWidth="10" defaultColWidth="11.54296875" defaultRowHeight="14.5" x14ac:dyDescent="0.35"/>
  <cols>
    <col min="1" max="1" width="29.08984375" customWidth="1"/>
    <col min="2" max="6" width="12.54296875" bestFit="1" customWidth="1"/>
    <col min="7" max="7" width="15.54296875" style="163" bestFit="1" customWidth="1"/>
    <col min="9" max="9" width="8.453125" customWidth="1"/>
    <col min="16" max="16" width="12.54296875" bestFit="1" customWidth="1"/>
    <col min="17" max="17" width="12.54296875" style="163" bestFit="1" customWidth="1"/>
    <col min="18" max="21" width="21.81640625" style="163" bestFit="1" customWidth="1"/>
    <col min="22" max="22" width="21.81640625" style="381" bestFit="1" customWidth="1"/>
    <col min="23" max="23" width="21.81640625" bestFit="1" customWidth="1"/>
    <col min="24" max="24" width="12.54296875" bestFit="1" customWidth="1"/>
    <col min="25" max="25" width="14.90625" bestFit="1" customWidth="1"/>
  </cols>
  <sheetData>
    <row r="1" spans="1:25" s="163" customFormat="1" ht="33.65" customHeight="1" x14ac:dyDescent="0.35">
      <c r="A1" s="369" t="s">
        <v>785</v>
      </c>
      <c r="B1" s="449" t="s">
        <v>788</v>
      </c>
      <c r="C1" s="450"/>
      <c r="D1" s="450"/>
      <c r="E1" s="450"/>
      <c r="F1" s="450"/>
      <c r="G1" s="450"/>
      <c r="H1" s="381"/>
      <c r="I1" s="381"/>
      <c r="J1" s="381"/>
      <c r="R1" s="451" t="s">
        <v>778</v>
      </c>
      <c r="S1" s="452"/>
      <c r="T1" s="452"/>
      <c r="U1" s="452"/>
      <c r="V1" s="452"/>
      <c r="W1" s="452"/>
      <c r="X1" s="381"/>
    </row>
    <row r="2" spans="1:25" ht="14.4" x14ac:dyDescent="0.3">
      <c r="B2" s="129" t="s">
        <v>0</v>
      </c>
      <c r="C2" s="129" t="s">
        <v>1</v>
      </c>
      <c r="D2" s="129" t="s">
        <v>2</v>
      </c>
      <c r="E2" s="129" t="s">
        <v>3</v>
      </c>
      <c r="F2" s="129" t="s">
        <v>4</v>
      </c>
      <c r="G2" s="129" t="s">
        <v>44</v>
      </c>
      <c r="H2" s="390" t="s">
        <v>531</v>
      </c>
      <c r="I2" s="378" t="s">
        <v>793</v>
      </c>
      <c r="J2" s="390"/>
      <c r="K2" s="129" t="s">
        <v>0</v>
      </c>
      <c r="L2" s="129" t="s">
        <v>1</v>
      </c>
      <c r="M2" s="129" t="s">
        <v>2</v>
      </c>
      <c r="N2" s="129" t="s">
        <v>3</v>
      </c>
      <c r="O2" s="129" t="s">
        <v>4</v>
      </c>
      <c r="P2" s="129" t="s">
        <v>746</v>
      </c>
      <c r="R2" s="129" t="s">
        <v>0</v>
      </c>
      <c r="S2" s="129" t="s">
        <v>1</v>
      </c>
      <c r="T2" s="129" t="s">
        <v>2</v>
      </c>
      <c r="U2" s="129" t="s">
        <v>3</v>
      </c>
      <c r="V2" s="129" t="s">
        <v>4</v>
      </c>
      <c r="W2" s="129" t="s">
        <v>44</v>
      </c>
      <c r="X2" s="379" t="s">
        <v>779</v>
      </c>
      <c r="Y2" s="378" t="s">
        <v>780</v>
      </c>
    </row>
    <row r="3" spans="1:25" ht="28.75" x14ac:dyDescent="0.3">
      <c r="A3" s="370" t="s">
        <v>744</v>
      </c>
      <c r="B3">
        <v>10080</v>
      </c>
      <c r="C3">
        <v>16410</v>
      </c>
      <c r="D3">
        <v>21040</v>
      </c>
      <c r="E3">
        <v>26750</v>
      </c>
      <c r="F3">
        <v>50030</v>
      </c>
      <c r="G3">
        <v>29910</v>
      </c>
      <c r="H3" s="381"/>
      <c r="I3" s="381"/>
      <c r="J3" s="381"/>
      <c r="K3" s="163"/>
      <c r="L3" s="163"/>
      <c r="M3" s="163"/>
      <c r="N3" s="163"/>
      <c r="O3" s="163"/>
      <c r="P3" s="163"/>
      <c r="R3" s="439">
        <f>100-R5</f>
        <v>0</v>
      </c>
      <c r="S3" s="439">
        <f t="shared" ref="S3:V3" si="0">100-S5</f>
        <v>0</v>
      </c>
      <c r="T3" s="439">
        <f t="shared" si="0"/>
        <v>0</v>
      </c>
      <c r="U3" s="439">
        <f t="shared" si="0"/>
        <v>0</v>
      </c>
      <c r="V3" s="439">
        <f t="shared" si="0"/>
        <v>0</v>
      </c>
      <c r="W3" s="439">
        <f>100-W5</f>
        <v>0</v>
      </c>
      <c r="X3" s="381"/>
    </row>
    <row r="4" spans="1:25" s="415" customFormat="1" ht="15.65" x14ac:dyDescent="0.3">
      <c r="A4" s="402" t="s">
        <v>745</v>
      </c>
      <c r="B4" s="402">
        <v>78.7</v>
      </c>
      <c r="C4" s="402">
        <v>130.30000000000001</v>
      </c>
      <c r="D4" s="402">
        <v>169.2</v>
      </c>
      <c r="E4" s="402">
        <v>218</v>
      </c>
      <c r="F4" s="402">
        <v>397.3</v>
      </c>
      <c r="G4" s="402">
        <f>SUM(B4:F4)</f>
        <v>993.5</v>
      </c>
      <c r="H4" s="414"/>
      <c r="I4" s="414"/>
      <c r="J4" s="414"/>
      <c r="K4" s="402">
        <f>B4/$G4</f>
        <v>7.9214896829391049E-2</v>
      </c>
      <c r="L4" s="402">
        <f>C4/$G4</f>
        <v>0.13115249119275291</v>
      </c>
      <c r="M4" s="402">
        <f>D4/$G4</f>
        <v>0.17030699547055861</v>
      </c>
      <c r="N4" s="402">
        <f>E4/$G4</f>
        <v>0.21942627075993962</v>
      </c>
      <c r="O4" s="428">
        <f t="shared" ref="O4:O27" si="1">1-SUM(K4:N4)</f>
        <v>0.39989934574735786</v>
      </c>
      <c r="P4" s="433">
        <f>SUM(K4:O4)</f>
        <v>1</v>
      </c>
      <c r="R4" s="416">
        <f>$X4*K4</f>
        <v>91840.339774534456</v>
      </c>
      <c r="S4" s="416">
        <f>$X4*L4</f>
        <v>152055.86115148463</v>
      </c>
      <c r="T4" s="416">
        <f>$X4*M4</f>
        <v>197450.89567790632</v>
      </c>
      <c r="U4" s="416">
        <f>$X4*N4</f>
        <v>254398.90814292899</v>
      </c>
      <c r="V4" s="416">
        <f>$X4*O4</f>
        <v>463636.17525314534</v>
      </c>
      <c r="W4" s="416">
        <f>SUM(R4:V4)</f>
        <v>1159382.1799999997</v>
      </c>
      <c r="X4" s="417">
        <f>H86</f>
        <v>1159382.1799999997</v>
      </c>
      <c r="Y4" s="441">
        <f>W4-X4</f>
        <v>0</v>
      </c>
    </row>
    <row r="5" spans="1:25" ht="14.4" x14ac:dyDescent="0.3">
      <c r="A5" t="s">
        <v>746</v>
      </c>
      <c r="B5" s="388">
        <f>B7+B30+B39+B46+B48+B57</f>
        <v>100</v>
      </c>
      <c r="C5" s="388">
        <f t="shared" ref="C5:F5" si="2">C7+C30+C39+C46+C48+C57</f>
        <v>100</v>
      </c>
      <c r="D5" s="388">
        <f t="shared" si="2"/>
        <v>100</v>
      </c>
      <c r="E5" s="388">
        <f t="shared" si="2"/>
        <v>100</v>
      </c>
      <c r="F5" s="388">
        <f t="shared" si="2"/>
        <v>100</v>
      </c>
      <c r="G5" s="401">
        <f>G7+G30+G39+G46+G48+G57</f>
        <v>100</v>
      </c>
      <c r="H5" s="381"/>
      <c r="I5" s="381"/>
      <c r="J5" s="381"/>
      <c r="K5" s="129"/>
      <c r="L5" s="129"/>
      <c r="M5" s="129"/>
      <c r="N5" s="129"/>
      <c r="O5" s="428"/>
      <c r="P5" s="434"/>
      <c r="R5" s="440">
        <f>R7+R30+R39+R46+R48+R57</f>
        <v>99.999999999999972</v>
      </c>
      <c r="S5" s="440">
        <f t="shared" ref="S5:U5" si="3">S7+S30+S39+S46+S48+S57</f>
        <v>99.999999999999972</v>
      </c>
      <c r="T5" s="440">
        <f t="shared" si="3"/>
        <v>100</v>
      </c>
      <c r="U5" s="440">
        <f t="shared" si="3"/>
        <v>100</v>
      </c>
      <c r="V5" s="440">
        <f>V7+V30+V39+V46+V48+V57</f>
        <v>100.00000000000001</v>
      </c>
      <c r="W5" s="440">
        <f>W7+W30+W39+W46+W48+W57</f>
        <v>99.999999999999986</v>
      </c>
      <c r="X5" s="381"/>
      <c r="Y5" s="438"/>
    </row>
    <row r="6" spans="1:25" s="415" customFormat="1" ht="15.5" x14ac:dyDescent="0.35">
      <c r="A6" s="402" t="s">
        <v>747</v>
      </c>
      <c r="B6" s="402">
        <f>B$4*B7/100</f>
        <v>52.729000000000006</v>
      </c>
      <c r="C6" s="402">
        <f t="shared" ref="C6:F6" si="4">C$4*C7/100</f>
        <v>122.48200000000001</v>
      </c>
      <c r="D6" s="402">
        <f t="shared" si="4"/>
        <v>172.58399999999997</v>
      </c>
      <c r="E6" s="402">
        <f t="shared" si="4"/>
        <v>226.72</v>
      </c>
      <c r="F6" s="402">
        <f t="shared" si="4"/>
        <v>353.59700000000004</v>
      </c>
      <c r="G6" s="402">
        <f>SUM(B6:F6)</f>
        <v>928.11200000000008</v>
      </c>
      <c r="H6" s="414"/>
      <c r="I6" s="414"/>
      <c r="J6" s="414"/>
      <c r="K6" s="402">
        <f>B6/$G6</f>
        <v>5.6813186339579706E-2</v>
      </c>
      <c r="L6" s="402">
        <f>C6/$G6</f>
        <v>0.13196898650162911</v>
      </c>
      <c r="M6" s="402">
        <f>D6/$G6</f>
        <v>0.18595169548502763</v>
      </c>
      <c r="N6" s="402">
        <f>E6/$G6</f>
        <v>0.24428086265450719</v>
      </c>
      <c r="O6" s="428">
        <f t="shared" si="1"/>
        <v>0.38098526901925633</v>
      </c>
      <c r="P6" s="433">
        <f>SUM(K6:O6)</f>
        <v>1</v>
      </c>
      <c r="R6" s="416">
        <f>R7*R4/100</f>
        <v>59448.193792574435</v>
      </c>
      <c r="S6" s="416">
        <f t="shared" ref="S6:W6" si="5">S7*S4/100</f>
        <v>135946.27932727287</v>
      </c>
      <c r="T6" s="416">
        <f t="shared" si="5"/>
        <v>194148.77778588579</v>
      </c>
      <c r="U6" s="416">
        <f t="shared" si="5"/>
        <v>258007.44072029222</v>
      </c>
      <c r="V6" s="416">
        <f t="shared" si="5"/>
        <v>415001.7363921653</v>
      </c>
      <c r="W6" s="416">
        <f t="shared" si="5"/>
        <v>1062552.4280181907</v>
      </c>
      <c r="X6" s="417">
        <f>X16+X14+X18+X20</f>
        <v>1062552.4280181907</v>
      </c>
      <c r="Y6" s="441">
        <f t="shared" ref="Y6:Y57" si="6">W6-X6</f>
        <v>0</v>
      </c>
    </row>
    <row r="7" spans="1:25" s="387" customFormat="1" ht="14.4" x14ac:dyDescent="0.3">
      <c r="A7" s="391" t="s">
        <v>783</v>
      </c>
      <c r="B7" s="391">
        <v>67</v>
      </c>
      <c r="C7" s="391">
        <v>94</v>
      </c>
      <c r="D7" s="391">
        <v>102</v>
      </c>
      <c r="E7" s="391">
        <v>104</v>
      </c>
      <c r="F7" s="391">
        <v>89</v>
      </c>
      <c r="G7" s="393">
        <f>G6/G4*100</f>
        <v>93.41841972823353</v>
      </c>
      <c r="H7" s="381"/>
      <c r="I7" s="381"/>
      <c r="J7" s="381"/>
      <c r="K7" s="391"/>
      <c r="L7" s="391"/>
      <c r="M7" s="391"/>
      <c r="N7" s="391"/>
      <c r="O7" s="428"/>
      <c r="P7" s="434"/>
      <c r="R7" s="392">
        <f>R10+R21</f>
        <v>64.729936690694018</v>
      </c>
      <c r="S7" s="392">
        <f t="shared" ref="S7:W7" si="7">S10+S21</f>
        <v>89.405484469840545</v>
      </c>
      <c r="T7" s="392">
        <f t="shared" si="7"/>
        <v>98.327625772127604</v>
      </c>
      <c r="U7" s="392">
        <f t="shared" si="7"/>
        <v>101.41845442801029</v>
      </c>
      <c r="V7" s="392">
        <f t="shared" si="7"/>
        <v>89.510214807024994</v>
      </c>
      <c r="W7" s="392">
        <f t="shared" si="7"/>
        <v>91.648159368655371</v>
      </c>
      <c r="X7" s="392">
        <f>100*X6/X4</f>
        <v>91.648159368655385</v>
      </c>
      <c r="Y7" s="442">
        <f>W7-X7</f>
        <v>0</v>
      </c>
    </row>
    <row r="8" spans="1:25" ht="14.4" x14ac:dyDescent="0.3">
      <c r="A8" t="s">
        <v>752</v>
      </c>
      <c r="G8"/>
      <c r="H8" s="381"/>
      <c r="I8" s="381"/>
      <c r="J8" s="381"/>
      <c r="K8" s="129"/>
      <c r="L8" s="129"/>
      <c r="M8" s="129"/>
      <c r="N8" s="129"/>
      <c r="O8" s="428"/>
      <c r="P8" s="434"/>
      <c r="R8" s="383"/>
      <c r="V8" s="163"/>
      <c r="W8" s="163"/>
      <c r="X8" s="381"/>
      <c r="Y8" s="438">
        <f t="shared" si="6"/>
        <v>0</v>
      </c>
    </row>
    <row r="9" spans="1:25" s="415" customFormat="1" ht="31.25" x14ac:dyDescent="0.3">
      <c r="A9" s="413" t="s">
        <v>790</v>
      </c>
      <c r="B9" s="402">
        <f>B$4*B10/100</f>
        <v>41.711000000000006</v>
      </c>
      <c r="C9" s="402">
        <f>C$4*C10/100</f>
        <v>92.513000000000005</v>
      </c>
      <c r="D9" s="402">
        <f>D$4*D10/100</f>
        <v>128.59199999999998</v>
      </c>
      <c r="E9" s="402">
        <f>E$4*E10/100</f>
        <v>170.04</v>
      </c>
      <c r="F9" s="402">
        <f>F$4*F10/100</f>
        <v>274.137</v>
      </c>
      <c r="G9" s="402">
        <f>SUM(B9:F9)</f>
        <v>706.99299999999994</v>
      </c>
      <c r="H9" s="414"/>
      <c r="I9" s="414"/>
      <c r="J9" s="414"/>
      <c r="K9" s="402">
        <f>B9/$G9</f>
        <v>5.8997755281876917E-2</v>
      </c>
      <c r="L9" s="402">
        <f>C9/$G9</f>
        <v>0.13085419516176258</v>
      </c>
      <c r="M9" s="402">
        <f>D9/$G9</f>
        <v>0.1818858178228073</v>
      </c>
      <c r="N9" s="402">
        <f>E9/$G9</f>
        <v>0.24051157507924409</v>
      </c>
      <c r="O9" s="428">
        <f t="shared" si="1"/>
        <v>0.38775065665430919</v>
      </c>
      <c r="P9" s="433">
        <f>SUM(K9:O9)</f>
        <v>1</v>
      </c>
      <c r="R9" s="416">
        <f>R4*R10/100</f>
        <v>47186.985698781085</v>
      </c>
      <c r="S9" s="416">
        <f t="shared" ref="S9:W9" si="8">S4*S10/100</f>
        <v>102656.68444256623</v>
      </c>
      <c r="T9" s="416">
        <f t="shared" si="8"/>
        <v>145195.96173612829</v>
      </c>
      <c r="U9" s="416">
        <f t="shared" si="8"/>
        <v>194937.8162323361</v>
      </c>
      <c r="V9" s="416">
        <f t="shared" si="8"/>
        <v>326525.14189018792</v>
      </c>
      <c r="W9" s="416">
        <f t="shared" si="8"/>
        <v>816502.5899999995</v>
      </c>
      <c r="X9" s="417">
        <f>X16+X18+X14</f>
        <v>816502.58999999962</v>
      </c>
      <c r="Y9" s="441">
        <f>W9-X9</f>
        <v>0</v>
      </c>
    </row>
    <row r="10" spans="1:25" s="387" customFormat="1" ht="14.4" x14ac:dyDescent="0.3">
      <c r="A10" s="391" t="s">
        <v>783</v>
      </c>
      <c r="B10" s="392">
        <f>B7-B21</f>
        <v>53</v>
      </c>
      <c r="C10" s="392">
        <f t="shared" ref="C10:F10" si="9">C7-C21</f>
        <v>71</v>
      </c>
      <c r="D10" s="392">
        <f t="shared" si="9"/>
        <v>76</v>
      </c>
      <c r="E10" s="392">
        <f t="shared" si="9"/>
        <v>78</v>
      </c>
      <c r="F10" s="392">
        <f t="shared" si="9"/>
        <v>69</v>
      </c>
      <c r="G10" s="392">
        <f>G7-G21</f>
        <v>71.161852038248639</v>
      </c>
      <c r="H10" s="381"/>
      <c r="I10" s="381"/>
      <c r="J10" s="381"/>
      <c r="K10" s="391"/>
      <c r="L10" s="391"/>
      <c r="M10" s="391"/>
      <c r="N10" s="391"/>
      <c r="O10" s="428"/>
      <c r="P10" s="434"/>
      <c r="R10" s="393">
        <f>R13+R19</f>
        <v>51.379367513909315</v>
      </c>
      <c r="S10" s="393">
        <f>S13+S19</f>
        <v>67.512481048195298</v>
      </c>
      <c r="T10" s="393">
        <f t="shared" ref="T10:W10" si="10">T13+T19</f>
        <v>73.535225676048896</v>
      </c>
      <c r="U10" s="393">
        <f t="shared" si="10"/>
        <v>76.626828965324862</v>
      </c>
      <c r="V10" s="393">
        <f t="shared" si="10"/>
        <v>70.427020003757292</v>
      </c>
      <c r="W10" s="393">
        <f t="shared" si="10"/>
        <v>70.425663261444967</v>
      </c>
      <c r="X10" s="393">
        <f>100*X9/$X$4</f>
        <v>70.425663261444967</v>
      </c>
      <c r="Y10" s="442">
        <f>W10-X10</f>
        <v>0</v>
      </c>
    </row>
    <row r="11" spans="1:25" s="163" customFormat="1" ht="14.4" x14ac:dyDescent="0.3">
      <c r="A11" s="371" t="s">
        <v>752</v>
      </c>
      <c r="H11" s="381"/>
      <c r="I11" s="381"/>
      <c r="J11" s="381"/>
      <c r="K11" s="129"/>
      <c r="L11" s="129"/>
      <c r="M11" s="129"/>
      <c r="N11" s="129"/>
      <c r="O11" s="428"/>
      <c r="P11" s="434"/>
      <c r="X11" s="381"/>
      <c r="Y11" s="438">
        <f t="shared" ref="Y11" si="11">W11-X11</f>
        <v>0</v>
      </c>
    </row>
    <row r="12" spans="1:25" s="407" customFormat="1" ht="15.5" x14ac:dyDescent="0.35">
      <c r="A12" s="404" t="s">
        <v>792</v>
      </c>
      <c r="B12" s="403">
        <f>B$4*B13/100</f>
        <v>39.310650000000003</v>
      </c>
      <c r="C12" s="403">
        <f>C$4*C13/100</f>
        <v>88.994900000000001</v>
      </c>
      <c r="D12" s="403">
        <f>D$4*D13/100</f>
        <v>124.44659999999998</v>
      </c>
      <c r="E12" s="403">
        <f>E$4*E13/100</f>
        <v>162.62799999999999</v>
      </c>
      <c r="F12" s="403">
        <f>F$4*F13/100</f>
        <v>230.8313</v>
      </c>
      <c r="G12" s="403">
        <f>SUM(B12:F12)</f>
        <v>646.21145000000001</v>
      </c>
      <c r="H12" s="405"/>
      <c r="I12" s="405"/>
      <c r="J12" s="405"/>
      <c r="K12" s="402">
        <f>B12/$G12</f>
        <v>6.0832487570438437E-2</v>
      </c>
      <c r="L12" s="402">
        <f>C12/$G12</f>
        <v>0.13771792499188926</v>
      </c>
      <c r="M12" s="402">
        <f>D12/$G12</f>
        <v>0.19257876040419891</v>
      </c>
      <c r="N12" s="402">
        <f>E12/$G12</f>
        <v>0.25166375495203619</v>
      </c>
      <c r="O12" s="428">
        <f t="shared" ref="O12" si="12">1-SUM(K12:N12)</f>
        <v>0.3572070720814372</v>
      </c>
      <c r="P12" s="433">
        <f>SUM(K12:O12)</f>
        <v>1</v>
      </c>
      <c r="R12" s="403">
        <f>$X12*K13</f>
        <v>42515.372503173217</v>
      </c>
      <c r="S12" s="403">
        <f>$X12*L13</f>
        <v>95809.681970648351</v>
      </c>
      <c r="T12" s="403">
        <f>$X12*M13</f>
        <v>137128.09440799992</v>
      </c>
      <c r="U12" s="403">
        <f>$X12*N13</f>
        <v>180512.42118334508</v>
      </c>
      <c r="V12" s="403">
        <f>$X12*O13</f>
        <v>242242.64993483305</v>
      </c>
      <c r="W12" s="403">
        <f>SUM(R12:V12)</f>
        <v>698208.21999999962</v>
      </c>
      <c r="X12" s="408">
        <f>X14+X16</f>
        <v>698208.21999999962</v>
      </c>
      <c r="Y12" s="443">
        <f>W12-X12</f>
        <v>0</v>
      </c>
    </row>
    <row r="13" spans="1:25" s="387" customFormat="1" ht="14.4" x14ac:dyDescent="0.3">
      <c r="A13" s="391" t="s">
        <v>783</v>
      </c>
      <c r="B13" s="392">
        <f>B10-B19</f>
        <v>49.95</v>
      </c>
      <c r="C13" s="392">
        <f t="shared" ref="C13:F13" si="13">C10-C19</f>
        <v>68.3</v>
      </c>
      <c r="D13" s="392">
        <f t="shared" si="13"/>
        <v>73.55</v>
      </c>
      <c r="E13" s="392">
        <f t="shared" si="13"/>
        <v>74.599999999999994</v>
      </c>
      <c r="F13" s="392">
        <f t="shared" si="13"/>
        <v>58.1</v>
      </c>
      <c r="G13" s="392">
        <f>G10-G19</f>
        <v>65.043930548565697</v>
      </c>
      <c r="H13" s="381"/>
      <c r="I13" s="381"/>
      <c r="J13" s="381"/>
      <c r="K13" s="378">
        <v>6.08921111E-2</v>
      </c>
      <c r="L13" s="378">
        <v>0.13722222000000001</v>
      </c>
      <c r="M13" s="378">
        <f>0.1964</f>
        <v>0.19639999999999999</v>
      </c>
      <c r="N13" s="378">
        <v>0.25853665999999997</v>
      </c>
      <c r="O13" s="378">
        <f>1-SUM(K13:N13)</f>
        <v>0.34694900890000002</v>
      </c>
      <c r="P13" s="426">
        <f>SUM(K13:O13)</f>
        <v>1</v>
      </c>
      <c r="R13" s="424">
        <f>R12/R$4*100</f>
        <v>46.292699490819942</v>
      </c>
      <c r="S13" s="392">
        <f t="shared" ref="S13:W13" si="14">S12/S$4*100</f>
        <v>63.009529027755526</v>
      </c>
      <c r="T13" s="392">
        <f t="shared" si="14"/>
        <v>69.449213657501687</v>
      </c>
      <c r="U13" s="392">
        <f t="shared" si="14"/>
        <v>70.956444939585879</v>
      </c>
      <c r="V13" s="392">
        <f t="shared" si="14"/>
        <v>52.248435921241168</v>
      </c>
      <c r="W13" s="392">
        <f t="shared" si="14"/>
        <v>60.222438471496929</v>
      </c>
      <c r="X13" s="392">
        <f>X12/X4*100</f>
        <v>60.222438471496929</v>
      </c>
      <c r="Y13" s="438">
        <f t="shared" ref="Y13:Y19" si="15">W13-X13</f>
        <v>0</v>
      </c>
    </row>
    <row r="14" spans="1:25" x14ac:dyDescent="0.35">
      <c r="A14" s="369" t="s">
        <v>789</v>
      </c>
      <c r="B14" s="386">
        <f>$H14*K12</f>
        <v>0.48347014918100217</v>
      </c>
      <c r="C14" s="386">
        <f t="shared" ref="C14:E14" si="16">$H14*L12</f>
        <v>1.0945221607719122</v>
      </c>
      <c r="D14" s="386">
        <f t="shared" si="16"/>
        <v>1.5305322162586599</v>
      </c>
      <c r="E14" s="386">
        <f t="shared" si="16"/>
        <v>2.000114051052527</v>
      </c>
      <c r="F14" s="386">
        <f>$H14*O12</f>
        <v>2.8389264244331929</v>
      </c>
      <c r="G14" s="377">
        <f>SUM(B14:F14)</f>
        <v>7.9475650016972939</v>
      </c>
      <c r="H14" s="384">
        <f>X14/X12*G12</f>
        <v>7.9475650016972939</v>
      </c>
      <c r="I14" s="418">
        <f>G14-H14</f>
        <v>0</v>
      </c>
      <c r="J14" s="384"/>
      <c r="K14" s="429">
        <f>B14/$G14</f>
        <v>6.0832487570438437E-2</v>
      </c>
      <c r="L14" s="429">
        <f>C14/$G14</f>
        <v>0.13771792499188926</v>
      </c>
      <c r="M14" s="429">
        <f>D14/$G14</f>
        <v>0.19257876040419891</v>
      </c>
      <c r="N14" s="429">
        <f>E14/$G14</f>
        <v>0.25166375495203619</v>
      </c>
      <c r="O14" s="430">
        <f t="shared" si="1"/>
        <v>0.3572070720814372</v>
      </c>
      <c r="P14" s="434">
        <f>SUM(K14:O14)</f>
        <v>1</v>
      </c>
      <c r="Q14"/>
      <c r="R14" s="403">
        <f>$X14*K13</f>
        <v>522.88409086583488</v>
      </c>
      <c r="S14" s="403">
        <f t="shared" ref="S14:V14" si="17">$X14*L13</f>
        <v>1178.3351645249757</v>
      </c>
      <c r="T14" s="403">
        <f t="shared" si="17"/>
        <v>1686.498194772721</v>
      </c>
      <c r="U14" s="403">
        <f t="shared" si="17"/>
        <v>2220.0692992493318</v>
      </c>
      <c r="V14" s="403">
        <f t="shared" si="17"/>
        <v>2979.2712687781814</v>
      </c>
      <c r="W14" s="403">
        <f>SUM(R14:V14)</f>
        <v>8587.0580181910445</v>
      </c>
      <c r="X14" s="385">
        <f>H76</f>
        <v>8587.0580181910445</v>
      </c>
      <c r="Y14" s="438">
        <f t="shared" si="15"/>
        <v>0</v>
      </c>
    </row>
    <row r="15" spans="1:25" s="163" customFormat="1" ht="14.4" x14ac:dyDescent="0.3">
      <c r="A15" s="391" t="s">
        <v>783</v>
      </c>
      <c r="B15" s="397">
        <f>B14/B4*100</f>
        <v>0.61432039286023143</v>
      </c>
      <c r="C15" s="397">
        <f t="shared" ref="C15:G15" si="18">C14/C4*100</f>
        <v>0.84000165830538154</v>
      </c>
      <c r="D15" s="397">
        <f t="shared" si="18"/>
        <v>0.90456986776516546</v>
      </c>
      <c r="E15" s="397">
        <f t="shared" si="18"/>
        <v>0.91748350965712244</v>
      </c>
      <c r="F15" s="397">
        <f t="shared" si="18"/>
        <v>0.71455485135494401</v>
      </c>
      <c r="G15" s="397">
        <f t="shared" si="18"/>
        <v>0.79995621557094054</v>
      </c>
      <c r="H15" s="382">
        <f>H14/G4*100</f>
        <v>0.79995621557094054</v>
      </c>
      <c r="I15" s="418">
        <f t="shared" ref="I15:I17" si="19">G15-H15</f>
        <v>0</v>
      </c>
      <c r="J15" s="382"/>
      <c r="K15" s="429"/>
      <c r="L15" s="429"/>
      <c r="M15" s="429"/>
      <c r="N15" s="429"/>
      <c r="O15" s="430"/>
      <c r="P15" s="434"/>
      <c r="R15" s="424">
        <f>R14/R$4*100</f>
        <v>0.5693403270823052</v>
      </c>
      <c r="S15" s="392">
        <f t="shared" ref="S15:W15" si="20">S14/S$4*100</f>
        <v>0.77493570823361246</v>
      </c>
      <c r="T15" s="392">
        <f t="shared" si="20"/>
        <v>0.8541354998580698</v>
      </c>
      <c r="U15" s="392">
        <f t="shared" si="20"/>
        <v>0.87267249512015588</v>
      </c>
      <c r="V15" s="392">
        <f t="shared" si="20"/>
        <v>0.64258818181120125</v>
      </c>
      <c r="W15" s="392">
        <f t="shared" si="20"/>
        <v>0.74065809931553772</v>
      </c>
      <c r="X15" s="392">
        <f>X14/X4*100</f>
        <v>0.74065809931553772</v>
      </c>
      <c r="Y15" s="438">
        <f t="shared" si="15"/>
        <v>0</v>
      </c>
    </row>
    <row r="16" spans="1:25" s="163" customFormat="1" ht="14.4" x14ac:dyDescent="0.3">
      <c r="A16" s="369" t="s">
        <v>791</v>
      </c>
      <c r="B16" s="281">
        <f>$H16*K12</f>
        <v>38.827179850819</v>
      </c>
      <c r="C16" s="281">
        <f t="shared" ref="C16:F16" si="21">$H16*L12</f>
        <v>87.900377839228085</v>
      </c>
      <c r="D16" s="281">
        <f t="shared" si="21"/>
        <v>122.91606778374131</v>
      </c>
      <c r="E16" s="281">
        <f t="shared" si="21"/>
        <v>160.62788594894747</v>
      </c>
      <c r="F16" s="281">
        <f t="shared" si="21"/>
        <v>227.99237357556686</v>
      </c>
      <c r="G16" s="377">
        <f>SUM(B16:F16)</f>
        <v>638.26388499830273</v>
      </c>
      <c r="H16" s="382">
        <f>G12-H14</f>
        <v>638.26388499830273</v>
      </c>
      <c r="I16" s="418">
        <f t="shared" si="19"/>
        <v>0</v>
      </c>
      <c r="J16" s="382"/>
      <c r="K16" s="429">
        <f>B16/$G16</f>
        <v>6.0832487570438437E-2</v>
      </c>
      <c r="L16" s="429">
        <f>C16/$G16</f>
        <v>0.13771792499188926</v>
      </c>
      <c r="M16" s="429">
        <f>D16/$G16</f>
        <v>0.19257876040419891</v>
      </c>
      <c r="N16" s="429">
        <f>E16/$G16</f>
        <v>0.25166375495203619</v>
      </c>
      <c r="O16" s="430">
        <f t="shared" si="1"/>
        <v>0.3572070720814372</v>
      </c>
      <c r="P16" s="434">
        <f t="shared" ref="P16:P56" si="22">SUM(K16:O16)</f>
        <v>1</v>
      </c>
      <c r="R16" s="403">
        <f>$X16*K13</f>
        <v>41992.488412307386</v>
      </c>
      <c r="S16" s="403">
        <f t="shared" ref="S16:V16" si="23">$X16*L13</f>
        <v>94631.346806123387</v>
      </c>
      <c r="T16" s="403">
        <f t="shared" si="23"/>
        <v>135441.5962132272</v>
      </c>
      <c r="U16" s="403">
        <f t="shared" si="23"/>
        <v>178292.35188409575</v>
      </c>
      <c r="V16" s="403">
        <f t="shared" si="23"/>
        <v>239263.37866605486</v>
      </c>
      <c r="W16" s="403">
        <f>SUM(R16:V16)</f>
        <v>689621.1619818086</v>
      </c>
      <c r="X16" s="382">
        <f>H72*H74</f>
        <v>689621.1619818086</v>
      </c>
      <c r="Y16" s="438">
        <f t="shared" si="15"/>
        <v>0</v>
      </c>
    </row>
    <row r="17" spans="1:25" ht="14.4" x14ac:dyDescent="0.3">
      <c r="A17" s="391" t="s">
        <v>783</v>
      </c>
      <c r="B17" s="392">
        <f>B16/B4*100</f>
        <v>49.335679607139774</v>
      </c>
      <c r="C17" s="392">
        <f t="shared" ref="C17:G17" si="24">C16/C4*100</f>
        <v>67.459998341694615</v>
      </c>
      <c r="D17" s="392">
        <f t="shared" si="24"/>
        <v>72.645430132234821</v>
      </c>
      <c r="E17" s="392">
        <f t="shared" si="24"/>
        <v>73.682516490342877</v>
      </c>
      <c r="F17" s="392">
        <f t="shared" si="24"/>
        <v>57.385445148645061</v>
      </c>
      <c r="G17" s="392">
        <f t="shared" si="24"/>
        <v>64.243974332994739</v>
      </c>
      <c r="H17" s="382">
        <f>H16/G4*100</f>
        <v>64.243974332994739</v>
      </c>
      <c r="I17" s="418">
        <f t="shared" si="19"/>
        <v>0</v>
      </c>
      <c r="J17" s="382"/>
      <c r="O17" s="428"/>
      <c r="P17" s="434"/>
      <c r="Q17"/>
      <c r="R17" s="425">
        <f t="shared" ref="R17:W17" si="25">R16/R$4*100</f>
        <v>45.723359163737641</v>
      </c>
      <c r="S17" s="392">
        <f t="shared" si="25"/>
        <v>62.234593319521927</v>
      </c>
      <c r="T17" s="392">
        <f t="shared" si="25"/>
        <v>68.595078157643613</v>
      </c>
      <c r="U17" s="392">
        <f t="shared" si="25"/>
        <v>70.083772444465737</v>
      </c>
      <c r="V17" s="392">
        <f t="shared" si="25"/>
        <v>51.605847739429969</v>
      </c>
      <c r="W17" s="392">
        <f t="shared" si="25"/>
        <v>59.48178037218139</v>
      </c>
      <c r="X17" s="393">
        <f>100*X16/$X$4</f>
        <v>59.48178037218139</v>
      </c>
      <c r="Y17" s="438">
        <f t="shared" si="15"/>
        <v>0</v>
      </c>
    </row>
    <row r="18" spans="1:25" s="406" customFormat="1" ht="14.4" x14ac:dyDescent="0.3">
      <c r="A18" s="404" t="s">
        <v>784</v>
      </c>
      <c r="B18" s="403">
        <f>B$4*B19/100</f>
        <v>2.40035</v>
      </c>
      <c r="C18" s="403">
        <f>C$4*C19/100</f>
        <v>3.5181000000000004</v>
      </c>
      <c r="D18" s="403">
        <f>D$4*D19/100</f>
        <v>4.1454000000000004</v>
      </c>
      <c r="E18" s="403">
        <f>E$4*E19/100</f>
        <v>7.411999999999999</v>
      </c>
      <c r="F18" s="403">
        <f>F$4*F19/100</f>
        <v>43.305699999999995</v>
      </c>
      <c r="G18" s="403">
        <f>SUM(B18:F18)</f>
        <v>60.781549999999996</v>
      </c>
      <c r="H18" s="410"/>
      <c r="I18" s="384"/>
      <c r="J18" s="410"/>
      <c r="K18" s="406">
        <f>B18/$G18</f>
        <v>3.9491424618161269E-2</v>
      </c>
      <c r="L18" s="406">
        <f>C18/$G18</f>
        <v>5.7881051075531979E-2</v>
      </c>
      <c r="M18" s="406">
        <f>D18/$G18</f>
        <v>6.8201617102558273E-2</v>
      </c>
      <c r="N18" s="406">
        <f>E18/$G18</f>
        <v>0.12194489939792584</v>
      </c>
      <c r="O18" s="428">
        <f t="shared" si="1"/>
        <v>0.71248100780582257</v>
      </c>
      <c r="P18" s="435">
        <f t="shared" si="22"/>
        <v>1</v>
      </c>
      <c r="R18" s="403">
        <f>$X18*K18</f>
        <v>4671.6131956078789</v>
      </c>
      <c r="S18" s="403">
        <f t="shared" ref="S18:W18" si="26">$X18*L18</f>
        <v>6847.0024719178791</v>
      </c>
      <c r="T18" s="403">
        <f t="shared" si="26"/>
        <v>8067.8673281283582</v>
      </c>
      <c r="U18" s="403">
        <f t="shared" si="26"/>
        <v>14425.39504899102</v>
      </c>
      <c r="V18" s="403">
        <f t="shared" si="26"/>
        <v>84282.491955354883</v>
      </c>
      <c r="W18" s="403">
        <f t="shared" si="26"/>
        <v>118294.37000000002</v>
      </c>
      <c r="X18" s="411">
        <f>H73*H75</f>
        <v>118294.37000000002</v>
      </c>
      <c r="Y18" s="444">
        <f t="shared" si="15"/>
        <v>0</v>
      </c>
    </row>
    <row r="19" spans="1:25" s="387" customFormat="1" ht="14.4" x14ac:dyDescent="0.3">
      <c r="A19" s="391" t="s">
        <v>783</v>
      </c>
      <c r="B19" s="387">
        <f>(3.5+2.6)/2</f>
        <v>3.05</v>
      </c>
      <c r="C19" s="387">
        <f>(2.6+2.8)/2</f>
        <v>2.7</v>
      </c>
      <c r="D19" s="387">
        <f>(2.3+2.6)/2</f>
        <v>2.4500000000000002</v>
      </c>
      <c r="E19" s="387">
        <f>(2.9+3.9)/2</f>
        <v>3.4</v>
      </c>
      <c r="F19" s="387">
        <f>(6.1+15.7)/2</f>
        <v>10.899999999999999</v>
      </c>
      <c r="G19" s="392">
        <f>G18/G4*100</f>
        <v>6.1179214896829386</v>
      </c>
      <c r="H19" s="381"/>
      <c r="I19" s="381"/>
      <c r="J19" s="381"/>
      <c r="K19" s="391"/>
      <c r="L19" s="391"/>
      <c r="M19" s="391"/>
      <c r="N19" s="391"/>
      <c r="O19" s="428"/>
      <c r="P19" s="434"/>
      <c r="R19" s="397">
        <f>R18/R$4*100</f>
        <v>5.086668023089377</v>
      </c>
      <c r="S19" s="397">
        <f t="shared" ref="S19:W19" si="27">S18/S$4*100</f>
        <v>4.5029520204397775</v>
      </c>
      <c r="T19" s="397">
        <f t="shared" si="27"/>
        <v>4.0860120185472057</v>
      </c>
      <c r="U19" s="397">
        <f t="shared" si="27"/>
        <v>5.6703840257389775</v>
      </c>
      <c r="V19" s="397">
        <f t="shared" si="27"/>
        <v>18.178584082516132</v>
      </c>
      <c r="W19" s="397">
        <f t="shared" si="27"/>
        <v>10.203224789948043</v>
      </c>
      <c r="X19" s="396">
        <f>100*X18/$X$4</f>
        <v>10.203224789948043</v>
      </c>
      <c r="Y19" s="438">
        <f t="shared" si="15"/>
        <v>0</v>
      </c>
    </row>
    <row r="20" spans="1:25" s="406" customFormat="1" ht="14.4" x14ac:dyDescent="0.3">
      <c r="A20" s="404" t="s">
        <v>748</v>
      </c>
      <c r="B20" s="406">
        <f>B$4*B21/100</f>
        <v>11.017999999999999</v>
      </c>
      <c r="C20" s="406">
        <f t="shared" ref="C20:F20" si="28">C$4*C21/100</f>
        <v>29.969000000000001</v>
      </c>
      <c r="D20" s="406">
        <f t="shared" si="28"/>
        <v>43.991999999999997</v>
      </c>
      <c r="E20" s="406">
        <f t="shared" si="28"/>
        <v>56.68</v>
      </c>
      <c r="F20" s="406">
        <f t="shared" si="28"/>
        <v>79.459999999999994</v>
      </c>
      <c r="G20" s="406">
        <f>SUM(B20:F20)</f>
        <v>221.11899999999997</v>
      </c>
      <c r="H20" s="410"/>
      <c r="I20" s="410"/>
      <c r="J20" s="410"/>
      <c r="K20" s="406">
        <f>B20/$G20</f>
        <v>4.9828372957547745E-2</v>
      </c>
      <c r="L20" s="406">
        <f>C20/$G20</f>
        <v>0.13553335534259836</v>
      </c>
      <c r="M20" s="406">
        <f>D20/$G20</f>
        <v>0.19895169569326926</v>
      </c>
      <c r="N20" s="406">
        <f>E20/$G20</f>
        <v>0.25633256300905849</v>
      </c>
      <c r="O20" s="428">
        <f t="shared" si="1"/>
        <v>0.35935401299752612</v>
      </c>
      <c r="P20" s="435">
        <f>SUM(K20:O20)</f>
        <v>1</v>
      </c>
      <c r="R20" s="403">
        <f>$X20*K21</f>
        <v>12261.208093793346</v>
      </c>
      <c r="S20" s="403">
        <f t="shared" ref="S20:V20" si="29">$X20*L21</f>
        <v>33289.594884706683</v>
      </c>
      <c r="T20" s="403">
        <f t="shared" si="29"/>
        <v>48952.816049757515</v>
      </c>
      <c r="U20" s="403">
        <f t="shared" si="29"/>
        <v>63069.624487956113</v>
      </c>
      <c r="V20" s="403">
        <f t="shared" si="29"/>
        <v>88476.59450197735</v>
      </c>
      <c r="W20" s="403">
        <f>SUM(R20:V20)</f>
        <v>246049.83801819102</v>
      </c>
      <c r="X20" s="412">
        <f>H87</f>
        <v>246049.83801819099</v>
      </c>
      <c r="Y20" s="444">
        <f>W20-X20</f>
        <v>0</v>
      </c>
    </row>
    <row r="21" spans="1:25" s="387" customFormat="1" ht="14.4" x14ac:dyDescent="0.3">
      <c r="A21" s="391" t="s">
        <v>783</v>
      </c>
      <c r="B21" s="387">
        <v>14</v>
      </c>
      <c r="C21" s="387">
        <v>23</v>
      </c>
      <c r="D21" s="387">
        <v>26</v>
      </c>
      <c r="E21" s="387">
        <v>26</v>
      </c>
      <c r="F21" s="387">
        <v>20</v>
      </c>
      <c r="G21" s="394">
        <f>G20/G4*100</f>
        <v>22.256567689984898</v>
      </c>
      <c r="H21" s="381"/>
      <c r="I21" s="381"/>
      <c r="J21" s="381"/>
      <c r="K21" s="378">
        <v>4.9832213638307088E-2</v>
      </c>
      <c r="L21" s="378">
        <v>0.13529614631262432</v>
      </c>
      <c r="M21" s="378">
        <v>0.19895488021470809</v>
      </c>
      <c r="N21" s="378">
        <v>0.25632865681176853</v>
      </c>
      <c r="O21" s="378">
        <v>0.35958810302259203</v>
      </c>
      <c r="P21" s="436">
        <f>SUM(K21:O21)</f>
        <v>1</v>
      </c>
      <c r="R21" s="392">
        <f>R20/R$4*100</f>
        <v>13.35056917678471</v>
      </c>
      <c r="S21" s="392">
        <f t="shared" ref="S21:W21" si="30">S20/S$4*100</f>
        <v>21.89300342164525</v>
      </c>
      <c r="T21" s="392">
        <f t="shared" si="30"/>
        <v>24.792400096078708</v>
      </c>
      <c r="U21" s="392">
        <f t="shared" si="30"/>
        <v>24.791625462685435</v>
      </c>
      <c r="V21" s="392">
        <f t="shared" si="30"/>
        <v>19.083194803267698</v>
      </c>
      <c r="W21" s="392">
        <f t="shared" si="30"/>
        <v>21.2224961072104</v>
      </c>
      <c r="X21" s="392">
        <f t="shared" ref="X21" si="31">100*X20/X4</f>
        <v>21.222496107210397</v>
      </c>
      <c r="Y21" s="442">
        <f t="shared" si="6"/>
        <v>0</v>
      </c>
    </row>
    <row r="22" spans="1:25" s="406" customFormat="1" x14ac:dyDescent="0.35">
      <c r="A22" s="404" t="s">
        <v>749</v>
      </c>
      <c r="B22" s="406">
        <f>B$4*B23/100</f>
        <v>6.2960000000000003</v>
      </c>
      <c r="C22" s="406">
        <f t="shared" ref="C22:F22" si="32">C$4*C23/100</f>
        <v>13.03</v>
      </c>
      <c r="D22" s="406">
        <f t="shared" si="32"/>
        <v>18.611999999999998</v>
      </c>
      <c r="E22" s="406">
        <f t="shared" si="32"/>
        <v>23.98</v>
      </c>
      <c r="F22" s="406">
        <f t="shared" si="32"/>
        <v>39.729999999999997</v>
      </c>
      <c r="G22" s="406">
        <f>SUM(B22:F22)</f>
        <v>101.648</v>
      </c>
      <c r="H22" s="410"/>
      <c r="I22" s="410"/>
      <c r="J22" s="410"/>
      <c r="K22" s="406">
        <f>B22/$G22</f>
        <v>6.193924130332127E-2</v>
      </c>
      <c r="L22" s="406">
        <f>C22/$G22</f>
        <v>0.12818747048638438</v>
      </c>
      <c r="M22" s="406">
        <f>D22/$G22</f>
        <v>0.18310247127341411</v>
      </c>
      <c r="N22" s="406">
        <f>E22/$G22</f>
        <v>0.23591216747993077</v>
      </c>
      <c r="O22" s="428">
        <f>1-SUM(K22:N22)</f>
        <v>0.39085864945694948</v>
      </c>
      <c r="P22" s="435">
        <f>SUM(K22:O22)</f>
        <v>1</v>
      </c>
      <c r="R22" s="403">
        <f>R$4*R23/100</f>
        <v>7418.1383944116715</v>
      </c>
      <c r="S22" s="403">
        <f t="shared" ref="S22:W22" si="33">S$4*S23/100</f>
        <v>14400.201650036499</v>
      </c>
      <c r="T22" s="403">
        <f t="shared" si="33"/>
        <v>20427.888435420227</v>
      </c>
      <c r="U22" s="403">
        <f t="shared" si="33"/>
        <v>26623.046418570535</v>
      </c>
      <c r="V22" s="403">
        <f t="shared" si="33"/>
        <v>52202.72510156106</v>
      </c>
      <c r="W22" s="403">
        <f t="shared" si="33"/>
        <v>121072</v>
      </c>
      <c r="X22" s="412">
        <f>X25+X27</f>
        <v>121072</v>
      </c>
      <c r="Y22" s="444">
        <f t="shared" si="6"/>
        <v>0</v>
      </c>
    </row>
    <row r="23" spans="1:25" s="387" customFormat="1" ht="14.4" x14ac:dyDescent="0.3">
      <c r="A23" s="391" t="s">
        <v>783</v>
      </c>
      <c r="B23" s="387">
        <v>8</v>
      </c>
      <c r="C23" s="387">
        <v>10</v>
      </c>
      <c r="D23" s="387">
        <v>11</v>
      </c>
      <c r="E23" s="387">
        <v>11</v>
      </c>
      <c r="F23" s="387">
        <v>10</v>
      </c>
      <c r="G23" s="392">
        <f>G22/G4*100</f>
        <v>10.231303472571716</v>
      </c>
      <c r="H23" s="381"/>
      <c r="I23" s="381"/>
      <c r="J23" s="381"/>
      <c r="O23" s="428"/>
      <c r="P23" s="434"/>
      <c r="R23" s="392">
        <f>R26+R28</f>
        <v>8.077211400374825</v>
      </c>
      <c r="S23" s="392">
        <f t="shared" ref="S23:W23" si="34">S26+S28</f>
        <v>9.4703364546338626</v>
      </c>
      <c r="T23" s="392">
        <f t="shared" si="34"/>
        <v>10.34580692343043</v>
      </c>
      <c r="U23" s="392">
        <f t="shared" si="34"/>
        <v>10.465078884541795</v>
      </c>
      <c r="V23" s="392">
        <f t="shared" si="34"/>
        <v>11.259415871304343</v>
      </c>
      <c r="W23" s="392">
        <f t="shared" si="34"/>
        <v>10.442803252332206</v>
      </c>
      <c r="X23" s="392">
        <f t="shared" ref="X23" si="35">100*X22/X4</f>
        <v>10.442803252332206</v>
      </c>
      <c r="Y23" s="442">
        <f t="shared" si="6"/>
        <v>0</v>
      </c>
    </row>
    <row r="24" spans="1:25" s="163" customFormat="1" ht="14.4" x14ac:dyDescent="0.3">
      <c r="A24" s="371" t="s">
        <v>752</v>
      </c>
      <c r="H24" s="381"/>
      <c r="I24" s="381"/>
      <c r="J24" s="381"/>
      <c r="K24" s="129"/>
      <c r="L24" s="129"/>
      <c r="M24" s="129"/>
      <c r="N24" s="129"/>
      <c r="O24" s="428"/>
      <c r="P24" s="434"/>
      <c r="X24" s="381"/>
      <c r="Y24" s="438">
        <f t="shared" si="6"/>
        <v>0</v>
      </c>
    </row>
    <row r="25" spans="1:25" s="163" customFormat="1" x14ac:dyDescent="0.35">
      <c r="A25" s="369" t="s">
        <v>776</v>
      </c>
      <c r="B25" s="374">
        <f>B$4*B26/100</f>
        <v>5.9418500000000005</v>
      </c>
      <c r="C25" s="374">
        <f t="shared" ref="C25" si="36">C$4*C26/100</f>
        <v>12.639100000000001</v>
      </c>
      <c r="D25" s="374">
        <f t="shared" ref="D25" si="37">D$4*D26/100</f>
        <v>18.104399999999998</v>
      </c>
      <c r="E25" s="374">
        <f t="shared" ref="E25" si="38">E$4*E26/100</f>
        <v>23.217000000000002</v>
      </c>
      <c r="F25" s="374">
        <f t="shared" ref="F25" si="39">F$4*F26/100</f>
        <v>35.558349999999997</v>
      </c>
      <c r="G25" s="374">
        <f>SUM(B25:F25)</f>
        <v>95.460700000000003</v>
      </c>
      <c r="H25" s="381"/>
      <c r="I25" s="381"/>
      <c r="J25" s="381"/>
      <c r="K25" s="374">
        <f>B25/$G25</f>
        <v>6.2243939128877122E-2</v>
      </c>
      <c r="L25" s="374">
        <f>C25/$G25</f>
        <v>0.13240108233021547</v>
      </c>
      <c r="M25" s="374">
        <f>D25/$G25</f>
        <v>0.18965291475968643</v>
      </c>
      <c r="N25" s="374">
        <f>E25/$G25</f>
        <v>0.24321003302929897</v>
      </c>
      <c r="O25" s="428">
        <f t="shared" si="1"/>
        <v>0.37249203075192194</v>
      </c>
      <c r="P25" s="434">
        <f t="shared" si="22"/>
        <v>1</v>
      </c>
      <c r="R25" s="403">
        <f>$X25*K25</f>
        <v>6070.4646514219994</v>
      </c>
      <c r="S25" s="403">
        <f>$X25*L25</f>
        <v>12912.680356418925</v>
      </c>
      <c r="T25" s="403">
        <f>$X25*M25</f>
        <v>18496.27981776794</v>
      </c>
      <c r="U25" s="403">
        <f>$X25*N25</f>
        <v>23719.544891248443</v>
      </c>
      <c r="V25" s="403">
        <f>$X25*O25</f>
        <v>36328.030283142689</v>
      </c>
      <c r="W25" s="403">
        <f>SUM(R25:V25)</f>
        <v>97527</v>
      </c>
      <c r="X25" s="382">
        <f>H77</f>
        <v>97527</v>
      </c>
      <c r="Y25" s="438">
        <f t="shared" si="6"/>
        <v>0</v>
      </c>
    </row>
    <row r="26" spans="1:25" s="387" customFormat="1" ht="14.4" x14ac:dyDescent="0.3">
      <c r="A26" s="391" t="s">
        <v>783</v>
      </c>
      <c r="B26" s="392">
        <f>B23-B28</f>
        <v>7.55</v>
      </c>
      <c r="C26" s="392">
        <f t="shared" ref="C26:F26" si="40">C23-C28</f>
        <v>9.6999999999999993</v>
      </c>
      <c r="D26" s="392">
        <f t="shared" si="40"/>
        <v>10.7</v>
      </c>
      <c r="E26" s="392">
        <f t="shared" si="40"/>
        <v>10.65</v>
      </c>
      <c r="F26" s="392">
        <f t="shared" si="40"/>
        <v>8.9499999999999993</v>
      </c>
      <c r="G26" s="392">
        <f>G25/G4*100</f>
        <v>9.6085254151987929</v>
      </c>
      <c r="H26" s="381"/>
      <c r="I26" s="381"/>
      <c r="J26" s="381"/>
      <c r="K26" s="391"/>
      <c r="L26" s="391"/>
      <c r="M26" s="391"/>
      <c r="N26" s="391"/>
      <c r="O26" s="428"/>
      <c r="P26" s="434"/>
      <c r="R26" s="392">
        <f>R25/R$4*100</f>
        <v>6.6098020394140811</v>
      </c>
      <c r="S26" s="392">
        <f t="shared" ref="S26:W26" si="41">S25/S$4*100</f>
        <v>8.4920635473266994</v>
      </c>
      <c r="T26" s="392">
        <f t="shared" si="41"/>
        <v>9.3675340161232672</v>
      </c>
      <c r="U26" s="392">
        <f t="shared" si="41"/>
        <v>9.3237604926834372</v>
      </c>
      <c r="V26" s="392">
        <f t="shared" si="41"/>
        <v>7.8354606957292727</v>
      </c>
      <c r="W26" s="392">
        <f t="shared" si="41"/>
        <v>8.4119802496878151</v>
      </c>
      <c r="X26" s="392">
        <f>X25/X4*100</f>
        <v>8.4119802496878151</v>
      </c>
      <c r="Y26" s="438">
        <f t="shared" si="6"/>
        <v>0</v>
      </c>
    </row>
    <row r="27" spans="1:25" s="163" customFormat="1" x14ac:dyDescent="0.35">
      <c r="A27" s="369" t="s">
        <v>777</v>
      </c>
      <c r="B27" s="374">
        <f>B$4*B28/100</f>
        <v>0.35414999999999996</v>
      </c>
      <c r="C27" s="374">
        <f t="shared" ref="C27" si="42">C$4*C28/100</f>
        <v>0.39090000000000003</v>
      </c>
      <c r="D27" s="374">
        <f t="shared" ref="D27" si="43">D$4*D28/100</f>
        <v>0.50759999999999994</v>
      </c>
      <c r="E27" s="374">
        <f t="shared" ref="E27" si="44">E$4*E28/100</f>
        <v>0.76300000000000001</v>
      </c>
      <c r="F27" s="374">
        <f t="shared" ref="F27" si="45">F$4*F28/100</f>
        <v>4.1716500000000005</v>
      </c>
      <c r="G27" s="374">
        <f>SUM(B27:F27)</f>
        <v>6.1873000000000005</v>
      </c>
      <c r="H27" s="381"/>
      <c r="I27" s="381"/>
      <c r="J27" s="381"/>
      <c r="K27" s="374">
        <f>B27/$G27</f>
        <v>5.7238213760444773E-2</v>
      </c>
      <c r="L27" s="374">
        <f>C27/$G27</f>
        <v>6.3177799686454511E-2</v>
      </c>
      <c r="M27" s="374">
        <f>D27/$G27</f>
        <v>8.203901540251804E-2</v>
      </c>
      <c r="N27" s="374">
        <f>E27/$G27</f>
        <v>0.1233171173209639</v>
      </c>
      <c r="O27" s="428">
        <f t="shared" si="1"/>
        <v>0.67422785382961881</v>
      </c>
      <c r="P27" s="434">
        <f t="shared" si="22"/>
        <v>1</v>
      </c>
      <c r="R27" s="403">
        <f>$X27*K27</f>
        <v>1347.6737429896721</v>
      </c>
      <c r="S27" s="403">
        <f>$X27*L27</f>
        <v>1487.5212936175715</v>
      </c>
      <c r="T27" s="403">
        <f>$X27*M27</f>
        <v>1931.6086176522872</v>
      </c>
      <c r="U27" s="403">
        <f>$X27*N27</f>
        <v>2903.5015273220952</v>
      </c>
      <c r="V27" s="403">
        <f>$X27*O27</f>
        <v>15874.694818418375</v>
      </c>
      <c r="W27" s="403">
        <f>SUM(R27:V27)</f>
        <v>23545</v>
      </c>
      <c r="X27" s="382">
        <f>H78</f>
        <v>23545</v>
      </c>
      <c r="Y27" s="438">
        <f t="shared" si="6"/>
        <v>0</v>
      </c>
    </row>
    <row r="28" spans="1:25" s="387" customFormat="1" ht="14.4" x14ac:dyDescent="0.3">
      <c r="A28" s="391" t="s">
        <v>783</v>
      </c>
      <c r="B28" s="387">
        <f>(0.6+0.3)/2</f>
        <v>0.44999999999999996</v>
      </c>
      <c r="C28" s="387">
        <v>0.3</v>
      </c>
      <c r="D28" s="387">
        <v>0.3</v>
      </c>
      <c r="E28" s="387">
        <f>(0.3+0.4)/2</f>
        <v>0.35</v>
      </c>
      <c r="F28" s="387">
        <f>(0.6+1.5)/2</f>
        <v>1.05</v>
      </c>
      <c r="G28" s="392">
        <f>G27/G4*100</f>
        <v>0.62277805737292413</v>
      </c>
      <c r="H28" s="381"/>
      <c r="I28" s="381"/>
      <c r="J28" s="381"/>
      <c r="O28" s="378"/>
      <c r="P28" s="434"/>
      <c r="R28" s="392">
        <f>R27/R$4*100</f>
        <v>1.4674093609607439</v>
      </c>
      <c r="S28" s="392">
        <f t="shared" ref="S28:W28" si="46">S27/S$4*100</f>
        <v>0.97827290730716288</v>
      </c>
      <c r="T28" s="392">
        <f t="shared" si="46"/>
        <v>0.97827290730716276</v>
      </c>
      <c r="U28" s="392">
        <f t="shared" si="46"/>
        <v>1.1413183918583567</v>
      </c>
      <c r="V28" s="392">
        <f t="shared" si="46"/>
        <v>3.4239551755750703</v>
      </c>
      <c r="W28" s="392">
        <f t="shared" si="46"/>
        <v>2.0308230026443916</v>
      </c>
      <c r="X28" s="392">
        <f>100*X27/X4</f>
        <v>2.0308230026443916</v>
      </c>
      <c r="Y28" s="438">
        <f t="shared" si="6"/>
        <v>0</v>
      </c>
    </row>
    <row r="29" spans="1:25" ht="14.4" x14ac:dyDescent="0.3">
      <c r="A29" s="129" t="s">
        <v>750</v>
      </c>
      <c r="B29" s="129">
        <f>B$4*B30/100</f>
        <v>6.2960000000000003</v>
      </c>
      <c r="C29" s="129">
        <f t="shared" ref="C29:F29" si="47">C$4*C30/100</f>
        <v>14.333000000000002</v>
      </c>
      <c r="D29" s="129">
        <f t="shared" si="47"/>
        <v>23.687999999999999</v>
      </c>
      <c r="E29" s="129">
        <f t="shared" si="47"/>
        <v>39.24</v>
      </c>
      <c r="F29" s="129">
        <f t="shared" si="47"/>
        <v>127.13600000000001</v>
      </c>
      <c r="G29" s="129">
        <f>SUM(B29:F29)</f>
        <v>210.69300000000001</v>
      </c>
      <c r="H29" s="381"/>
      <c r="I29" s="381"/>
      <c r="J29" s="381"/>
      <c r="K29" s="374">
        <f>B29/$G29</f>
        <v>2.9882340656784991E-2</v>
      </c>
      <c r="L29" s="374">
        <f>C29/$G29</f>
        <v>6.8027888918948426E-2</v>
      </c>
      <c r="M29" s="374">
        <f>D29/$G29</f>
        <v>0.11242898435163957</v>
      </c>
      <c r="N29" s="374">
        <f>E29/$G29</f>
        <v>0.18624254246700175</v>
      </c>
      <c r="O29" s="428">
        <f>1-SUM(K29:N29)</f>
        <v>0.60341824360562524</v>
      </c>
      <c r="P29" s="437">
        <f>SUM(K30:O30)</f>
        <v>1</v>
      </c>
      <c r="R29" s="377">
        <f>$X29*K30</f>
        <v>8045.8715254919998</v>
      </c>
      <c r="S29" s="377">
        <f>$X29*L30</f>
        <v>20763.580445492</v>
      </c>
      <c r="T29" s="377">
        <f>$X29*M30</f>
        <v>31145.409599999999</v>
      </c>
      <c r="U29" s="377">
        <f>$X29*N30</f>
        <v>49313.565199999997</v>
      </c>
      <c r="V29" s="377">
        <f>$X29*O30</f>
        <v>150276.65322901602</v>
      </c>
      <c r="W29" s="377">
        <f t="shared" ref="W29" si="48">$X29*P29</f>
        <v>259545.08</v>
      </c>
      <c r="X29" s="396">
        <f>(H81+H82)</f>
        <v>259545.08</v>
      </c>
      <c r="Y29" s="438">
        <f t="shared" si="6"/>
        <v>0</v>
      </c>
    </row>
    <row r="30" spans="1:25" s="387" customFormat="1" ht="14.4" x14ac:dyDescent="0.3">
      <c r="A30" s="391" t="s">
        <v>783</v>
      </c>
      <c r="B30" s="391">
        <v>8</v>
      </c>
      <c r="C30" s="391">
        <v>11</v>
      </c>
      <c r="D30" s="391">
        <v>14</v>
      </c>
      <c r="E30" s="391">
        <v>18</v>
      </c>
      <c r="F30" s="391">
        <v>32</v>
      </c>
      <c r="G30" s="398">
        <f>G29/G4*100</f>
        <v>21.207146451937593</v>
      </c>
      <c r="H30" s="381"/>
      <c r="I30" s="381"/>
      <c r="J30" s="381"/>
      <c r="K30" s="378">
        <v>3.09999E-2</v>
      </c>
      <c r="L30" s="378">
        <v>7.9999899999999999E-2</v>
      </c>
      <c r="M30" s="378">
        <v>0.12</v>
      </c>
      <c r="N30" s="378">
        <v>0.19</v>
      </c>
      <c r="O30" s="378">
        <v>0.57900020000000008</v>
      </c>
      <c r="P30" s="426">
        <f>SUM(K30:O30)</f>
        <v>1</v>
      </c>
      <c r="R30" s="392">
        <f>R29/R4*100</f>
        <v>8.7607162007941142</v>
      </c>
      <c r="S30" s="392">
        <f t="shared" ref="S30" si="49">S29/S4*100</f>
        <v>13.655231891920577</v>
      </c>
      <c r="T30" s="392">
        <f t="shared" ref="T30" si="50">T29/T4*100</f>
        <v>15.773749464680195</v>
      </c>
      <c r="U30" s="392">
        <f t="shared" ref="U30" si="51">U29/U4*100</f>
        <v>19.384346245815703</v>
      </c>
      <c r="V30" s="392">
        <f t="shared" ref="V30" si="52">V29/V4*100</f>
        <v>32.412624650560318</v>
      </c>
      <c r="W30" s="392">
        <f t="shared" ref="W30" si="53">W29/W4*100</f>
        <v>22.386498988625135</v>
      </c>
      <c r="X30" s="396">
        <f>100*X29/X4</f>
        <v>22.386498988625139</v>
      </c>
      <c r="Y30" s="438">
        <f t="shared" si="6"/>
        <v>0</v>
      </c>
    </row>
    <row r="31" spans="1:25" ht="14.4" x14ac:dyDescent="0.3">
      <c r="A31" t="s">
        <v>752</v>
      </c>
      <c r="G31"/>
      <c r="H31" s="381"/>
      <c r="I31" s="381"/>
      <c r="J31" s="381"/>
      <c r="K31" s="129"/>
      <c r="L31" s="129"/>
      <c r="M31" s="129"/>
      <c r="N31" s="129"/>
      <c r="O31" s="428"/>
      <c r="P31" s="426"/>
      <c r="X31" s="381"/>
      <c r="Y31" s="438">
        <f>W3-X31</f>
        <v>0</v>
      </c>
    </row>
    <row r="32" spans="1:25" ht="14.4" x14ac:dyDescent="0.3">
      <c r="A32" s="369" t="s">
        <v>751</v>
      </c>
      <c r="B32" s="374">
        <f>B$4*B33/100</f>
        <v>0.78700000000000003</v>
      </c>
      <c r="C32" s="374">
        <f t="shared" ref="C32:F32" si="54">C$4*C33/100</f>
        <v>2.6060000000000003</v>
      </c>
      <c r="D32" s="374">
        <f t="shared" si="54"/>
        <v>3.3839999999999999</v>
      </c>
      <c r="E32" s="374">
        <f t="shared" si="54"/>
        <v>8.7200000000000006</v>
      </c>
      <c r="F32" s="374">
        <f t="shared" si="54"/>
        <v>67.540999999999997</v>
      </c>
      <c r="G32" s="129">
        <f>SUM(B32:F32)</f>
        <v>83.037999999999997</v>
      </c>
      <c r="H32" s="381"/>
      <c r="I32" s="381"/>
      <c r="J32" s="381"/>
      <c r="K32" s="374">
        <f>B32/$G32</f>
        <v>9.4775885739059231E-3</v>
      </c>
      <c r="L32" s="374">
        <f>C32/$G32</f>
        <v>3.1383222139261549E-2</v>
      </c>
      <c r="M32" s="374">
        <f>D32/$G32</f>
        <v>4.075242659986994E-2</v>
      </c>
      <c r="N32" s="374">
        <f>E32/$G32</f>
        <v>0.10501216310604784</v>
      </c>
      <c r="O32" s="428">
        <f t="shared" ref="O32:O56" si="55">1-SUM(K32:N32)</f>
        <v>0.81337459958091474</v>
      </c>
      <c r="P32" s="434">
        <f t="shared" si="22"/>
        <v>1</v>
      </c>
      <c r="R32" s="281">
        <f>$X32*K32</f>
        <v>129.37856162238975</v>
      </c>
      <c r="S32" s="281">
        <f>$X32*L32</f>
        <v>428.41236542305938</v>
      </c>
      <c r="T32" s="281">
        <f>$X32*M32</f>
        <v>556.31137551482459</v>
      </c>
      <c r="U32" s="281">
        <f>$X32*N32</f>
        <v>1433.521038560659</v>
      </c>
      <c r="V32" s="281">
        <f>$X32*O32</f>
        <v>11103.376658879068</v>
      </c>
      <c r="W32" s="377">
        <f>SUM(R32:V32)</f>
        <v>13651</v>
      </c>
      <c r="X32" s="382">
        <f>H81</f>
        <v>13651</v>
      </c>
      <c r="Y32" s="438">
        <f t="shared" si="6"/>
        <v>0</v>
      </c>
    </row>
    <row r="33" spans="1:25" s="387" customFormat="1" ht="14.4" x14ac:dyDescent="0.3">
      <c r="A33" s="391" t="s">
        <v>783</v>
      </c>
      <c r="B33" s="387">
        <v>1</v>
      </c>
      <c r="C33" s="387">
        <v>2</v>
      </c>
      <c r="D33" s="387">
        <v>2</v>
      </c>
      <c r="E33" s="387">
        <v>4</v>
      </c>
      <c r="F33" s="387">
        <v>17</v>
      </c>
      <c r="G33" s="397">
        <f>G32/G4*100</f>
        <v>8.3581278309008553</v>
      </c>
      <c r="H33" s="381"/>
      <c r="I33" s="381"/>
      <c r="J33" s="381"/>
      <c r="O33" s="428"/>
      <c r="P33" s="434"/>
      <c r="R33" s="392">
        <f t="shared" ref="R33:W33" si="56">R32/R$4*100</f>
        <v>0.14087334818230268</v>
      </c>
      <c r="S33" s="392">
        <f t="shared" si="56"/>
        <v>0.28174669636460542</v>
      </c>
      <c r="T33" s="392">
        <f t="shared" si="56"/>
        <v>0.28174669636460548</v>
      </c>
      <c r="U33" s="392">
        <f t="shared" si="56"/>
        <v>0.56349339272921073</v>
      </c>
      <c r="V33" s="392">
        <f t="shared" si="56"/>
        <v>2.3948469190991459</v>
      </c>
      <c r="W33" s="392">
        <f t="shared" si="56"/>
        <v>1.1774374520746906</v>
      </c>
      <c r="X33" s="392">
        <f>100*X32/X4</f>
        <v>1.1774374520746906</v>
      </c>
      <c r="Y33" s="438">
        <f t="shared" si="6"/>
        <v>0</v>
      </c>
    </row>
    <row r="34" spans="1:25" ht="14.4" x14ac:dyDescent="0.3">
      <c r="A34" s="372" t="s">
        <v>753</v>
      </c>
      <c r="B34" s="129">
        <f t="shared" ref="B34:F35" si="57">SUM(B6,B29)</f>
        <v>59.025000000000006</v>
      </c>
      <c r="C34" s="129">
        <f t="shared" si="57"/>
        <v>136.81500000000003</v>
      </c>
      <c r="D34" s="129">
        <f t="shared" si="57"/>
        <v>196.27199999999996</v>
      </c>
      <c r="E34" s="129">
        <f t="shared" si="57"/>
        <v>265.95999999999998</v>
      </c>
      <c r="F34" s="129">
        <f t="shared" si="57"/>
        <v>480.73300000000006</v>
      </c>
      <c r="G34" s="129">
        <f>SUM(B34:F34)</f>
        <v>1138.8049999999998</v>
      </c>
      <c r="H34" s="381"/>
      <c r="I34" s="381"/>
      <c r="J34" s="381"/>
      <c r="K34" s="129">
        <f>B34/$G34</f>
        <v>5.1830647037903778E-2</v>
      </c>
      <c r="L34" s="129">
        <f>C34/$G34</f>
        <v>0.12013909317222883</v>
      </c>
      <c r="M34" s="129">
        <f>D34/$G34</f>
        <v>0.17234908522530196</v>
      </c>
      <c r="N34" s="129">
        <f>E34/$G34</f>
        <v>0.23354305609827847</v>
      </c>
      <c r="O34" s="428">
        <f t="shared" si="55"/>
        <v>0.4221381184662869</v>
      </c>
      <c r="P34" s="434">
        <f t="shared" si="22"/>
        <v>1</v>
      </c>
      <c r="R34" s="377">
        <f>SUM(R6,R29)</f>
        <v>67494.065318066438</v>
      </c>
      <c r="S34" s="377">
        <f>SUM(S6,S29)</f>
        <v>156709.85977276487</v>
      </c>
      <c r="T34" s="377">
        <f>SUM(T6,T29)</f>
        <v>225294.1873858858</v>
      </c>
      <c r="U34" s="377">
        <f>SUM(U6,U29)</f>
        <v>307321.00592029223</v>
      </c>
      <c r="V34" s="377">
        <f>SUM(V6,V29)</f>
        <v>565278.3896211813</v>
      </c>
      <c r="W34" s="377">
        <f>SUM(R34:V34)</f>
        <v>1322097.5080181905</v>
      </c>
      <c r="X34" s="382">
        <f>X6+X29</f>
        <v>1322097.5080181907</v>
      </c>
      <c r="Y34" s="438">
        <f t="shared" si="6"/>
        <v>0</v>
      </c>
    </row>
    <row r="35" spans="1:25" s="387" customFormat="1" ht="14.4" x14ac:dyDescent="0.3">
      <c r="A35" s="391" t="s">
        <v>783</v>
      </c>
      <c r="B35" s="391">
        <f>SUM(B7,B30)</f>
        <v>75</v>
      </c>
      <c r="C35" s="391">
        <f t="shared" si="57"/>
        <v>105</v>
      </c>
      <c r="D35" s="391">
        <f t="shared" si="57"/>
        <v>116</v>
      </c>
      <c r="E35" s="391">
        <f t="shared" si="57"/>
        <v>122</v>
      </c>
      <c r="F35" s="391">
        <f t="shared" si="57"/>
        <v>121</v>
      </c>
      <c r="G35" s="393">
        <f>SUM(G7,G30)</f>
        <v>114.62556618017112</v>
      </c>
      <c r="H35" s="381"/>
      <c r="I35" s="381"/>
      <c r="J35" s="381"/>
      <c r="K35" s="391"/>
      <c r="L35" s="391"/>
      <c r="M35" s="391"/>
      <c r="N35" s="391"/>
      <c r="O35" s="428"/>
      <c r="P35" s="434"/>
      <c r="R35" s="392">
        <f>R34/R$4*100</f>
        <v>73.490652891488139</v>
      </c>
      <c r="S35" s="392">
        <f t="shared" ref="S35:W35" si="58">S34/S$4*100</f>
        <v>103.06071636176111</v>
      </c>
      <c r="T35" s="392">
        <f t="shared" si="58"/>
        <v>114.10137523680781</v>
      </c>
      <c r="U35" s="392">
        <f t="shared" si="58"/>
        <v>120.802800673826</v>
      </c>
      <c r="V35" s="392">
        <f t="shared" si="58"/>
        <v>121.92283945758531</v>
      </c>
      <c r="W35" s="392">
        <f t="shared" si="58"/>
        <v>114.03465835728051</v>
      </c>
      <c r="X35" s="392">
        <f>X34/X4*100</f>
        <v>114.03465835728053</v>
      </c>
      <c r="Y35" s="438">
        <f t="shared" si="6"/>
        <v>0</v>
      </c>
    </row>
    <row r="36" spans="1:25" s="163" customFormat="1" ht="28.75" x14ac:dyDescent="0.3">
      <c r="A36" s="373" t="s">
        <v>759</v>
      </c>
      <c r="B36" s="374">
        <v>7510</v>
      </c>
      <c r="C36" s="374">
        <v>17210</v>
      </c>
      <c r="D36" s="374">
        <v>24380</v>
      </c>
      <c r="E36" s="374">
        <v>32830</v>
      </c>
      <c r="F36" s="374">
        <v>60620</v>
      </c>
      <c r="G36" s="374">
        <v>28590</v>
      </c>
      <c r="H36" s="381"/>
      <c r="I36" s="381"/>
      <c r="J36" s="381"/>
      <c r="K36" s="129"/>
      <c r="L36" s="129"/>
      <c r="M36" s="129"/>
      <c r="N36" s="129"/>
      <c r="O36" s="428"/>
      <c r="P36" s="434"/>
      <c r="R36" s="374"/>
      <c r="S36" s="374"/>
      <c r="T36" s="374"/>
      <c r="U36" s="374"/>
      <c r="V36" s="374"/>
      <c r="W36" s="374"/>
      <c r="X36" s="381"/>
      <c r="Y36" s="438">
        <f t="shared" si="6"/>
        <v>0</v>
      </c>
    </row>
    <row r="37" spans="1:25" s="163" customFormat="1" ht="14.4" x14ac:dyDescent="0.3">
      <c r="A37" s="372" t="s">
        <v>760</v>
      </c>
      <c r="B37" s="129">
        <v>58.7</v>
      </c>
      <c r="C37" s="129">
        <v>136.6</v>
      </c>
      <c r="D37" s="129">
        <v>196</v>
      </c>
      <c r="E37" s="129">
        <v>267</v>
      </c>
      <c r="F37" s="129">
        <v>481</v>
      </c>
      <c r="G37" s="129">
        <v>1140.2</v>
      </c>
      <c r="H37" s="381"/>
      <c r="I37" s="381"/>
      <c r="J37" s="381"/>
      <c r="K37" s="129">
        <f t="shared" ref="K37:N38" si="59">B37/$G37</f>
        <v>5.1482196105946329E-2</v>
      </c>
      <c r="L37" s="129">
        <f t="shared" si="59"/>
        <v>0.1198035432380284</v>
      </c>
      <c r="M37" s="129">
        <f t="shared" si="59"/>
        <v>0.17189966672513593</v>
      </c>
      <c r="N37" s="129">
        <f t="shared" si="59"/>
        <v>0.23416944395720049</v>
      </c>
      <c r="O37" s="428">
        <f t="shared" si="55"/>
        <v>0.42264514997368885</v>
      </c>
      <c r="P37" s="434">
        <f t="shared" si="22"/>
        <v>1</v>
      </c>
      <c r="R37" s="377">
        <f>R34</f>
        <v>67494.065318066438</v>
      </c>
      <c r="S37" s="377">
        <f t="shared" ref="S37:X37" si="60">S34</f>
        <v>156709.85977276487</v>
      </c>
      <c r="T37" s="377">
        <f t="shared" si="60"/>
        <v>225294.1873858858</v>
      </c>
      <c r="U37" s="377">
        <f t="shared" si="60"/>
        <v>307321.00592029223</v>
      </c>
      <c r="V37" s="377">
        <f t="shared" si="60"/>
        <v>565278.3896211813</v>
      </c>
      <c r="W37" s="377">
        <f>SUM(R37:V37)</f>
        <v>1322097.5080181905</v>
      </c>
      <c r="X37" s="380">
        <f t="shared" si="60"/>
        <v>1322097.5080181907</v>
      </c>
      <c r="Y37" s="438">
        <f t="shared" si="6"/>
        <v>0</v>
      </c>
    </row>
    <row r="38" spans="1:25" x14ac:dyDescent="0.35">
      <c r="A38" s="129" t="s">
        <v>754</v>
      </c>
      <c r="B38" s="374">
        <f>B$4*B39/100</f>
        <v>-3.9350000000000001</v>
      </c>
      <c r="C38" s="374">
        <f t="shared" ref="C38:F38" si="61">C$4*C39/100</f>
        <v>-9.1210000000000022</v>
      </c>
      <c r="D38" s="374">
        <f t="shared" si="61"/>
        <v>-16.920000000000002</v>
      </c>
      <c r="E38" s="374">
        <f t="shared" si="61"/>
        <v>-28.34</v>
      </c>
      <c r="F38" s="374">
        <f t="shared" si="61"/>
        <v>-79.459999999999994</v>
      </c>
      <c r="G38" s="129">
        <f>SUM(B38:F38)</f>
        <v>-137.77600000000001</v>
      </c>
      <c r="H38" s="381"/>
      <c r="I38" s="381"/>
      <c r="J38" s="381"/>
      <c r="K38" s="374">
        <f t="shared" si="59"/>
        <v>2.8560852398095457E-2</v>
      </c>
      <c r="L38" s="374">
        <f t="shared" si="59"/>
        <v>6.6201660666589252E-2</v>
      </c>
      <c r="M38" s="374">
        <f t="shared" si="59"/>
        <v>0.12280803623272558</v>
      </c>
      <c r="N38" s="374">
        <f t="shared" si="59"/>
        <v>0.20569620253164556</v>
      </c>
      <c r="O38" s="428">
        <f t="shared" si="55"/>
        <v>0.57673324817094418</v>
      </c>
      <c r="P38" s="434">
        <f t="shared" si="22"/>
        <v>1</v>
      </c>
      <c r="R38" s="383">
        <f>$X38*K38</f>
        <v>-4499.3910042387643</v>
      </c>
      <c r="S38" s="383">
        <f>$X38*L38</f>
        <v>-10429.211016432471</v>
      </c>
      <c r="T38" s="383">
        <f>$X38*M38</f>
        <v>-19346.80960399489</v>
      </c>
      <c r="U38" s="383">
        <f>$X38*N38</f>
        <v>-32404.762658227846</v>
      </c>
      <c r="V38" s="383">
        <f>$X38*O38</f>
        <v>-90856.82571710604</v>
      </c>
      <c r="W38" s="377">
        <f>SUM(R38:V38)</f>
        <v>-157537</v>
      </c>
      <c r="X38" s="382">
        <f>(X41+X43)</f>
        <v>-157537</v>
      </c>
      <c r="Y38" s="438">
        <f t="shared" si="6"/>
        <v>0</v>
      </c>
    </row>
    <row r="39" spans="1:25" s="387" customFormat="1" ht="14.4" x14ac:dyDescent="0.3">
      <c r="A39" s="391" t="s">
        <v>783</v>
      </c>
      <c r="B39" s="391">
        <v>-5</v>
      </c>
      <c r="C39" s="391">
        <v>-7</v>
      </c>
      <c r="D39" s="391">
        <v>-10</v>
      </c>
      <c r="E39" s="391">
        <v>-13</v>
      </c>
      <c r="F39" s="391">
        <v>-20</v>
      </c>
      <c r="G39" s="393">
        <f>G38/G4*100</f>
        <v>-13.867740312028184</v>
      </c>
      <c r="H39" s="381"/>
      <c r="I39" s="381"/>
      <c r="J39" s="381"/>
      <c r="O39" s="428"/>
      <c r="P39" s="434"/>
      <c r="R39" s="392">
        <f t="shared" ref="R39:W39" si="62">R38/R$4*100</f>
        <v>-4.8991445537817553</v>
      </c>
      <c r="S39" s="392">
        <f t="shared" si="62"/>
        <v>-6.8588023752944576</v>
      </c>
      <c r="T39" s="392">
        <f t="shared" si="62"/>
        <v>-9.7982891075635141</v>
      </c>
      <c r="U39" s="392">
        <f t="shared" si="62"/>
        <v>-12.737775839832564</v>
      </c>
      <c r="V39" s="392">
        <f t="shared" si="62"/>
        <v>-19.596578215127025</v>
      </c>
      <c r="W39" s="392">
        <f t="shared" si="62"/>
        <v>-13.588012884586517</v>
      </c>
      <c r="X39" s="392">
        <f>100*X38/X4</f>
        <v>-13.588012884586517</v>
      </c>
      <c r="Y39" s="438">
        <f t="shared" si="6"/>
        <v>0</v>
      </c>
    </row>
    <row r="40" spans="1:25" s="163" customFormat="1" ht="14.4" x14ac:dyDescent="0.3">
      <c r="A40" s="129" t="s">
        <v>752</v>
      </c>
      <c r="B40" s="129"/>
      <c r="C40" s="129"/>
      <c r="D40" s="129"/>
      <c r="E40" s="129"/>
      <c r="F40" s="129"/>
      <c r="G40" s="129"/>
      <c r="H40" s="381"/>
      <c r="I40" s="381"/>
      <c r="J40" s="381"/>
      <c r="K40" s="374"/>
      <c r="L40" s="374"/>
      <c r="M40" s="374"/>
      <c r="N40" s="374"/>
      <c r="O40" s="428"/>
      <c r="P40" s="434"/>
      <c r="R40" s="374"/>
      <c r="S40" s="374"/>
      <c r="T40" s="374"/>
      <c r="U40" s="374"/>
      <c r="V40" s="374"/>
      <c r="W40" s="374"/>
      <c r="X40" s="382"/>
      <c r="Y40" s="438">
        <f t="shared" si="6"/>
        <v>0</v>
      </c>
    </row>
    <row r="41" spans="1:25" s="163" customFormat="1" x14ac:dyDescent="0.35">
      <c r="A41" s="389" t="s">
        <v>787</v>
      </c>
      <c r="B41" s="377">
        <f>$H41*K38</f>
        <v>3.4972310314402328</v>
      </c>
      <c r="C41" s="377">
        <f t="shared" ref="C41:F41" si="63">$H41*L38</f>
        <v>8.10628824339679</v>
      </c>
      <c r="D41" s="377">
        <f t="shared" si="63"/>
        <v>15.037649060220774</v>
      </c>
      <c r="E41" s="377">
        <f t="shared" si="63"/>
        <v>25.187173425925337</v>
      </c>
      <c r="F41" s="377">
        <f t="shared" si="63"/>
        <v>70.620070586592362</v>
      </c>
      <c r="G41" s="377">
        <f>SUM(B41:F41)</f>
        <v>122.4484123475755</v>
      </c>
      <c r="H41" s="382">
        <f>-G38*X41/X38</f>
        <v>122.4484123475755</v>
      </c>
      <c r="I41" s="409">
        <f>G41-H41</f>
        <v>0</v>
      </c>
      <c r="J41" s="381"/>
      <c r="K41" s="419">
        <f>B41/$G41</f>
        <v>2.8560852398095457E-2</v>
      </c>
      <c r="L41" s="419">
        <f t="shared" ref="L41:N41" si="64">C41/$G41</f>
        <v>6.6201660666589252E-2</v>
      </c>
      <c r="M41" s="419">
        <f t="shared" si="64"/>
        <v>0.12280803623272558</v>
      </c>
      <c r="N41" s="419">
        <f t="shared" si="64"/>
        <v>0.20569620253164556</v>
      </c>
      <c r="O41" s="428">
        <f t="shared" si="55"/>
        <v>0.57673324817094418</v>
      </c>
      <c r="P41" s="434">
        <f t="shared" si="22"/>
        <v>1</v>
      </c>
      <c r="R41" s="281">
        <f>$X41*K41</f>
        <v>-3998.8335051097429</v>
      </c>
      <c r="S41" s="281">
        <f>$X41*L41</f>
        <v>-9268.960711589827</v>
      </c>
      <c r="T41" s="281">
        <f>$X41*M41</f>
        <v>-17194.47596098014</v>
      </c>
      <c r="U41" s="281">
        <f>$X41*N41</f>
        <v>-28799.731012658227</v>
      </c>
      <c r="V41" s="281">
        <f>$X41*O41</f>
        <v>-80748.998809662065</v>
      </c>
      <c r="W41" s="377">
        <f>SUM(R41:V41)</f>
        <v>-140011</v>
      </c>
      <c r="X41" s="382">
        <f>-H83</f>
        <v>-140011</v>
      </c>
      <c r="Y41" s="438">
        <f t="shared" si="6"/>
        <v>0</v>
      </c>
    </row>
    <row r="42" spans="1:25" s="387" customFormat="1" ht="14.4" x14ac:dyDescent="0.3">
      <c r="A42" s="391" t="s">
        <v>783</v>
      </c>
      <c r="B42" s="393">
        <f>B41/B$4*100</f>
        <v>4.4437497222874622</v>
      </c>
      <c r="C42" s="393">
        <f t="shared" ref="C42:G42" si="65">C41/C$4*100</f>
        <v>6.221249611202448</v>
      </c>
      <c r="D42" s="393">
        <f t="shared" si="65"/>
        <v>8.8874994445749262</v>
      </c>
      <c r="E42" s="393">
        <f t="shared" si="65"/>
        <v>11.553749277947402</v>
      </c>
      <c r="F42" s="393">
        <f t="shared" si="65"/>
        <v>17.774998889149852</v>
      </c>
      <c r="G42" s="393">
        <f t="shared" si="65"/>
        <v>12.324953432065978</v>
      </c>
      <c r="H42" s="382">
        <f>H41/G4*100</f>
        <v>12.324953432065978</v>
      </c>
      <c r="I42" s="409">
        <f t="shared" ref="I42:I44" si="66">G42-H42</f>
        <v>0</v>
      </c>
      <c r="J42" s="381"/>
      <c r="K42" s="419"/>
      <c r="L42" s="419"/>
      <c r="M42" s="419"/>
      <c r="N42" s="419"/>
      <c r="O42" s="428"/>
      <c r="P42" s="434"/>
      <c r="R42" s="392">
        <f t="shared" ref="R42:W42" si="67">R41/R$4*100</f>
        <v>-4.3541144500627622</v>
      </c>
      <c r="S42" s="392">
        <f t="shared" si="67"/>
        <v>-6.0957602300878673</v>
      </c>
      <c r="T42" s="392">
        <f t="shared" si="67"/>
        <v>-8.7082289001255262</v>
      </c>
      <c r="U42" s="392">
        <f t="shared" si="67"/>
        <v>-11.320697570163182</v>
      </c>
      <c r="V42" s="392">
        <f t="shared" si="67"/>
        <v>-17.416457800251052</v>
      </c>
      <c r="W42" s="392">
        <f t="shared" si="67"/>
        <v>-12.07634569646396</v>
      </c>
      <c r="X42" s="392">
        <f>100*X41/X4</f>
        <v>-12.07634569646396</v>
      </c>
      <c r="Y42" s="438">
        <f t="shared" si="6"/>
        <v>0</v>
      </c>
    </row>
    <row r="43" spans="1:25" s="163" customFormat="1" x14ac:dyDescent="0.35">
      <c r="A43" s="389" t="s">
        <v>786</v>
      </c>
      <c r="B43" s="377">
        <f>$H43*K38</f>
        <v>0.43776896855976688</v>
      </c>
      <c r="C43" s="377">
        <f t="shared" ref="C43:F43" si="68">$H43*L38</f>
        <v>1.0147117566032109</v>
      </c>
      <c r="D43" s="377">
        <f t="shared" si="68"/>
        <v>1.8823509397792266</v>
      </c>
      <c r="E43" s="377">
        <f t="shared" si="68"/>
        <v>3.1528265740746617</v>
      </c>
      <c r="F43" s="377">
        <f t="shared" si="68"/>
        <v>8.8399294134076456</v>
      </c>
      <c r="G43" s="377">
        <f>SUM(B43:F43)</f>
        <v>15.327587652424512</v>
      </c>
      <c r="H43" s="382">
        <f>-G38*X43/X38</f>
        <v>15.32758765242451</v>
      </c>
      <c r="I43" s="409">
        <f t="shared" si="66"/>
        <v>0</v>
      </c>
      <c r="J43" s="381"/>
      <c r="K43" s="419">
        <f t="shared" ref="K43" si="69">B43/$G43</f>
        <v>2.8560852398095454E-2</v>
      </c>
      <c r="L43" s="419">
        <f t="shared" ref="L43" si="70">C43/$G43</f>
        <v>6.6201660666589252E-2</v>
      </c>
      <c r="M43" s="419">
        <f t="shared" ref="M43" si="71">D43/$G43</f>
        <v>0.12280803623272557</v>
      </c>
      <c r="N43" s="419">
        <f t="shared" ref="N43" si="72">E43/$G43</f>
        <v>0.20569620253164553</v>
      </c>
      <c r="O43" s="428">
        <f t="shared" si="55"/>
        <v>0.57673324817094418</v>
      </c>
      <c r="P43" s="434">
        <f t="shared" si="22"/>
        <v>1</v>
      </c>
      <c r="R43" s="281">
        <f>$X43*K43</f>
        <v>-500.55749912902093</v>
      </c>
      <c r="S43" s="281">
        <f>$X43*L43</f>
        <v>-1160.2503048426431</v>
      </c>
      <c r="T43" s="281">
        <f>$X43*M43</f>
        <v>-2152.3336430147483</v>
      </c>
      <c r="U43" s="281">
        <f>$X43*N43</f>
        <v>-3605.0316455696197</v>
      </c>
      <c r="V43" s="281">
        <f>$X43*O43</f>
        <v>-10107.826907443969</v>
      </c>
      <c r="W43" s="377">
        <f>SUM(R43:V43)</f>
        <v>-17526</v>
      </c>
      <c r="X43" s="382">
        <f>-H84</f>
        <v>-17526</v>
      </c>
      <c r="Y43" s="438">
        <f t="shared" si="6"/>
        <v>0</v>
      </c>
    </row>
    <row r="44" spans="1:25" s="387" customFormat="1" ht="14.4" x14ac:dyDescent="0.3">
      <c r="A44" s="391" t="s">
        <v>783</v>
      </c>
      <c r="B44" s="393">
        <f>B43/B$4*100</f>
        <v>0.55625027771253732</v>
      </c>
      <c r="C44" s="393">
        <f t="shared" ref="C44" si="73">C43/C$4*100</f>
        <v>0.77875038879755243</v>
      </c>
      <c r="D44" s="393">
        <f t="shared" ref="D44" si="74">D43/D$4*100</f>
        <v>1.1125005554250751</v>
      </c>
      <c r="E44" s="393">
        <f t="shared" ref="E44" si="75">E43/E$4*100</f>
        <v>1.4462507220525973</v>
      </c>
      <c r="F44" s="393">
        <f t="shared" ref="F44" si="76">F43/F$4*100</f>
        <v>2.2250011108501502</v>
      </c>
      <c r="G44" s="393">
        <f t="shared" ref="G44" si="77">G43/G$4*100</f>
        <v>1.5427868799622055</v>
      </c>
      <c r="H44" s="385">
        <f>H43/G4*100</f>
        <v>1.5427868799622053</v>
      </c>
      <c r="I44" s="409">
        <f t="shared" si="66"/>
        <v>0</v>
      </c>
      <c r="J44" s="381"/>
      <c r="O44" s="428"/>
      <c r="P44" s="434"/>
      <c r="R44" s="392">
        <f t="shared" ref="R44:W44" si="78">R43/R$4*100</f>
        <v>-0.54503010371899319</v>
      </c>
      <c r="S44" s="392">
        <f t="shared" si="78"/>
        <v>-0.76304214520659053</v>
      </c>
      <c r="T44" s="392">
        <f t="shared" si="78"/>
        <v>-1.0900602074379868</v>
      </c>
      <c r="U44" s="392">
        <f t="shared" si="78"/>
        <v>-1.4170782696693824</v>
      </c>
      <c r="V44" s="392">
        <f t="shared" si="78"/>
        <v>-2.1801204148759736</v>
      </c>
      <c r="W44" s="392">
        <f t="shared" si="78"/>
        <v>-1.5116671881225572</v>
      </c>
      <c r="X44" s="392">
        <f>100*X43/X4</f>
        <v>-1.5116671881225572</v>
      </c>
      <c r="Y44" s="438">
        <f t="shared" si="6"/>
        <v>0</v>
      </c>
    </row>
    <row r="45" spans="1:25" ht="14.4" x14ac:dyDescent="0.3">
      <c r="A45" s="129" t="s">
        <v>9</v>
      </c>
      <c r="B45" s="374">
        <f>B$4*B46/100</f>
        <v>-17.314</v>
      </c>
      <c r="C45" s="374">
        <f t="shared" ref="C45:F45" si="79">C$4*C46/100</f>
        <v>-42.999000000000002</v>
      </c>
      <c r="D45" s="374">
        <f t="shared" si="79"/>
        <v>-60.911999999999999</v>
      </c>
      <c r="E45" s="374">
        <f t="shared" si="79"/>
        <v>-80.66</v>
      </c>
      <c r="F45" s="374">
        <f t="shared" si="79"/>
        <v>-119.19</v>
      </c>
      <c r="G45" s="129">
        <f>SUM(B45:F45)</f>
        <v>-321.07499999999999</v>
      </c>
      <c r="H45" s="381"/>
      <c r="I45" s="381"/>
      <c r="J45" s="381"/>
      <c r="K45" s="374">
        <f>B45/$G45</f>
        <v>5.3925095382698747E-2</v>
      </c>
      <c r="L45" s="374">
        <f>C45/$G45</f>
        <v>0.13392198084559684</v>
      </c>
      <c r="M45" s="374">
        <f>D45/$G45</f>
        <v>0.18971268395234758</v>
      </c>
      <c r="N45" s="374">
        <f>E45/$G45</f>
        <v>0.25121856264112746</v>
      </c>
      <c r="O45" s="428">
        <f t="shared" si="55"/>
        <v>0.37122167717822929</v>
      </c>
      <c r="P45" s="434">
        <f t="shared" si="22"/>
        <v>1</v>
      </c>
      <c r="R45" s="383">
        <f>$X45*K45</f>
        <v>-19797.080132202627</v>
      </c>
      <c r="S45" s="383">
        <f>$X45*L45</f>
        <v>-49165.683759072475</v>
      </c>
      <c r="T45" s="383">
        <f>$X45*M45</f>
        <v>-69647.669227950013</v>
      </c>
      <c r="U45" s="383">
        <f>$X45*N45</f>
        <v>-92227.82046109876</v>
      </c>
      <c r="V45" s="383">
        <f>$X45*O45</f>
        <v>-136283.58443786707</v>
      </c>
      <c r="W45" s="377">
        <f>SUM(R45:V45)</f>
        <v>-367121.83801819093</v>
      </c>
      <c r="X45" s="382">
        <f>-(X20+X22)</f>
        <v>-367121.83801819099</v>
      </c>
      <c r="Y45" s="438">
        <f t="shared" si="6"/>
        <v>0</v>
      </c>
    </row>
    <row r="46" spans="1:25" s="387" customFormat="1" ht="14.4" x14ac:dyDescent="0.3">
      <c r="A46" s="391" t="s">
        <v>783</v>
      </c>
      <c r="B46" s="391">
        <v>-22</v>
      </c>
      <c r="C46" s="391">
        <v>-33</v>
      </c>
      <c r="D46" s="391">
        <v>-36</v>
      </c>
      <c r="E46" s="391">
        <v>-37</v>
      </c>
      <c r="F46" s="391">
        <v>-30</v>
      </c>
      <c r="G46" s="393">
        <f>G45/G4*100</f>
        <v>-32.317564167086061</v>
      </c>
      <c r="H46" s="381"/>
      <c r="I46" s="381"/>
      <c r="J46" s="381"/>
      <c r="O46" s="428"/>
      <c r="P46" s="434"/>
      <c r="R46" s="392">
        <f t="shared" ref="R46:X46" si="80">R45/R$4*100</f>
        <v>-21.555974401666983</v>
      </c>
      <c r="S46" s="392">
        <f t="shared" si="80"/>
        <v>-32.33396160250048</v>
      </c>
      <c r="T46" s="392">
        <f t="shared" si="80"/>
        <v>-35.273412657273248</v>
      </c>
      <c r="U46" s="392">
        <f t="shared" si="80"/>
        <v>-36.253229675530832</v>
      </c>
      <c r="V46" s="392">
        <f t="shared" si="80"/>
        <v>-29.394510547727698</v>
      </c>
      <c r="W46" s="392">
        <f t="shared" si="80"/>
        <v>-31.665299359542598</v>
      </c>
      <c r="X46" s="392">
        <f t="shared" si="80"/>
        <v>-31.665299359542605</v>
      </c>
      <c r="Y46" s="438">
        <f t="shared" si="6"/>
        <v>0</v>
      </c>
    </row>
    <row r="47" spans="1:25" ht="14.4" x14ac:dyDescent="0.3">
      <c r="A47" s="129" t="s">
        <v>23</v>
      </c>
      <c r="B47" s="374">
        <f>B4*B48/100</f>
        <v>40.137</v>
      </c>
      <c r="C47" s="374">
        <f t="shared" ref="C47:F47" si="81">C4*C48/100</f>
        <v>45.604999999999997</v>
      </c>
      <c r="D47" s="374">
        <f t="shared" si="81"/>
        <v>50.76</v>
      </c>
      <c r="E47" s="374">
        <f t="shared" si="81"/>
        <v>58.86</v>
      </c>
      <c r="F47" s="374">
        <f t="shared" si="81"/>
        <v>99.325000000000003</v>
      </c>
      <c r="G47" s="129">
        <f>SUM(B47:F47)</f>
        <v>294.68699999999995</v>
      </c>
      <c r="H47" s="381"/>
      <c r="I47" s="381"/>
      <c r="J47" s="381"/>
      <c r="K47" s="374">
        <f>B47/$G47</f>
        <v>0.13620213989758628</v>
      </c>
      <c r="L47" s="374">
        <f>C47/$G47</f>
        <v>0.15475742058523112</v>
      </c>
      <c r="M47" s="374">
        <f>D47/$G47</f>
        <v>0.17225055737104117</v>
      </c>
      <c r="N47" s="374">
        <f>E47/$G47</f>
        <v>0.19973734844088817</v>
      </c>
      <c r="O47" s="428">
        <f t="shared" si="55"/>
        <v>0.33705253370525323</v>
      </c>
      <c r="P47" s="434">
        <f t="shared" si="22"/>
        <v>1</v>
      </c>
      <c r="R47" s="383">
        <f t="shared" ref="R47:W47" si="82">$X47*K47</f>
        <v>48353.530291461801</v>
      </c>
      <c r="S47" s="383">
        <f t="shared" si="82"/>
        <v>54940.896154224654</v>
      </c>
      <c r="T47" s="383">
        <f t="shared" si="82"/>
        <v>61151.187123965436</v>
      </c>
      <c r="U47" s="383">
        <f t="shared" si="82"/>
        <v>70909.355282045028</v>
      </c>
      <c r="V47" s="383">
        <f t="shared" si="82"/>
        <v>119658.03114830307</v>
      </c>
      <c r="W47" s="383">
        <f t="shared" si="82"/>
        <v>355013</v>
      </c>
      <c r="X47" s="381">
        <f>H79</f>
        <v>355013</v>
      </c>
      <c r="Y47" s="438">
        <f t="shared" si="6"/>
        <v>0</v>
      </c>
    </row>
    <row r="48" spans="1:25" s="387" customFormat="1" ht="14.4" x14ac:dyDescent="0.3">
      <c r="A48" s="391" t="s">
        <v>783</v>
      </c>
      <c r="B48" s="391">
        <f>B51+B53+B55</f>
        <v>51</v>
      </c>
      <c r="C48" s="391">
        <f t="shared" ref="C48:F48" si="83">C51+C53+C55</f>
        <v>35</v>
      </c>
      <c r="D48" s="391">
        <f t="shared" si="83"/>
        <v>30</v>
      </c>
      <c r="E48" s="391">
        <f t="shared" si="83"/>
        <v>27</v>
      </c>
      <c r="F48" s="391">
        <f t="shared" si="83"/>
        <v>25</v>
      </c>
      <c r="G48" s="393">
        <f>G47/G4*100</f>
        <v>29.661499748364363</v>
      </c>
      <c r="H48" s="381"/>
      <c r="I48" s="381"/>
      <c r="J48" s="381"/>
      <c r="O48" s="428"/>
      <c r="P48" s="434"/>
      <c r="R48" s="392">
        <f t="shared" ref="R48:X48" si="84">R47/R$4*100</f>
        <v>52.649555097649255</v>
      </c>
      <c r="S48" s="392">
        <f t="shared" si="84"/>
        <v>36.132047616033788</v>
      </c>
      <c r="T48" s="392">
        <f t="shared" si="84"/>
        <v>30.970326528028973</v>
      </c>
      <c r="U48" s="392">
        <f t="shared" si="84"/>
        <v>27.873293875226075</v>
      </c>
      <c r="V48" s="392">
        <f t="shared" si="84"/>
        <v>25.808605440024131</v>
      </c>
      <c r="W48" s="392">
        <f t="shared" si="84"/>
        <v>30.620877750596449</v>
      </c>
      <c r="X48" s="392">
        <f t="shared" si="84"/>
        <v>30.620877750596449</v>
      </c>
      <c r="Y48" s="438">
        <f t="shared" si="6"/>
        <v>0</v>
      </c>
    </row>
    <row r="49" spans="1:25" ht="14.4" x14ac:dyDescent="0.3">
      <c r="A49" t="s">
        <v>752</v>
      </c>
      <c r="B49" s="374"/>
      <c r="C49" s="374"/>
      <c r="D49" s="374"/>
      <c r="E49" s="374"/>
      <c r="F49" s="374"/>
      <c r="G49" s="374"/>
      <c r="H49" s="381"/>
      <c r="I49" s="381"/>
      <c r="J49" s="381"/>
      <c r="K49" s="129"/>
      <c r="L49" s="129"/>
      <c r="M49" s="129"/>
      <c r="N49" s="129"/>
      <c r="O49" s="428"/>
      <c r="P49" s="434"/>
      <c r="R49" s="374"/>
      <c r="S49" s="374"/>
      <c r="T49" s="374"/>
      <c r="U49" s="374"/>
      <c r="V49" s="374"/>
      <c r="W49" s="374"/>
      <c r="X49" s="381"/>
      <c r="Y49" s="438">
        <f>W49-X49</f>
        <v>0</v>
      </c>
    </row>
    <row r="50" spans="1:25" ht="14.4" x14ac:dyDescent="0.3">
      <c r="A50" s="369" t="s">
        <v>755</v>
      </c>
      <c r="B50" s="374">
        <f>B$4*B51/100</f>
        <v>16.527000000000001</v>
      </c>
      <c r="C50" s="374">
        <f t="shared" ref="C50:F50" si="85">C$4*C51/100</f>
        <v>24.757000000000001</v>
      </c>
      <c r="D50" s="374">
        <f t="shared" si="85"/>
        <v>32.147999999999996</v>
      </c>
      <c r="E50" s="374">
        <f t="shared" si="85"/>
        <v>39.24</v>
      </c>
      <c r="F50" s="374">
        <f t="shared" si="85"/>
        <v>79.459999999999994</v>
      </c>
      <c r="G50" s="129">
        <f>SUM(B50:F50)</f>
        <v>192.13200000000001</v>
      </c>
      <c r="H50" s="381"/>
      <c r="I50" s="381"/>
      <c r="J50" s="381"/>
      <c r="K50" s="374">
        <f>B50/$G50</f>
        <v>8.6018986946474307E-2</v>
      </c>
      <c r="L50" s="374">
        <f>C50/$G50</f>
        <v>0.12885412112505987</v>
      </c>
      <c r="M50" s="374">
        <f>D50/$G50</f>
        <v>0.16732246580475921</v>
      </c>
      <c r="N50" s="374">
        <f>E50/$G50</f>
        <v>0.20423458872025482</v>
      </c>
      <c r="O50" s="428">
        <f t="shared" si="55"/>
        <v>0.41356983740345177</v>
      </c>
      <c r="P50" s="434">
        <f t="shared" si="22"/>
        <v>1</v>
      </c>
      <c r="X50" s="381"/>
      <c r="Y50" s="438">
        <f t="shared" ref="Y50:Y52" si="86">W50-X50</f>
        <v>0</v>
      </c>
    </row>
    <row r="51" spans="1:25" s="387" customFormat="1" ht="14.4" x14ac:dyDescent="0.3">
      <c r="A51" s="391" t="s">
        <v>783</v>
      </c>
      <c r="B51" s="387">
        <v>21</v>
      </c>
      <c r="C51" s="387">
        <v>19</v>
      </c>
      <c r="D51" s="387">
        <v>19</v>
      </c>
      <c r="E51" s="387">
        <v>18</v>
      </c>
      <c r="F51" s="387">
        <v>20</v>
      </c>
      <c r="G51" s="392">
        <f>G50/$G$4*100</f>
        <v>19.338902868646201</v>
      </c>
      <c r="H51" s="381"/>
      <c r="I51" s="381"/>
      <c r="J51" s="381"/>
      <c r="O51" s="428"/>
      <c r="P51" s="434"/>
      <c r="Y51" s="438">
        <f t="shared" si="86"/>
        <v>0</v>
      </c>
    </row>
    <row r="52" spans="1:25" x14ac:dyDescent="0.35">
      <c r="A52" s="369" t="s">
        <v>756</v>
      </c>
      <c r="B52" s="374">
        <f>B$4*B53/100</f>
        <v>4.7220000000000004</v>
      </c>
      <c r="C52" s="374">
        <f t="shared" ref="C52:F52" si="87">C$4*C53/100</f>
        <v>5.2120000000000006</v>
      </c>
      <c r="D52" s="374">
        <f t="shared" si="87"/>
        <v>5.0759999999999996</v>
      </c>
      <c r="E52" s="374">
        <f t="shared" si="87"/>
        <v>6.54</v>
      </c>
      <c r="F52" s="374">
        <f t="shared" si="87"/>
        <v>7.9460000000000006</v>
      </c>
      <c r="G52" s="129">
        <f>SUM(B52:F52)</f>
        <v>29.496000000000002</v>
      </c>
      <c r="H52" s="381"/>
      <c r="I52" s="381"/>
      <c r="J52" s="381"/>
      <c r="K52" s="374">
        <f>B52/$G52</f>
        <v>0.16008950366151342</v>
      </c>
      <c r="L52" s="374">
        <f>C52/$G52</f>
        <v>0.17670192568483864</v>
      </c>
      <c r="M52" s="374">
        <f>D52/$G52</f>
        <v>0.17209113100081364</v>
      </c>
      <c r="N52" s="374">
        <f>E52/$G52</f>
        <v>0.22172497965825874</v>
      </c>
      <c r="O52" s="428">
        <f t="shared" si="55"/>
        <v>0.26939245999457551</v>
      </c>
      <c r="P52" s="434">
        <f t="shared" si="22"/>
        <v>1</v>
      </c>
      <c r="R52" s="374"/>
      <c r="S52" s="374"/>
      <c r="T52" s="374"/>
      <c r="U52" s="374"/>
      <c r="V52" s="374"/>
      <c r="W52" s="374"/>
      <c r="X52" s="381"/>
      <c r="Y52" s="438">
        <f t="shared" si="86"/>
        <v>0</v>
      </c>
    </row>
    <row r="53" spans="1:25" s="387" customFormat="1" ht="14.4" x14ac:dyDescent="0.3">
      <c r="A53" s="391" t="s">
        <v>783</v>
      </c>
      <c r="B53" s="387">
        <v>6</v>
      </c>
      <c r="C53" s="387">
        <v>4</v>
      </c>
      <c r="D53" s="387">
        <v>3</v>
      </c>
      <c r="E53" s="387">
        <v>3</v>
      </c>
      <c r="F53" s="387">
        <v>2</v>
      </c>
      <c r="G53" s="392">
        <f>G52/$G$4*100</f>
        <v>2.9688978359335683</v>
      </c>
      <c r="H53" s="381"/>
      <c r="I53" s="381"/>
      <c r="J53" s="381"/>
      <c r="O53" s="428"/>
      <c r="P53" s="434"/>
      <c r="Y53" s="438">
        <f t="shared" si="6"/>
        <v>0</v>
      </c>
    </row>
    <row r="54" spans="1:25" ht="14.4" x14ac:dyDescent="0.3">
      <c r="A54" s="369" t="s">
        <v>757</v>
      </c>
      <c r="B54" s="374">
        <f>B$4*B55/100</f>
        <v>18.888000000000002</v>
      </c>
      <c r="C54" s="374">
        <f t="shared" ref="C54:F54" si="88">C$4*C55/100</f>
        <v>15.636000000000001</v>
      </c>
      <c r="D54" s="374">
        <f t="shared" si="88"/>
        <v>13.536</v>
      </c>
      <c r="E54" s="374">
        <f t="shared" si="88"/>
        <v>13.08</v>
      </c>
      <c r="F54" s="374">
        <f t="shared" si="88"/>
        <v>11.919</v>
      </c>
      <c r="G54" s="129">
        <f>SUM(B54:F54)</f>
        <v>73.058999999999997</v>
      </c>
      <c r="H54" s="381"/>
      <c r="I54" s="381"/>
      <c r="J54" s="381"/>
      <c r="K54" s="374">
        <f>B54/$G54</f>
        <v>0.25853077649570899</v>
      </c>
      <c r="L54" s="374">
        <f>C54/$G54</f>
        <v>0.2140188067178582</v>
      </c>
      <c r="M54" s="374">
        <f>D54/$G54</f>
        <v>0.1852749147948918</v>
      </c>
      <c r="N54" s="374">
        <f>E54/$G54</f>
        <v>0.1790333839773334</v>
      </c>
      <c r="O54" s="428">
        <f t="shared" si="55"/>
        <v>0.16314211801420764</v>
      </c>
      <c r="P54" s="434">
        <f t="shared" si="22"/>
        <v>1</v>
      </c>
      <c r="R54" s="374"/>
      <c r="S54" s="374"/>
      <c r="T54" s="374"/>
      <c r="U54" s="374"/>
      <c r="V54" s="374"/>
      <c r="W54" s="374"/>
      <c r="X54" s="381"/>
      <c r="Y54" s="438">
        <f t="shared" si="6"/>
        <v>0</v>
      </c>
    </row>
    <row r="55" spans="1:25" s="387" customFormat="1" ht="14.4" x14ac:dyDescent="0.3">
      <c r="A55" s="391" t="s">
        <v>783</v>
      </c>
      <c r="B55" s="387">
        <v>24</v>
      </c>
      <c r="C55" s="387">
        <v>12</v>
      </c>
      <c r="D55" s="387">
        <v>8</v>
      </c>
      <c r="E55" s="387">
        <v>6</v>
      </c>
      <c r="F55" s="387">
        <v>3</v>
      </c>
      <c r="G55" s="392">
        <f>G54/$G$4*100</f>
        <v>7.3536990437845988</v>
      </c>
      <c r="H55" s="381"/>
      <c r="I55" s="381"/>
      <c r="J55" s="381"/>
      <c r="O55" s="428"/>
      <c r="P55" s="434"/>
      <c r="Y55" s="438">
        <f t="shared" si="6"/>
        <v>0</v>
      </c>
    </row>
    <row r="56" spans="1:25" ht="14.4" x14ac:dyDescent="0.3">
      <c r="A56" s="372" t="s">
        <v>758</v>
      </c>
      <c r="B56" s="129">
        <f>B$4*B57/100</f>
        <v>0.78700000000000003</v>
      </c>
      <c r="C56" s="129">
        <f t="shared" ref="C56:F56" si="89">C$4*C57/100</f>
        <v>0</v>
      </c>
      <c r="D56" s="129">
        <f t="shared" si="89"/>
        <v>0</v>
      </c>
      <c r="E56" s="129">
        <f t="shared" si="89"/>
        <v>2.1800000000000002</v>
      </c>
      <c r="F56" s="129">
        <f t="shared" si="89"/>
        <v>15.892000000000001</v>
      </c>
      <c r="G56" s="129">
        <f>SUM(B56:F56)</f>
        <v>18.859000000000002</v>
      </c>
      <c r="H56" s="381"/>
      <c r="I56" s="381"/>
      <c r="J56" s="381"/>
      <c r="K56" s="129">
        <f>B56/$G56</f>
        <v>4.1730738639376423E-2</v>
      </c>
      <c r="L56" s="129">
        <f>C56/$G56</f>
        <v>0</v>
      </c>
      <c r="M56" s="129">
        <f>D56/$G56</f>
        <v>0</v>
      </c>
      <c r="N56" s="129">
        <f>E56/$G56</f>
        <v>0.11559467628188133</v>
      </c>
      <c r="O56" s="428">
        <f t="shared" si="55"/>
        <v>0.84267458507874227</v>
      </c>
      <c r="P56" s="434">
        <f t="shared" si="22"/>
        <v>1</v>
      </c>
      <c r="Q56" s="129"/>
      <c r="R56" s="383">
        <f t="shared" ref="R56:W56" si="90">$X56*K56</f>
        <v>289.21530144758492</v>
      </c>
      <c r="S56" s="383">
        <f t="shared" si="90"/>
        <v>0</v>
      </c>
      <c r="T56" s="383">
        <f t="shared" si="90"/>
        <v>0</v>
      </c>
      <c r="U56" s="383">
        <f t="shared" si="90"/>
        <v>801.130059918342</v>
      </c>
      <c r="V56" s="383">
        <f t="shared" si="90"/>
        <v>5840.164638634079</v>
      </c>
      <c r="W56" s="383">
        <f t="shared" si="90"/>
        <v>6930.5100000000057</v>
      </c>
      <c r="X56" s="381">
        <f>H80</f>
        <v>6930.5100000000057</v>
      </c>
      <c r="Y56" s="438">
        <f t="shared" si="6"/>
        <v>0</v>
      </c>
    </row>
    <row r="57" spans="1:25" s="387" customFormat="1" ht="14.4" x14ac:dyDescent="0.3">
      <c r="A57" s="391" t="s">
        <v>783</v>
      </c>
      <c r="B57" s="391">
        <v>1</v>
      </c>
      <c r="C57" s="391">
        <v>0</v>
      </c>
      <c r="D57" s="391">
        <v>0</v>
      </c>
      <c r="E57" s="391">
        <v>1</v>
      </c>
      <c r="F57" s="391">
        <v>4</v>
      </c>
      <c r="G57" s="393">
        <f>G56/G4*100</f>
        <v>1.898238550578762</v>
      </c>
      <c r="H57" s="395"/>
      <c r="I57" s="395"/>
      <c r="J57" s="395"/>
      <c r="P57" s="391"/>
      <c r="R57" s="392">
        <f t="shared" ref="R57:W57" si="91">R56/R$4*100</f>
        <v>0.31491096631131876</v>
      </c>
      <c r="S57" s="392">
        <f t="shared" si="91"/>
        <v>0</v>
      </c>
      <c r="T57" s="392">
        <f t="shared" si="91"/>
        <v>0</v>
      </c>
      <c r="U57" s="392">
        <f t="shared" si="91"/>
        <v>0.31491096631131882</v>
      </c>
      <c r="V57" s="392">
        <f t="shared" si="91"/>
        <v>1.2596438652452755</v>
      </c>
      <c r="W57" s="392">
        <f t="shared" si="91"/>
        <v>0.5977761362521552</v>
      </c>
      <c r="X57" s="392">
        <f>100*X56/X4</f>
        <v>0.5977761362521552</v>
      </c>
      <c r="Y57" s="438">
        <f t="shared" si="6"/>
        <v>0</v>
      </c>
    </row>
    <row r="58" spans="1:25" s="387" customFormat="1" ht="14.4" x14ac:dyDescent="0.3">
      <c r="A58" s="391"/>
      <c r="B58" s="391"/>
      <c r="C58" s="391"/>
      <c r="D58" s="391"/>
      <c r="E58" s="391"/>
      <c r="F58" s="391"/>
      <c r="G58" s="391"/>
      <c r="H58" s="395"/>
      <c r="I58" s="395"/>
      <c r="J58" s="395"/>
      <c r="P58" s="391"/>
      <c r="X58" s="392"/>
    </row>
    <row r="59" spans="1:25" s="387" customFormat="1" ht="14.4" x14ac:dyDescent="0.3">
      <c r="A59" s="378" t="s">
        <v>796</v>
      </c>
      <c r="B59" s="400">
        <f>B15+B17+B19+B21+B30+B39+B46+B48+B57</f>
        <v>100</v>
      </c>
      <c r="C59" s="400">
        <f t="shared" ref="C59:G59" si="92">C15+C17+C19+C21+C30+C39+C46+C48+C57</f>
        <v>100</v>
      </c>
      <c r="D59" s="400">
        <f t="shared" si="92"/>
        <v>99.999999999999986</v>
      </c>
      <c r="E59" s="400">
        <f t="shared" si="92"/>
        <v>100</v>
      </c>
      <c r="F59" s="400">
        <f t="shared" si="92"/>
        <v>100</v>
      </c>
      <c r="G59" s="400">
        <f t="shared" si="92"/>
        <v>99.999999999999986</v>
      </c>
      <c r="H59" s="395"/>
      <c r="I59" s="395"/>
      <c r="J59" s="395"/>
      <c r="P59" s="391"/>
      <c r="R59" s="426">
        <f>R15+R17+R19+R21+R30+R39+R46+R48+R57</f>
        <v>100</v>
      </c>
      <c r="S59" s="426">
        <f t="shared" ref="S59:W59" si="93">S15+S17+S19+S21+S30+S39+S46+S48+S57</f>
        <v>99.999999999999986</v>
      </c>
      <c r="T59" s="426">
        <f t="shared" si="93"/>
        <v>100</v>
      </c>
      <c r="U59" s="426">
        <f t="shared" si="93"/>
        <v>100</v>
      </c>
      <c r="V59" s="432">
        <f>V15+V17+V19+V21+V30+V39+V46+V48+V57</f>
        <v>100.00000000000001</v>
      </c>
      <c r="W59" s="426">
        <f t="shared" si="93"/>
        <v>99.999999999999986</v>
      </c>
      <c r="X59" s="392"/>
    </row>
    <row r="60" spans="1:25" s="387" customFormat="1" ht="14.4" x14ac:dyDescent="0.3">
      <c r="A60" s="391"/>
      <c r="B60" s="400">
        <f>B5-B59</f>
        <v>0</v>
      </c>
      <c r="C60" s="400">
        <f t="shared" ref="C60:G60" si="94">C5-C59</f>
        <v>0</v>
      </c>
      <c r="D60" s="400">
        <f t="shared" si="94"/>
        <v>0</v>
      </c>
      <c r="E60" s="400">
        <f t="shared" si="94"/>
        <v>0</v>
      </c>
      <c r="F60" s="400">
        <f t="shared" si="94"/>
        <v>0</v>
      </c>
      <c r="G60" s="400">
        <f t="shared" si="94"/>
        <v>0</v>
      </c>
      <c r="H60" s="395"/>
      <c r="I60" s="395"/>
      <c r="J60" s="395"/>
      <c r="P60" s="391"/>
      <c r="R60" s="426">
        <f>R5-R59</f>
        <v>0</v>
      </c>
      <c r="S60" s="426">
        <f t="shared" ref="S60" si="95">S5-S59</f>
        <v>0</v>
      </c>
      <c r="T60" s="426">
        <f t="shared" ref="T60" si="96">T5-T59</f>
        <v>0</v>
      </c>
      <c r="U60" s="426">
        <f t="shared" ref="U60" si="97">U5-U59</f>
        <v>0</v>
      </c>
      <c r="V60" s="426">
        <f t="shared" ref="V60" si="98">V5-V59</f>
        <v>0</v>
      </c>
      <c r="W60" s="426">
        <f t="shared" ref="W60" si="99">W5-W59</f>
        <v>0</v>
      </c>
      <c r="X60" s="392"/>
    </row>
    <row r="61" spans="1:25" s="312" customFormat="1" ht="14.4" x14ac:dyDescent="0.3">
      <c r="A61" s="378" t="s">
        <v>795</v>
      </c>
      <c r="B61" s="400">
        <f>B14+B16+B18+B20+B29+B38+B45+B47+B56</f>
        <v>78.700000000000017</v>
      </c>
      <c r="C61" s="400">
        <f t="shared" ref="C61:G61" si="100">C14+C16+C18+C20+C29+C38+C45+C47+C56</f>
        <v>130.29999999999998</v>
      </c>
      <c r="D61" s="400">
        <f t="shared" si="100"/>
        <v>169.19999999999996</v>
      </c>
      <c r="E61" s="400">
        <f t="shared" si="100"/>
        <v>218</v>
      </c>
      <c r="F61" s="400">
        <f t="shared" si="100"/>
        <v>397.30000000000007</v>
      </c>
      <c r="G61" s="400">
        <f t="shared" si="100"/>
        <v>993.49999999999989</v>
      </c>
      <c r="H61" s="399"/>
      <c r="I61" s="399"/>
      <c r="J61" s="399"/>
      <c r="P61" s="378"/>
      <c r="R61" s="427">
        <f>R14+R16+R18+R20+R29+R41+R43+R56+R45+R47</f>
        <v>91840.339774534426</v>
      </c>
      <c r="S61" s="427">
        <f t="shared" ref="S61:W61" si="101">S14+S16+S18+S20+S29+S41+S43+S56+S45+S47</f>
        <v>152055.86115148466</v>
      </c>
      <c r="T61" s="427">
        <f t="shared" si="101"/>
        <v>197450.89567790634</v>
      </c>
      <c r="U61" s="427">
        <f t="shared" si="101"/>
        <v>254398.90814292902</v>
      </c>
      <c r="V61" s="427">
        <f t="shared" si="101"/>
        <v>463636.17525314528</v>
      </c>
      <c r="W61" s="427">
        <f t="shared" si="101"/>
        <v>1159382.1799999997</v>
      </c>
    </row>
    <row r="62" spans="1:25" s="312" customFormat="1" ht="14.4" x14ac:dyDescent="0.3">
      <c r="B62" s="400">
        <f>B4-B61</f>
        <v>0</v>
      </c>
      <c r="C62" s="400">
        <f t="shared" ref="C62:G62" si="102">C4-C61</f>
        <v>0</v>
      </c>
      <c r="D62" s="400">
        <f t="shared" si="102"/>
        <v>0</v>
      </c>
      <c r="E62" s="400">
        <f t="shared" si="102"/>
        <v>0</v>
      </c>
      <c r="F62" s="400">
        <f t="shared" si="102"/>
        <v>0</v>
      </c>
      <c r="G62" s="400">
        <f t="shared" si="102"/>
        <v>0</v>
      </c>
      <c r="H62" s="399"/>
      <c r="I62" s="399"/>
      <c r="J62" s="399"/>
      <c r="P62" s="378"/>
      <c r="R62" s="427">
        <f>R4-R61</f>
        <v>0</v>
      </c>
      <c r="S62" s="427">
        <f t="shared" ref="S62" si="103">S4-S61</f>
        <v>0</v>
      </c>
      <c r="T62" s="427">
        <f t="shared" ref="T62" si="104">T4-T61</f>
        <v>0</v>
      </c>
      <c r="U62" s="427">
        <f t="shared" ref="U62" si="105">U4-U61</f>
        <v>0</v>
      </c>
      <c r="V62" s="427">
        <f t="shared" ref="V62" si="106">V4-V61</f>
        <v>0</v>
      </c>
      <c r="W62" s="427">
        <f t="shared" ref="W62" si="107">W4-W61</f>
        <v>0</v>
      </c>
    </row>
    <row r="63" spans="1:25" s="312" customFormat="1" x14ac:dyDescent="0.35">
      <c r="A63" s="378" t="s">
        <v>794</v>
      </c>
      <c r="B63" s="400">
        <f>B15+B17+B19+B21</f>
        <v>67</v>
      </c>
      <c r="C63" s="400">
        <f t="shared" ref="C63:G63" si="108">C15+C17+C19+C21</f>
        <v>94</v>
      </c>
      <c r="D63" s="400">
        <f t="shared" si="108"/>
        <v>101.99999999999999</v>
      </c>
      <c r="E63" s="400">
        <f t="shared" si="108"/>
        <v>104</v>
      </c>
      <c r="F63" s="400">
        <f t="shared" si="108"/>
        <v>89</v>
      </c>
      <c r="G63" s="400">
        <f t="shared" si="108"/>
        <v>93.418419728233516</v>
      </c>
      <c r="H63" s="399"/>
      <c r="I63" s="399"/>
      <c r="J63" s="399"/>
      <c r="P63" s="378"/>
      <c r="R63" s="427">
        <f>R14+R16+R18+R20</f>
        <v>59448.193792574442</v>
      </c>
      <c r="S63" s="427">
        <f t="shared" ref="S63:W63" si="109">S14+S16+S18+S20</f>
        <v>135946.27932727293</v>
      </c>
      <c r="T63" s="427">
        <f t="shared" si="109"/>
        <v>194148.77778588579</v>
      </c>
      <c r="U63" s="427">
        <f t="shared" si="109"/>
        <v>258007.44072029222</v>
      </c>
      <c r="V63" s="427">
        <f t="shared" si="109"/>
        <v>415001.7363921653</v>
      </c>
      <c r="W63" s="427">
        <f t="shared" si="109"/>
        <v>1062552.4280181907</v>
      </c>
    </row>
    <row r="64" spans="1:25" s="312" customFormat="1" ht="14.4" x14ac:dyDescent="0.3">
      <c r="A64" s="378"/>
      <c r="B64" s="400">
        <f>B7-B63</f>
        <v>0</v>
      </c>
      <c r="C64" s="400">
        <f t="shared" ref="C64:G64" si="110">C7-C63</f>
        <v>0</v>
      </c>
      <c r="D64" s="400">
        <f t="shared" si="110"/>
        <v>0</v>
      </c>
      <c r="E64" s="400">
        <f t="shared" si="110"/>
        <v>0</v>
      </c>
      <c r="F64" s="400">
        <f t="shared" si="110"/>
        <v>0</v>
      </c>
      <c r="G64" s="400">
        <f t="shared" si="110"/>
        <v>0</v>
      </c>
      <c r="H64" s="399"/>
      <c r="I64" s="399"/>
      <c r="J64" s="399"/>
      <c r="P64" s="378"/>
      <c r="R64" s="427">
        <f>R6-R63</f>
        <v>0</v>
      </c>
      <c r="S64" s="427">
        <f t="shared" ref="S64:W64" si="111">S6-S63</f>
        <v>0</v>
      </c>
      <c r="T64" s="427">
        <f t="shared" si="111"/>
        <v>0</v>
      </c>
      <c r="U64" s="427">
        <f t="shared" si="111"/>
        <v>0</v>
      </c>
      <c r="V64" s="427">
        <f t="shared" si="111"/>
        <v>0</v>
      </c>
      <c r="W64" s="427">
        <f t="shared" si="111"/>
        <v>0</v>
      </c>
    </row>
    <row r="65" spans="1:24" s="312" customFormat="1" ht="14.4" x14ac:dyDescent="0.3">
      <c r="A65" s="378"/>
      <c r="B65" s="400"/>
      <c r="C65" s="400"/>
      <c r="D65" s="400"/>
      <c r="E65" s="400"/>
      <c r="F65" s="400"/>
      <c r="G65" s="400"/>
      <c r="H65" s="399"/>
      <c r="I65" s="399"/>
      <c r="J65" s="399"/>
      <c r="P65" s="378"/>
    </row>
    <row r="66" spans="1:24" s="312" customFormat="1" ht="14.4" x14ac:dyDescent="0.3">
      <c r="A66" s="378"/>
      <c r="B66" s="400"/>
      <c r="C66" s="400"/>
      <c r="D66" s="400"/>
      <c r="E66" s="400"/>
      <c r="F66" s="400"/>
      <c r="G66" s="400"/>
      <c r="H66" s="399"/>
      <c r="I66" s="399"/>
      <c r="J66" s="399"/>
      <c r="P66" s="378"/>
    </row>
    <row r="67" spans="1:24" x14ac:dyDescent="0.35">
      <c r="A67" s="371" t="s">
        <v>782</v>
      </c>
      <c r="G67" s="374"/>
      <c r="H67" s="381"/>
      <c r="I67" s="381"/>
      <c r="J67" s="381"/>
      <c r="Q67"/>
      <c r="X67" s="381"/>
    </row>
    <row r="68" spans="1:24" s="163" customFormat="1" ht="14.4" x14ac:dyDescent="0.3">
      <c r="A68" s="371"/>
      <c r="G68" s="374"/>
      <c r="H68" s="374"/>
      <c r="I68" s="374"/>
      <c r="J68" s="374"/>
      <c r="R68" s="431"/>
      <c r="S68" s="431"/>
      <c r="T68" s="431"/>
      <c r="U68" s="431"/>
      <c r="V68" s="431"/>
      <c r="W68" s="431"/>
      <c r="X68" s="381"/>
    </row>
    <row r="69" spans="1:24" s="163" customFormat="1" x14ac:dyDescent="0.35">
      <c r="A69" s="371" t="s">
        <v>798</v>
      </c>
      <c r="B69" s="163">
        <f>1/5</f>
        <v>0.2</v>
      </c>
      <c r="C69" s="163">
        <f t="shared" ref="C69:F70" si="112">1/5</f>
        <v>0.2</v>
      </c>
      <c r="D69" s="163">
        <f t="shared" si="112"/>
        <v>0.2</v>
      </c>
      <c r="E69" s="163">
        <f t="shared" si="112"/>
        <v>0.2</v>
      </c>
      <c r="F69" s="163">
        <f t="shared" si="112"/>
        <v>0.2</v>
      </c>
      <c r="G69" s="374">
        <f>SUM(B69:F69)</f>
        <v>1</v>
      </c>
      <c r="H69" s="374"/>
      <c r="I69" s="374"/>
      <c r="J69" s="374"/>
      <c r="X69" s="381"/>
    </row>
    <row r="70" spans="1:24" s="163" customFormat="1" ht="14.4" x14ac:dyDescent="0.3">
      <c r="A70" s="163" t="s">
        <v>797</v>
      </c>
      <c r="B70" s="163">
        <f>1/5</f>
        <v>0.2</v>
      </c>
      <c r="C70" s="163">
        <f t="shared" si="112"/>
        <v>0.2</v>
      </c>
      <c r="D70" s="163">
        <f t="shared" si="112"/>
        <v>0.2</v>
      </c>
      <c r="E70" s="163">
        <f t="shared" si="112"/>
        <v>0.2</v>
      </c>
      <c r="F70" s="163">
        <f t="shared" si="112"/>
        <v>0.2</v>
      </c>
      <c r="G70" s="374">
        <f>SUM(B70:F70)</f>
        <v>1</v>
      </c>
      <c r="H70" s="374"/>
      <c r="I70" s="374"/>
      <c r="J70" s="374"/>
      <c r="R70" s="281"/>
      <c r="S70" s="281"/>
      <c r="T70" s="281"/>
      <c r="U70" s="281"/>
      <c r="V70" s="281"/>
      <c r="W70" s="281"/>
      <c r="X70" s="381"/>
    </row>
    <row r="71" spans="1:24" s="163" customFormat="1" ht="14.4" x14ac:dyDescent="0.3">
      <c r="A71" s="371"/>
      <c r="B71" s="374"/>
      <c r="C71" s="374"/>
      <c r="D71" s="374"/>
      <c r="E71" s="374"/>
      <c r="F71" s="374"/>
      <c r="G71" s="374"/>
      <c r="H71" s="374"/>
      <c r="V71" s="381"/>
    </row>
    <row r="72" spans="1:24" ht="14.4" x14ac:dyDescent="0.3">
      <c r="A72" s="375" t="s">
        <v>761</v>
      </c>
      <c r="B72" s="446">
        <f>R16/B74</f>
        <v>9.3415520206426965</v>
      </c>
      <c r="C72" s="446">
        <f t="shared" ref="C72:G72" si="113">S16/C74</f>
        <v>21.05147092720976</v>
      </c>
      <c r="D72" s="446">
        <f t="shared" si="113"/>
        <v>30.13002478828863</v>
      </c>
      <c r="E72" s="446">
        <f t="shared" si="113"/>
        <v>39.662504961717666</v>
      </c>
      <c r="F72" s="446">
        <f t="shared" si="113"/>
        <v>53.225978810739178</v>
      </c>
      <c r="G72" s="445">
        <f t="shared" si="113"/>
        <v>30.682306301719585</v>
      </c>
      <c r="H72" s="420">
        <v>30.682306301719585</v>
      </c>
      <c r="I72" s="312">
        <f t="shared" ref="I72:I86" si="114">G72-H72</f>
        <v>0</v>
      </c>
    </row>
    <row r="73" spans="1:24" ht="14.4" x14ac:dyDescent="0.3">
      <c r="A73" s="375" t="s">
        <v>762</v>
      </c>
      <c r="B73" s="446">
        <f>R18/B75</f>
        <v>9.9993861075962212</v>
      </c>
      <c r="C73" s="446">
        <f t="shared" ref="C73:G73" si="115">S18/C75</f>
        <v>14.65571281901984</v>
      </c>
      <c r="D73" s="446">
        <f t="shared" si="115"/>
        <v>17.268921269993704</v>
      </c>
      <c r="E73" s="446">
        <f t="shared" si="115"/>
        <v>30.876934542672188</v>
      </c>
      <c r="F73" s="446">
        <f t="shared" si="115"/>
        <v>180.40303079123029</v>
      </c>
      <c r="G73" s="445">
        <f t="shared" si="115"/>
        <v>50.640797106102454</v>
      </c>
      <c r="H73" s="420">
        <v>50.640797106102454</v>
      </c>
      <c r="I73" s="312">
        <f t="shared" si="114"/>
        <v>0</v>
      </c>
    </row>
    <row r="74" spans="1:24" ht="14.4" x14ac:dyDescent="0.3">
      <c r="A74" s="375" t="s">
        <v>763</v>
      </c>
      <c r="B74" s="446">
        <f t="shared" ref="B74:F75" si="116">$H74*B69</f>
        <v>4495.2367999999979</v>
      </c>
      <c r="C74" s="446">
        <f t="shared" si="116"/>
        <v>4495.2367999999979</v>
      </c>
      <c r="D74" s="446">
        <f t="shared" si="116"/>
        <v>4495.2367999999979</v>
      </c>
      <c r="E74" s="446">
        <f t="shared" si="116"/>
        <v>4495.2367999999979</v>
      </c>
      <c r="F74" s="446">
        <f t="shared" si="116"/>
        <v>4495.2367999999979</v>
      </c>
      <c r="G74" s="383">
        <f t="shared" ref="G74" si="117">SUM(B74:F74)</f>
        <v>22476.18399999999</v>
      </c>
      <c r="H74" s="420">
        <v>22476.18399999999</v>
      </c>
      <c r="I74" s="312">
        <f t="shared" si="114"/>
        <v>0</v>
      </c>
    </row>
    <row r="75" spans="1:24" ht="14.4" x14ac:dyDescent="0.3">
      <c r="A75" s="375" t="s">
        <v>764</v>
      </c>
      <c r="B75" s="446">
        <f t="shared" si="116"/>
        <v>467.19</v>
      </c>
      <c r="C75" s="446">
        <f t="shared" si="116"/>
        <v>467.19</v>
      </c>
      <c r="D75" s="446">
        <f t="shared" si="116"/>
        <v>467.19</v>
      </c>
      <c r="E75" s="446">
        <f t="shared" si="116"/>
        <v>467.19</v>
      </c>
      <c r="F75" s="446">
        <f t="shared" si="116"/>
        <v>467.19</v>
      </c>
      <c r="G75" s="383">
        <f>SUM(B75:F75)</f>
        <v>2335.9499999999998</v>
      </c>
      <c r="H75" s="420">
        <v>2335.9499999999998</v>
      </c>
      <c r="I75" s="312">
        <f t="shared" si="114"/>
        <v>0</v>
      </c>
    </row>
    <row r="76" spans="1:24" ht="14.4" x14ac:dyDescent="0.3">
      <c r="A76" s="375" t="s">
        <v>765</v>
      </c>
      <c r="B76" s="446">
        <f>R14</f>
        <v>522.88409086583488</v>
      </c>
      <c r="C76" s="446">
        <f t="shared" ref="C76:F76" si="118">S14</f>
        <v>1178.3351645249757</v>
      </c>
      <c r="D76" s="446">
        <f t="shared" si="118"/>
        <v>1686.498194772721</v>
      </c>
      <c r="E76" s="446">
        <f t="shared" si="118"/>
        <v>2220.0692992493318</v>
      </c>
      <c r="F76" s="446">
        <f t="shared" si="118"/>
        <v>2979.2712687781814</v>
      </c>
      <c r="G76" s="383">
        <f t="shared" ref="G76:G87" si="119">SUM(B76:F76)</f>
        <v>8587.0580181910445</v>
      </c>
      <c r="H76" s="420">
        <v>8587.0580181910445</v>
      </c>
      <c r="I76" s="312">
        <f t="shared" si="114"/>
        <v>0</v>
      </c>
    </row>
    <row r="77" spans="1:24" ht="14.4" x14ac:dyDescent="0.3">
      <c r="A77" s="375" t="s">
        <v>766</v>
      </c>
      <c r="B77" s="446">
        <f>R25</f>
        <v>6070.4646514219994</v>
      </c>
      <c r="C77" s="446">
        <f t="shared" ref="C77:F77" si="120">S25</f>
        <v>12912.680356418925</v>
      </c>
      <c r="D77" s="446">
        <f t="shared" si="120"/>
        <v>18496.27981776794</v>
      </c>
      <c r="E77" s="446">
        <f t="shared" si="120"/>
        <v>23719.544891248443</v>
      </c>
      <c r="F77" s="446">
        <f t="shared" si="120"/>
        <v>36328.030283142689</v>
      </c>
      <c r="G77" s="383">
        <f>SUM(B77:F77)</f>
        <v>97527</v>
      </c>
      <c r="H77" s="421">
        <v>97527</v>
      </c>
      <c r="I77" s="312">
        <f t="shared" si="114"/>
        <v>0</v>
      </c>
    </row>
    <row r="78" spans="1:24" ht="14.4" x14ac:dyDescent="0.3">
      <c r="A78" s="375" t="s">
        <v>767</v>
      </c>
      <c r="B78" s="446">
        <f>R27</f>
        <v>1347.6737429896721</v>
      </c>
      <c r="C78" s="446">
        <f t="shared" ref="C78:F78" si="121">S27</f>
        <v>1487.5212936175715</v>
      </c>
      <c r="D78" s="446">
        <f t="shared" si="121"/>
        <v>1931.6086176522872</v>
      </c>
      <c r="E78" s="446">
        <f t="shared" si="121"/>
        <v>2903.5015273220952</v>
      </c>
      <c r="F78" s="446">
        <f t="shared" si="121"/>
        <v>15874.694818418375</v>
      </c>
      <c r="G78" s="383">
        <f t="shared" si="119"/>
        <v>23545</v>
      </c>
      <c r="H78" s="421">
        <v>23545</v>
      </c>
      <c r="I78" s="312">
        <f t="shared" si="114"/>
        <v>0</v>
      </c>
    </row>
    <row r="79" spans="1:24" ht="14.4" x14ac:dyDescent="0.3">
      <c r="A79" s="375" t="s">
        <v>768</v>
      </c>
      <c r="B79" s="446">
        <f>R47</f>
        <v>48353.530291461801</v>
      </c>
      <c r="C79" s="446">
        <f t="shared" ref="C79:F79" si="122">S47</f>
        <v>54940.896154224654</v>
      </c>
      <c r="D79" s="446">
        <f t="shared" si="122"/>
        <v>61151.187123965436</v>
      </c>
      <c r="E79" s="446">
        <f t="shared" si="122"/>
        <v>70909.355282045028</v>
      </c>
      <c r="F79" s="446">
        <f t="shared" si="122"/>
        <v>119658.03114830307</v>
      </c>
      <c r="G79" s="383">
        <f t="shared" si="119"/>
        <v>355013</v>
      </c>
      <c r="H79" s="422">
        <v>355013</v>
      </c>
      <c r="I79" s="312">
        <f t="shared" si="114"/>
        <v>0</v>
      </c>
    </row>
    <row r="80" spans="1:24" ht="14.4" x14ac:dyDescent="0.3">
      <c r="A80" s="375" t="s">
        <v>769</v>
      </c>
      <c r="B80" s="446">
        <f>R56</f>
        <v>289.21530144758492</v>
      </c>
      <c r="C80" s="446">
        <f t="shared" ref="C80:F80" si="123">S56</f>
        <v>0</v>
      </c>
      <c r="D80" s="446">
        <f t="shared" si="123"/>
        <v>0</v>
      </c>
      <c r="E80" s="446">
        <f t="shared" si="123"/>
        <v>801.130059918342</v>
      </c>
      <c r="F80" s="446">
        <f t="shared" si="123"/>
        <v>5840.164638634079</v>
      </c>
      <c r="G80" s="383">
        <f t="shared" si="119"/>
        <v>6930.5100000000057</v>
      </c>
      <c r="H80" s="420">
        <v>6930.5100000000057</v>
      </c>
      <c r="I80" s="312">
        <f t="shared" si="114"/>
        <v>0</v>
      </c>
    </row>
    <row r="81" spans="1:9" ht="14.4" x14ac:dyDescent="0.3">
      <c r="A81" s="375" t="s">
        <v>770</v>
      </c>
      <c r="B81" s="446">
        <f>R32</f>
        <v>129.37856162238975</v>
      </c>
      <c r="C81" s="446">
        <f t="shared" ref="C81:F81" si="124">S32</f>
        <v>428.41236542305938</v>
      </c>
      <c r="D81" s="446">
        <f t="shared" si="124"/>
        <v>556.31137551482459</v>
      </c>
      <c r="E81" s="446">
        <f t="shared" si="124"/>
        <v>1433.521038560659</v>
      </c>
      <c r="F81" s="446">
        <f t="shared" si="124"/>
        <v>11103.376658879068</v>
      </c>
      <c r="G81" s="383">
        <f t="shared" si="119"/>
        <v>13651</v>
      </c>
      <c r="H81" s="420">
        <v>13651</v>
      </c>
      <c r="I81" s="312">
        <f t="shared" si="114"/>
        <v>0</v>
      </c>
    </row>
    <row r="82" spans="1:9" ht="14.4" x14ac:dyDescent="0.3">
      <c r="A82" s="375" t="s">
        <v>771</v>
      </c>
      <c r="B82" s="446">
        <f>R29-R32</f>
        <v>7916.4929638696103</v>
      </c>
      <c r="C82" s="446">
        <f t="shared" ref="C82:F82" si="125">S29-S32</f>
        <v>20335.168080068939</v>
      </c>
      <c r="D82" s="446">
        <f t="shared" si="125"/>
        <v>30589.098224485173</v>
      </c>
      <c r="E82" s="446">
        <f t="shared" si="125"/>
        <v>47880.044161439335</v>
      </c>
      <c r="F82" s="446">
        <f t="shared" si="125"/>
        <v>139173.27657013695</v>
      </c>
      <c r="G82" s="383">
        <f t="shared" si="119"/>
        <v>245894.08000000002</v>
      </c>
      <c r="H82" s="423">
        <v>245894.08</v>
      </c>
      <c r="I82" s="312">
        <f t="shared" si="114"/>
        <v>0</v>
      </c>
    </row>
    <row r="83" spans="1:9" ht="14.4" x14ac:dyDescent="0.3">
      <c r="A83" s="375" t="s">
        <v>772</v>
      </c>
      <c r="B83" s="446">
        <f>-R41</f>
        <v>3998.8335051097429</v>
      </c>
      <c r="C83" s="446">
        <f t="shared" ref="C83:F83" si="126">-S41</f>
        <v>9268.960711589827</v>
      </c>
      <c r="D83" s="446">
        <f t="shared" si="126"/>
        <v>17194.47596098014</v>
      </c>
      <c r="E83" s="446">
        <f t="shared" si="126"/>
        <v>28799.731012658227</v>
      </c>
      <c r="F83" s="446">
        <f t="shared" si="126"/>
        <v>80748.998809662065</v>
      </c>
      <c r="G83" s="383">
        <f t="shared" si="119"/>
        <v>140011</v>
      </c>
      <c r="H83" s="420">
        <v>140011</v>
      </c>
      <c r="I83" s="312">
        <f t="shared" si="114"/>
        <v>0</v>
      </c>
    </row>
    <row r="84" spans="1:9" x14ac:dyDescent="0.35">
      <c r="A84" s="375" t="s">
        <v>773</v>
      </c>
      <c r="B84" s="446">
        <f>-R43</f>
        <v>500.55749912902093</v>
      </c>
      <c r="C84" s="446">
        <f t="shared" ref="C84:F84" si="127">-S43</f>
        <v>1160.2503048426431</v>
      </c>
      <c r="D84" s="446">
        <f t="shared" si="127"/>
        <v>2152.3336430147483</v>
      </c>
      <c r="E84" s="446">
        <f t="shared" si="127"/>
        <v>3605.0316455696197</v>
      </c>
      <c r="F84" s="446">
        <f t="shared" si="127"/>
        <v>10107.826907443969</v>
      </c>
      <c r="G84" s="383">
        <f t="shared" si="119"/>
        <v>17526</v>
      </c>
      <c r="H84" s="420">
        <v>17526</v>
      </c>
      <c r="I84" s="312">
        <f t="shared" si="114"/>
        <v>0</v>
      </c>
    </row>
    <row r="85" spans="1:9" x14ac:dyDescent="0.35">
      <c r="A85" s="375" t="s">
        <v>774</v>
      </c>
      <c r="B85" s="446">
        <f>B72*B74+B76-B77+B73*B75-B78+B79+B80+B81+B82</f>
        <v>96457.46442277082</v>
      </c>
      <c r="C85" s="446">
        <f t="shared" ref="C85:E85" si="128">C72*C74+C76-C77+C73*C75-C78+C79+C80+C81+C82</f>
        <v>163960.95939224638</v>
      </c>
      <c r="D85" s="446">
        <f t="shared" si="128"/>
        <v>217064.67002467351</v>
      </c>
      <c r="E85" s="446">
        <f t="shared" si="128"/>
        <v>289338.82035572891</v>
      </c>
      <c r="F85" s="446">
        <f>F72*F74+F76-F77+F73*F75-F78+F79+F80+F81+F82</f>
        <v>550097.26580457995</v>
      </c>
      <c r="G85" s="383">
        <f t="shared" si="119"/>
        <v>1316919.1799999997</v>
      </c>
      <c r="H85" s="420">
        <v>1316919.1799999997</v>
      </c>
      <c r="I85" s="312">
        <f t="shared" si="114"/>
        <v>0</v>
      </c>
    </row>
    <row r="86" spans="1:9" x14ac:dyDescent="0.35">
      <c r="A86" s="376" t="s">
        <v>775</v>
      </c>
      <c r="B86" s="447">
        <f>B85-B83-B84</f>
        <v>91958.073418532062</v>
      </c>
      <c r="C86" s="447">
        <f t="shared" ref="C86:F86" si="129">C85-C83-C84</f>
        <v>153531.74837581391</v>
      </c>
      <c r="D86" s="447">
        <f t="shared" si="129"/>
        <v>197717.86042067863</v>
      </c>
      <c r="E86" s="447">
        <f t="shared" si="129"/>
        <v>256934.05769750106</v>
      </c>
      <c r="F86" s="447">
        <f t="shared" si="129"/>
        <v>459240.44008747389</v>
      </c>
      <c r="G86" s="383">
        <f t="shared" si="119"/>
        <v>1159382.1799999995</v>
      </c>
      <c r="H86" s="422">
        <v>1159382.1799999997</v>
      </c>
      <c r="I86" s="312">
        <f t="shared" si="114"/>
        <v>0</v>
      </c>
    </row>
    <row r="87" spans="1:9" x14ac:dyDescent="0.35">
      <c r="A87" s="375" t="s">
        <v>781</v>
      </c>
      <c r="B87" s="37"/>
      <c r="C87" s="37"/>
      <c r="D87" s="37"/>
      <c r="G87" s="383">
        <f t="shared" si="119"/>
        <v>0</v>
      </c>
      <c r="H87" s="381">
        <v>246049.83801819099</v>
      </c>
    </row>
    <row r="88" spans="1:9" ht="15.65" customHeight="1" x14ac:dyDescent="0.35">
      <c r="A88" s="375"/>
      <c r="B88" s="37"/>
      <c r="C88" s="37"/>
      <c r="D88" s="37"/>
      <c r="G88" s="383"/>
      <c r="H88" s="382"/>
    </row>
  </sheetData>
  <mergeCells count="2">
    <mergeCell ref="B1:G1"/>
    <mergeCell ref="R1:W1"/>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A33"/>
  <sheetViews>
    <sheetView workbookViewId="0">
      <pane xSplit="2" ySplit="3" topLeftCell="C4" activePane="bottomRight" state="frozen"/>
      <selection pane="topRight" activeCell="C1" sqref="C1"/>
      <selection pane="bottomLeft" activeCell="A4" sqref="A4"/>
      <selection pane="bottomRight" activeCell="AU13" sqref="AU13"/>
    </sheetView>
  </sheetViews>
  <sheetFormatPr baseColWidth="10" defaultColWidth="11.453125" defaultRowHeight="14.5" x14ac:dyDescent="0.35"/>
  <cols>
    <col min="1" max="1" width="12.453125" customWidth="1"/>
    <col min="2" max="2" width="47.36328125" customWidth="1"/>
    <col min="48" max="48" width="11.453125" style="163"/>
  </cols>
  <sheetData>
    <row r="1" spans="1:79" x14ac:dyDescent="0.35">
      <c r="A1" s="26" t="s">
        <v>59</v>
      </c>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32"/>
      <c r="AV1" s="32"/>
      <c r="AW1" s="24"/>
      <c r="AX1" s="24"/>
      <c r="AY1" s="28"/>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row>
    <row r="2" spans="1:79" ht="14.4" x14ac:dyDescent="0.3">
      <c r="AU2" s="33"/>
      <c r="AV2" s="33"/>
      <c r="AY2" s="29"/>
    </row>
    <row r="3" spans="1:79" ht="14.4" x14ac:dyDescent="0.3">
      <c r="A3" s="24"/>
      <c r="B3" s="24"/>
      <c r="C3" s="26">
        <v>1959</v>
      </c>
      <c r="D3" s="26">
        <v>1960</v>
      </c>
      <c r="E3" s="26">
        <v>1961</v>
      </c>
      <c r="F3" s="26">
        <v>1962</v>
      </c>
      <c r="G3" s="26">
        <v>1963</v>
      </c>
      <c r="H3" s="26">
        <v>1964</v>
      </c>
      <c r="I3" s="26">
        <v>1965</v>
      </c>
      <c r="J3" s="26">
        <v>1966</v>
      </c>
      <c r="K3" s="26">
        <v>1967</v>
      </c>
      <c r="L3" s="26">
        <v>1968</v>
      </c>
      <c r="M3" s="26">
        <v>1969</v>
      </c>
      <c r="N3" s="26">
        <v>1970</v>
      </c>
      <c r="O3" s="26">
        <v>1971</v>
      </c>
      <c r="P3" s="26">
        <v>1972</v>
      </c>
      <c r="Q3" s="26">
        <v>1973</v>
      </c>
      <c r="R3" s="26">
        <v>1974</v>
      </c>
      <c r="S3" s="26">
        <v>1975</v>
      </c>
      <c r="T3" s="26">
        <v>1976</v>
      </c>
      <c r="U3" s="26">
        <v>1977</v>
      </c>
      <c r="V3" s="26">
        <v>1978</v>
      </c>
      <c r="W3" s="26">
        <v>1979</v>
      </c>
      <c r="X3" s="26">
        <v>1980</v>
      </c>
      <c r="Y3" s="26">
        <v>1981</v>
      </c>
      <c r="Z3" s="26">
        <v>1982</v>
      </c>
      <c r="AA3" s="26">
        <v>1983</v>
      </c>
      <c r="AB3" s="26">
        <v>1984</v>
      </c>
      <c r="AC3" s="26">
        <v>1985</v>
      </c>
      <c r="AD3" s="26">
        <v>1986</v>
      </c>
      <c r="AE3" s="26">
        <v>1987</v>
      </c>
      <c r="AF3" s="26">
        <v>1988</v>
      </c>
      <c r="AG3" s="26">
        <v>1989</v>
      </c>
      <c r="AH3" s="26">
        <v>1990</v>
      </c>
      <c r="AI3" s="26">
        <v>1991</v>
      </c>
      <c r="AJ3" s="26">
        <v>1992</v>
      </c>
      <c r="AK3" s="26">
        <v>1993</v>
      </c>
      <c r="AL3" s="26">
        <v>1994</v>
      </c>
      <c r="AM3" s="26">
        <v>1995</v>
      </c>
      <c r="AN3" s="26">
        <v>1996</v>
      </c>
      <c r="AO3" s="26">
        <v>1997</v>
      </c>
      <c r="AP3" s="26">
        <v>1998</v>
      </c>
      <c r="AQ3" s="26">
        <v>1999</v>
      </c>
      <c r="AR3" s="26">
        <v>2000</v>
      </c>
      <c r="AS3" s="26">
        <v>2001</v>
      </c>
      <c r="AT3" s="26">
        <v>2002</v>
      </c>
      <c r="AU3" s="34">
        <v>2003</v>
      </c>
      <c r="AV3" s="367">
        <v>20.03</v>
      </c>
      <c r="AW3" s="26">
        <v>2004</v>
      </c>
      <c r="AX3" s="26">
        <v>2005</v>
      </c>
      <c r="AY3" s="30">
        <v>2006</v>
      </c>
      <c r="AZ3" s="26">
        <v>2007</v>
      </c>
      <c r="BA3" s="26">
        <v>2008</v>
      </c>
      <c r="BB3" s="26">
        <v>2009</v>
      </c>
      <c r="BC3" s="26">
        <v>2010</v>
      </c>
      <c r="BD3" s="26">
        <v>2011</v>
      </c>
      <c r="BE3" s="26"/>
      <c r="BF3" s="26"/>
      <c r="BG3" s="26"/>
      <c r="BH3" s="26"/>
      <c r="BI3" s="26"/>
      <c r="BJ3" s="26"/>
      <c r="BK3" s="26"/>
      <c r="BL3" s="26"/>
      <c r="BM3" s="26"/>
      <c r="BN3" s="26"/>
      <c r="BO3" s="26"/>
      <c r="BP3" s="26"/>
      <c r="BQ3" s="26"/>
      <c r="BR3" s="26"/>
      <c r="BS3" s="26"/>
      <c r="BT3" s="26"/>
      <c r="BU3" s="26"/>
      <c r="BV3" s="26"/>
      <c r="BW3" s="26"/>
      <c r="BX3" s="26"/>
      <c r="BY3" s="26"/>
      <c r="BZ3" s="26"/>
      <c r="CA3" s="26"/>
    </row>
    <row r="4" spans="1:79" ht="14.4" x14ac:dyDescent="0.3">
      <c r="A4" s="24"/>
      <c r="B4" s="25" t="s">
        <v>60</v>
      </c>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35"/>
      <c r="AV4" s="35"/>
      <c r="AW4" s="27"/>
      <c r="AX4" s="27"/>
      <c r="AY4" s="31"/>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row>
    <row r="5" spans="1:79" ht="14.4" x14ac:dyDescent="0.3">
      <c r="A5" s="24"/>
      <c r="B5" s="25" t="s">
        <v>51</v>
      </c>
      <c r="C5" s="27">
        <v>15.180999999999999</v>
      </c>
      <c r="D5" s="27">
        <v>16.562999999999999</v>
      </c>
      <c r="E5" s="27">
        <v>18.28</v>
      </c>
      <c r="F5" s="27">
        <v>20.585999999999999</v>
      </c>
      <c r="G5" s="27">
        <v>23.466000000000001</v>
      </c>
      <c r="H5" s="27">
        <v>26.056999999999999</v>
      </c>
      <c r="I5" s="27">
        <v>27.992000000000001</v>
      </c>
      <c r="J5" s="27">
        <v>30.181999999999999</v>
      </c>
      <c r="K5" s="27">
        <v>32.433999999999997</v>
      </c>
      <c r="L5" s="27">
        <v>36.432000000000002</v>
      </c>
      <c r="M5" s="27">
        <v>41.581000000000003</v>
      </c>
      <c r="N5" s="27">
        <v>47.326999999999998</v>
      </c>
      <c r="O5" s="27">
        <v>53.444000000000003</v>
      </c>
      <c r="P5" s="27">
        <v>59.789000000000001</v>
      </c>
      <c r="Q5" s="27">
        <v>69.025000000000006</v>
      </c>
      <c r="R5" s="27">
        <v>82.486999999999995</v>
      </c>
      <c r="S5" s="27">
        <v>95.966999999999999</v>
      </c>
      <c r="T5" s="27">
        <v>111.065</v>
      </c>
      <c r="U5" s="27">
        <v>125.66500000000001</v>
      </c>
      <c r="V5" s="27">
        <v>142.18700000000001</v>
      </c>
      <c r="W5" s="27">
        <v>160.24799999999999</v>
      </c>
      <c r="X5" s="27">
        <v>184.64099999999999</v>
      </c>
      <c r="Y5" s="27">
        <v>210.31200000000001</v>
      </c>
      <c r="Z5" s="27">
        <v>239.78299999999999</v>
      </c>
      <c r="AA5" s="27">
        <v>261.51400000000001</v>
      </c>
      <c r="AB5" s="27">
        <v>279.49400000000003</v>
      </c>
      <c r="AC5" s="27">
        <v>294.99400000000003</v>
      </c>
      <c r="AD5" s="27">
        <v>310.173</v>
      </c>
      <c r="AE5" s="27">
        <v>322.846</v>
      </c>
      <c r="AF5" s="27">
        <v>341.565</v>
      </c>
      <c r="AG5" s="27">
        <v>363.41699999999997</v>
      </c>
      <c r="AH5" s="27">
        <v>389.15300000000002</v>
      </c>
      <c r="AI5" s="27">
        <v>408.36700000000002</v>
      </c>
      <c r="AJ5" s="27">
        <v>421.16</v>
      </c>
      <c r="AK5" s="27">
        <v>428.17500000000001</v>
      </c>
      <c r="AL5" s="27">
        <v>437.48899999999998</v>
      </c>
      <c r="AM5" s="27">
        <v>454.315</v>
      </c>
      <c r="AN5" s="27">
        <v>467.07900000000001</v>
      </c>
      <c r="AO5" s="27">
        <v>479.82100000000003</v>
      </c>
      <c r="AP5" s="27">
        <v>498.13799999999998</v>
      </c>
      <c r="AQ5" s="27">
        <v>522.21100000000001</v>
      </c>
      <c r="AR5" s="27">
        <v>554.38800000000003</v>
      </c>
      <c r="AS5" s="27">
        <v>581.76599999999996</v>
      </c>
      <c r="AT5" s="27">
        <v>606.81700000000001</v>
      </c>
      <c r="AU5" s="35">
        <v>622.08399999999995</v>
      </c>
      <c r="AV5" s="368">
        <f>AU5/$AU$12</f>
        <v>0.60403366207617748</v>
      </c>
      <c r="AW5" s="27">
        <v>645</v>
      </c>
      <c r="AX5" s="27">
        <v>668.41800000000001</v>
      </c>
      <c r="AY5" s="31">
        <v>698.20799999999997</v>
      </c>
      <c r="AZ5" s="27">
        <v>726.66700000000003</v>
      </c>
      <c r="BA5" s="27">
        <v>749.67600000000004</v>
      </c>
      <c r="BB5" s="27">
        <v>750.13699999999994</v>
      </c>
      <c r="BC5" s="27">
        <v>767.70399999999995</v>
      </c>
      <c r="BD5" s="27">
        <v>790.28300000000002</v>
      </c>
      <c r="BE5" s="27"/>
      <c r="BF5" s="27"/>
      <c r="BG5" s="27"/>
      <c r="BH5" s="27"/>
      <c r="BI5" s="27"/>
      <c r="BJ5" s="27"/>
      <c r="BK5" s="27"/>
      <c r="BL5" s="27"/>
      <c r="BM5" s="27"/>
      <c r="BN5" s="27"/>
      <c r="BO5" s="27"/>
      <c r="BP5" s="27"/>
      <c r="BQ5" s="27"/>
      <c r="BR5" s="27"/>
      <c r="BS5" s="27"/>
      <c r="BT5" s="27"/>
      <c r="BU5" s="27"/>
      <c r="BV5" s="27"/>
      <c r="BW5" s="27"/>
      <c r="BX5" s="27"/>
      <c r="BY5" s="27"/>
      <c r="BZ5" s="27"/>
      <c r="CA5" s="27"/>
    </row>
    <row r="6" spans="1:79" x14ac:dyDescent="0.35">
      <c r="A6" s="24"/>
      <c r="B6" s="25" t="s">
        <v>52</v>
      </c>
      <c r="C6" s="27">
        <v>0.96499999999999997</v>
      </c>
      <c r="D6" s="27">
        <v>1.042</v>
      </c>
      <c r="E6" s="27">
        <v>1.1919999999999999</v>
      </c>
      <c r="F6" s="27">
        <v>1.367</v>
      </c>
      <c r="G6" s="27">
        <v>1.649</v>
      </c>
      <c r="H6" s="27">
        <v>1.837</v>
      </c>
      <c r="I6" s="27">
        <v>2.0169999999999999</v>
      </c>
      <c r="J6" s="27">
        <v>2.1760000000000002</v>
      </c>
      <c r="K6" s="27">
        <v>2.4319999999999999</v>
      </c>
      <c r="L6" s="27">
        <v>2.7890000000000001</v>
      </c>
      <c r="M6" s="27">
        <v>3.2389999999999999</v>
      </c>
      <c r="N6" s="27">
        <v>3.54</v>
      </c>
      <c r="O6" s="27">
        <v>4.0339999999999998</v>
      </c>
      <c r="P6" s="27">
        <v>4.8330000000000002</v>
      </c>
      <c r="Q6" s="27">
        <v>5.734</v>
      </c>
      <c r="R6" s="27">
        <v>6.8440000000000003</v>
      </c>
      <c r="S6" s="27">
        <v>8.4960000000000004</v>
      </c>
      <c r="T6" s="27">
        <v>10.715</v>
      </c>
      <c r="U6" s="27">
        <v>12.742000000000001</v>
      </c>
      <c r="V6" s="27">
        <v>14.531000000000001</v>
      </c>
      <c r="W6" s="27">
        <v>18.829999999999998</v>
      </c>
      <c r="X6" s="27">
        <v>22.792999999999999</v>
      </c>
      <c r="Y6" s="27">
        <v>25.283999999999999</v>
      </c>
      <c r="Z6" s="27">
        <v>30.515000000000001</v>
      </c>
      <c r="AA6" s="27">
        <v>35.075000000000003</v>
      </c>
      <c r="AB6" s="27">
        <v>40.588000000000001</v>
      </c>
      <c r="AC6" s="27">
        <v>43.68</v>
      </c>
      <c r="AD6" s="27">
        <v>46.877000000000002</v>
      </c>
      <c r="AE6" s="27">
        <v>51.439</v>
      </c>
      <c r="AF6" s="27">
        <v>55.734000000000002</v>
      </c>
      <c r="AG6" s="27">
        <v>62.292999999999999</v>
      </c>
      <c r="AH6" s="27">
        <v>66.533000000000001</v>
      </c>
      <c r="AI6" s="27">
        <v>69.242000000000004</v>
      </c>
      <c r="AJ6" s="27">
        <v>72.731999999999999</v>
      </c>
      <c r="AK6" s="27">
        <v>75.644000000000005</v>
      </c>
      <c r="AL6" s="27">
        <v>77.771000000000001</v>
      </c>
      <c r="AM6" s="27">
        <v>81.233999999999995</v>
      </c>
      <c r="AN6" s="27">
        <v>84.462999999999994</v>
      </c>
      <c r="AO6" s="27">
        <v>82.617999999999995</v>
      </c>
      <c r="AP6" s="27">
        <v>66.001999999999995</v>
      </c>
      <c r="AQ6" s="27">
        <v>69.411000000000001</v>
      </c>
      <c r="AR6" s="27">
        <v>72.858000000000004</v>
      </c>
      <c r="AS6" s="27">
        <v>76.638999999999996</v>
      </c>
      <c r="AT6" s="27">
        <v>81.233000000000004</v>
      </c>
      <c r="AU6" s="35">
        <v>84.293999999999997</v>
      </c>
      <c r="AV6" s="368">
        <f t="shared" ref="AV6:AV12" si="0">AU6/$AU$12</f>
        <v>8.1848132263567797E-2</v>
      </c>
      <c r="AW6" s="27">
        <v>87.539000000000001</v>
      </c>
      <c r="AX6" s="27">
        <v>91.625</v>
      </c>
      <c r="AY6" s="31">
        <v>97.527000000000001</v>
      </c>
      <c r="AZ6" s="27">
        <v>100.723</v>
      </c>
      <c r="BA6" s="27">
        <v>102.28400000000001</v>
      </c>
      <c r="BB6" s="27">
        <v>103.161</v>
      </c>
      <c r="BC6" s="27">
        <v>105.08</v>
      </c>
      <c r="BD6" s="27">
        <v>108.54600000000001</v>
      </c>
      <c r="BE6" s="27"/>
      <c r="BF6" s="27"/>
      <c r="BG6" s="27"/>
      <c r="BH6" s="27"/>
      <c r="BI6" s="27"/>
      <c r="BJ6" s="27"/>
      <c r="BK6" s="27"/>
      <c r="BL6" s="27"/>
      <c r="BM6" s="27"/>
      <c r="BN6" s="27"/>
      <c r="BO6" s="27"/>
      <c r="BP6" s="27"/>
      <c r="BQ6" s="27"/>
      <c r="BR6" s="27"/>
      <c r="BS6" s="27"/>
      <c r="BT6" s="27"/>
      <c r="BU6" s="27"/>
      <c r="BV6" s="27"/>
      <c r="BW6" s="27"/>
      <c r="BX6" s="27"/>
      <c r="BY6" s="27"/>
      <c r="BZ6" s="27"/>
      <c r="CA6" s="27"/>
    </row>
    <row r="7" spans="1:79" ht="14.4" x14ac:dyDescent="0.3">
      <c r="A7" s="24"/>
      <c r="B7" s="25" t="s">
        <v>53</v>
      </c>
      <c r="C7" s="27">
        <v>14.215999999999999</v>
      </c>
      <c r="D7" s="27">
        <v>15.521000000000001</v>
      </c>
      <c r="E7" s="27">
        <v>17.088000000000001</v>
      </c>
      <c r="F7" s="27">
        <v>19.219000000000001</v>
      </c>
      <c r="G7" s="27">
        <v>21.817</v>
      </c>
      <c r="H7" s="27">
        <v>24.221</v>
      </c>
      <c r="I7" s="27">
        <v>25.975000000000001</v>
      </c>
      <c r="J7" s="27">
        <v>28.006</v>
      </c>
      <c r="K7" s="27">
        <v>30.001999999999999</v>
      </c>
      <c r="L7" s="27">
        <v>33.643000000000001</v>
      </c>
      <c r="M7" s="27">
        <v>38.341999999999999</v>
      </c>
      <c r="N7" s="27">
        <v>43.786999999999999</v>
      </c>
      <c r="O7" s="27">
        <v>49.41</v>
      </c>
      <c r="P7" s="27">
        <v>54.957000000000001</v>
      </c>
      <c r="Q7" s="27">
        <v>63.292000000000002</v>
      </c>
      <c r="R7" s="27">
        <v>75.643000000000001</v>
      </c>
      <c r="S7" s="27">
        <v>87.471000000000004</v>
      </c>
      <c r="T7" s="27">
        <v>100.35</v>
      </c>
      <c r="U7" s="27">
        <v>112.923</v>
      </c>
      <c r="V7" s="27">
        <v>127.65600000000001</v>
      </c>
      <c r="W7" s="27">
        <v>141.41800000000001</v>
      </c>
      <c r="X7" s="27">
        <v>161.84800000000001</v>
      </c>
      <c r="Y7" s="27">
        <v>185.02799999999999</v>
      </c>
      <c r="Z7" s="27">
        <v>209.268</v>
      </c>
      <c r="AA7" s="27">
        <v>226.44</v>
      </c>
      <c r="AB7" s="27">
        <v>238.90600000000001</v>
      </c>
      <c r="AC7" s="27">
        <v>251.31399999999999</v>
      </c>
      <c r="AD7" s="27">
        <v>263.29599999999999</v>
      </c>
      <c r="AE7" s="27">
        <v>271.40699999999998</v>
      </c>
      <c r="AF7" s="27">
        <v>285.83100000000002</v>
      </c>
      <c r="AG7" s="27">
        <v>301.12400000000002</v>
      </c>
      <c r="AH7" s="27">
        <v>322.62</v>
      </c>
      <c r="AI7" s="27">
        <v>339.125</v>
      </c>
      <c r="AJ7" s="27">
        <v>348.42700000000002</v>
      </c>
      <c r="AK7" s="27">
        <v>352.53100000000001</v>
      </c>
      <c r="AL7" s="27">
        <v>359.71800000000002</v>
      </c>
      <c r="AM7" s="27">
        <v>373.08</v>
      </c>
      <c r="AN7" s="27">
        <v>382.61599999999999</v>
      </c>
      <c r="AO7" s="27">
        <v>397.20299999999997</v>
      </c>
      <c r="AP7" s="27">
        <v>432.13600000000002</v>
      </c>
      <c r="AQ7" s="27">
        <v>452.80099999999999</v>
      </c>
      <c r="AR7" s="27">
        <v>481.529</v>
      </c>
      <c r="AS7" s="27">
        <v>505.12700000000001</v>
      </c>
      <c r="AT7" s="27">
        <v>525.58399999999995</v>
      </c>
      <c r="AU7" s="35">
        <v>537.78899999999999</v>
      </c>
      <c r="AV7" s="368">
        <f t="shared" si="0"/>
        <v>0.5221845588285271</v>
      </c>
      <c r="AW7" s="27">
        <v>557.46100000000001</v>
      </c>
      <c r="AX7" s="27">
        <v>576.79300000000001</v>
      </c>
      <c r="AY7" s="31">
        <v>600.68100000000004</v>
      </c>
      <c r="AZ7" s="27">
        <v>625.94399999999996</v>
      </c>
      <c r="BA7" s="27">
        <v>647.39200000000005</v>
      </c>
      <c r="BB7" s="27">
        <v>646.976</v>
      </c>
      <c r="BC7" s="27">
        <v>662.62400000000002</v>
      </c>
      <c r="BD7" s="27">
        <v>681.73699999999997</v>
      </c>
      <c r="BE7" s="27"/>
      <c r="BF7" s="27"/>
      <c r="BG7" s="27"/>
      <c r="BH7" s="27"/>
      <c r="BI7" s="27"/>
      <c r="BJ7" s="27"/>
      <c r="BK7" s="27"/>
      <c r="BL7" s="27"/>
      <c r="BM7" s="27"/>
      <c r="BN7" s="27"/>
      <c r="BO7" s="27"/>
      <c r="BP7" s="27"/>
      <c r="BQ7" s="27"/>
      <c r="BR7" s="27"/>
      <c r="BS7" s="27"/>
      <c r="BT7" s="27"/>
      <c r="BU7" s="27"/>
      <c r="BV7" s="27"/>
      <c r="BW7" s="27"/>
      <c r="BX7" s="27"/>
      <c r="BY7" s="27"/>
      <c r="BZ7" s="27"/>
      <c r="CA7" s="27"/>
    </row>
    <row r="8" spans="1:79" ht="14.4" x14ac:dyDescent="0.3">
      <c r="A8" s="24"/>
      <c r="B8" s="25" t="s">
        <v>54</v>
      </c>
      <c r="C8" s="27">
        <v>4.8339999999999996</v>
      </c>
      <c r="D8" s="27">
        <v>5.298</v>
      </c>
      <c r="E8" s="27">
        <v>5.94</v>
      </c>
      <c r="F8" s="27">
        <v>7.0430000000000001</v>
      </c>
      <c r="G8" s="27">
        <v>8.3119999999999994</v>
      </c>
      <c r="H8" s="27">
        <v>9.3179999999999996</v>
      </c>
      <c r="I8" s="27">
        <v>10.228999999999999</v>
      </c>
      <c r="J8" s="27">
        <v>11.118</v>
      </c>
      <c r="K8" s="27">
        <v>12.13</v>
      </c>
      <c r="L8" s="27">
        <v>13.641999999999999</v>
      </c>
      <c r="M8" s="27">
        <v>15.477</v>
      </c>
      <c r="N8" s="27">
        <v>17.027000000000001</v>
      </c>
      <c r="O8" s="27">
        <v>18.965</v>
      </c>
      <c r="P8" s="27">
        <v>21.463000000000001</v>
      </c>
      <c r="Q8" s="27">
        <v>24.684000000000001</v>
      </c>
      <c r="R8" s="27">
        <v>29.161999999999999</v>
      </c>
      <c r="S8" s="27">
        <v>36.606999999999999</v>
      </c>
      <c r="T8" s="27">
        <v>42.137999999999998</v>
      </c>
      <c r="U8" s="27">
        <v>48.435000000000002</v>
      </c>
      <c r="V8" s="27">
        <v>57.069000000000003</v>
      </c>
      <c r="W8" s="27">
        <v>65.263000000000005</v>
      </c>
      <c r="X8" s="27">
        <v>75.504000000000005</v>
      </c>
      <c r="Y8" s="27">
        <v>89.554000000000002</v>
      </c>
      <c r="Z8" s="27">
        <v>106.464</v>
      </c>
      <c r="AA8" s="27">
        <v>119.316</v>
      </c>
      <c r="AB8" s="27">
        <v>131.08099999999999</v>
      </c>
      <c r="AC8" s="27">
        <v>142.511</v>
      </c>
      <c r="AD8" s="27">
        <v>152.011</v>
      </c>
      <c r="AE8" s="27">
        <v>157.755</v>
      </c>
      <c r="AF8" s="27">
        <v>167.84100000000001</v>
      </c>
      <c r="AG8" s="27">
        <v>177.755</v>
      </c>
      <c r="AH8" s="27">
        <v>189.14400000000001</v>
      </c>
      <c r="AI8" s="27">
        <v>201.107</v>
      </c>
      <c r="AJ8" s="27">
        <v>213.27600000000001</v>
      </c>
      <c r="AK8" s="27">
        <v>224.875</v>
      </c>
      <c r="AL8" s="27">
        <v>231.416</v>
      </c>
      <c r="AM8" s="27">
        <v>238.33500000000001</v>
      </c>
      <c r="AN8" s="27">
        <v>246.70099999999999</v>
      </c>
      <c r="AO8" s="27">
        <v>254.06</v>
      </c>
      <c r="AP8" s="27">
        <v>260.45</v>
      </c>
      <c r="AQ8" s="27">
        <v>267.988</v>
      </c>
      <c r="AR8" s="27">
        <v>274.85000000000002</v>
      </c>
      <c r="AS8" s="27">
        <v>285.51600000000002</v>
      </c>
      <c r="AT8" s="27">
        <v>301.17399999999998</v>
      </c>
      <c r="AU8" s="35">
        <v>313.63</v>
      </c>
      <c r="AV8" s="368">
        <f t="shared" si="0"/>
        <v>0.3045297378440075</v>
      </c>
      <c r="AW8" s="27">
        <v>327.87200000000001</v>
      </c>
      <c r="AX8" s="27">
        <v>341.04899999999998</v>
      </c>
      <c r="AY8" s="31">
        <v>355.01299999999998</v>
      </c>
      <c r="AZ8" s="27">
        <v>368.75</v>
      </c>
      <c r="BA8" s="27">
        <v>381.37299999999999</v>
      </c>
      <c r="BB8" s="27">
        <v>402.40899999999999</v>
      </c>
      <c r="BC8" s="27">
        <v>415.34500000000003</v>
      </c>
      <c r="BD8" s="27">
        <v>428.70600000000002</v>
      </c>
      <c r="BE8" s="27"/>
      <c r="BF8" s="27"/>
      <c r="BG8" s="27"/>
      <c r="BH8" s="27"/>
      <c r="BI8" s="27"/>
      <c r="BJ8" s="27"/>
      <c r="BK8" s="27"/>
      <c r="BL8" s="27"/>
      <c r="BM8" s="27"/>
      <c r="BN8" s="27"/>
      <c r="BO8" s="27"/>
      <c r="BP8" s="27"/>
      <c r="BQ8" s="27"/>
      <c r="BR8" s="27"/>
      <c r="BS8" s="27"/>
      <c r="BT8" s="27"/>
      <c r="BU8" s="27"/>
      <c r="BV8" s="27"/>
      <c r="BW8" s="27"/>
      <c r="BX8" s="27"/>
      <c r="BY8" s="27"/>
      <c r="BZ8" s="27"/>
      <c r="CA8" s="27"/>
    </row>
    <row r="9" spans="1:79" ht="14.4" x14ac:dyDescent="0.3">
      <c r="A9" s="24"/>
      <c r="B9" s="25" t="s">
        <v>55</v>
      </c>
      <c r="C9" s="27">
        <v>19.05</v>
      </c>
      <c r="D9" s="27">
        <v>20.818999999999999</v>
      </c>
      <c r="E9" s="27">
        <v>23.027999999999999</v>
      </c>
      <c r="F9" s="27">
        <v>26.262</v>
      </c>
      <c r="G9" s="27">
        <v>30.128</v>
      </c>
      <c r="H9" s="27">
        <v>33.539000000000001</v>
      </c>
      <c r="I9" s="27">
        <v>36.204000000000001</v>
      </c>
      <c r="J9" s="27">
        <v>39.122999999999998</v>
      </c>
      <c r="K9" s="27">
        <v>42.133000000000003</v>
      </c>
      <c r="L9" s="27">
        <v>47.284999999999997</v>
      </c>
      <c r="M9" s="27">
        <v>53.819000000000003</v>
      </c>
      <c r="N9" s="27">
        <v>60.814</v>
      </c>
      <c r="O9" s="27">
        <v>68.375</v>
      </c>
      <c r="P9" s="27">
        <v>76.418999999999997</v>
      </c>
      <c r="Q9" s="27">
        <v>87.974999999999994</v>
      </c>
      <c r="R9" s="27">
        <v>104.80500000000001</v>
      </c>
      <c r="S9" s="27">
        <v>124.078</v>
      </c>
      <c r="T9" s="27">
        <v>142.488</v>
      </c>
      <c r="U9" s="27">
        <v>161.35900000000001</v>
      </c>
      <c r="V9" s="27">
        <v>184.72499999999999</v>
      </c>
      <c r="W9" s="27">
        <v>206.68</v>
      </c>
      <c r="X9" s="27">
        <v>237.352</v>
      </c>
      <c r="Y9" s="27">
        <v>274.58199999999999</v>
      </c>
      <c r="Z9" s="27">
        <v>315.73200000000003</v>
      </c>
      <c r="AA9" s="27">
        <v>345.755</v>
      </c>
      <c r="AB9" s="27">
        <v>369.98700000000002</v>
      </c>
      <c r="AC9" s="27">
        <v>393.82499999999999</v>
      </c>
      <c r="AD9" s="27">
        <v>415.30700000000002</v>
      </c>
      <c r="AE9" s="27">
        <v>429.161</v>
      </c>
      <c r="AF9" s="27">
        <v>453.67200000000003</v>
      </c>
      <c r="AG9" s="27">
        <v>478.87900000000002</v>
      </c>
      <c r="AH9" s="27">
        <v>511.76400000000001</v>
      </c>
      <c r="AI9" s="27">
        <v>540.23099999999999</v>
      </c>
      <c r="AJ9" s="27">
        <v>561.70299999999997</v>
      </c>
      <c r="AK9" s="27">
        <v>577.40700000000004</v>
      </c>
      <c r="AL9" s="27">
        <v>591.13400000000001</v>
      </c>
      <c r="AM9" s="27">
        <v>611.41499999999996</v>
      </c>
      <c r="AN9" s="27">
        <v>629.31700000000001</v>
      </c>
      <c r="AO9" s="27">
        <v>651.26199999999994</v>
      </c>
      <c r="AP9" s="27">
        <v>692.58600000000001</v>
      </c>
      <c r="AQ9" s="27">
        <v>720.78800000000001</v>
      </c>
      <c r="AR9" s="27">
        <v>756.37900000000002</v>
      </c>
      <c r="AS9" s="27">
        <v>790.64300000000003</v>
      </c>
      <c r="AT9" s="27">
        <v>826.75800000000004</v>
      </c>
      <c r="AU9" s="35">
        <v>851.41899999999998</v>
      </c>
      <c r="AV9" s="368">
        <f t="shared" si="0"/>
        <v>0.8267142966725346</v>
      </c>
      <c r="AW9" s="27">
        <v>885.33299999999997</v>
      </c>
      <c r="AX9" s="27">
        <v>917.84199999999998</v>
      </c>
      <c r="AY9" s="31">
        <v>955.69399999999996</v>
      </c>
      <c r="AZ9" s="27">
        <v>994.69299999999998</v>
      </c>
      <c r="BA9" s="27">
        <v>1028.7650000000001</v>
      </c>
      <c r="BB9" s="27">
        <v>1049.385</v>
      </c>
      <c r="BC9" s="27">
        <v>1077.9690000000001</v>
      </c>
      <c r="BD9" s="27">
        <v>1110.443</v>
      </c>
      <c r="BE9" s="27"/>
      <c r="BF9" s="27"/>
      <c r="BG9" s="27"/>
      <c r="BH9" s="27"/>
      <c r="BI9" s="27"/>
      <c r="BJ9" s="27"/>
      <c r="BK9" s="27"/>
      <c r="BL9" s="27"/>
      <c r="BM9" s="27"/>
      <c r="BN9" s="27"/>
      <c r="BO9" s="27"/>
      <c r="BP9" s="27"/>
      <c r="BQ9" s="27"/>
      <c r="BR9" s="27"/>
      <c r="BS9" s="27"/>
      <c r="BT9" s="27"/>
      <c r="BU9" s="27"/>
      <c r="BV9" s="27"/>
      <c r="BW9" s="27"/>
      <c r="BX9" s="27"/>
      <c r="BY9" s="27"/>
      <c r="BZ9" s="27"/>
      <c r="CA9" s="27"/>
    </row>
    <row r="10" spans="1:79" x14ac:dyDescent="0.35">
      <c r="A10" s="24"/>
      <c r="B10" s="25" t="s">
        <v>56</v>
      </c>
      <c r="C10" s="27">
        <v>10.178000000000001</v>
      </c>
      <c r="D10" s="27">
        <v>11.573</v>
      </c>
      <c r="E10" s="27">
        <v>11.989000000000001</v>
      </c>
      <c r="F10" s="27">
        <v>13.773999999999999</v>
      </c>
      <c r="G10" s="27">
        <v>14.795999999999999</v>
      </c>
      <c r="H10" s="27">
        <v>15.686999999999999</v>
      </c>
      <c r="I10" s="27">
        <v>16.87</v>
      </c>
      <c r="J10" s="27">
        <v>18.39</v>
      </c>
      <c r="K10" s="27">
        <v>20.119</v>
      </c>
      <c r="L10" s="27">
        <v>21.420999999999999</v>
      </c>
      <c r="M10" s="27">
        <v>23.292999999999999</v>
      </c>
      <c r="N10" s="27">
        <v>25.59</v>
      </c>
      <c r="O10" s="27">
        <v>27.227</v>
      </c>
      <c r="P10" s="27">
        <v>30.765999999999998</v>
      </c>
      <c r="Q10" s="27">
        <v>33.975999999999999</v>
      </c>
      <c r="R10" s="27">
        <v>37.81</v>
      </c>
      <c r="S10" s="27">
        <v>40.018000000000001</v>
      </c>
      <c r="T10" s="27">
        <v>44.021000000000001</v>
      </c>
      <c r="U10" s="27">
        <v>49.515999999999998</v>
      </c>
      <c r="V10" s="27">
        <v>57.279000000000003</v>
      </c>
      <c r="W10" s="27">
        <v>64.021000000000001</v>
      </c>
      <c r="X10" s="27">
        <v>71.135000000000005</v>
      </c>
      <c r="Y10" s="27">
        <v>78.846999999999994</v>
      </c>
      <c r="Z10" s="27">
        <v>90.126999999999995</v>
      </c>
      <c r="AA10" s="27">
        <v>100.087</v>
      </c>
      <c r="AB10" s="27">
        <v>106.804</v>
      </c>
      <c r="AC10" s="27">
        <v>113.777</v>
      </c>
      <c r="AD10" s="27">
        <v>119.131</v>
      </c>
      <c r="AE10" s="27">
        <v>124.873</v>
      </c>
      <c r="AF10" s="27">
        <v>132.762</v>
      </c>
      <c r="AG10" s="27">
        <v>145.62200000000001</v>
      </c>
      <c r="AH10" s="27">
        <v>153.30500000000001</v>
      </c>
      <c r="AI10" s="27">
        <v>157.91200000000001</v>
      </c>
      <c r="AJ10" s="27">
        <v>165.72499999999999</v>
      </c>
      <c r="AK10" s="27">
        <v>167.21600000000001</v>
      </c>
      <c r="AL10" s="27">
        <v>174.447</v>
      </c>
      <c r="AM10" s="27">
        <v>179.70500000000001</v>
      </c>
      <c r="AN10" s="27">
        <v>184.34299999999999</v>
      </c>
      <c r="AO10" s="27">
        <v>187.203</v>
      </c>
      <c r="AP10" s="27">
        <v>193.53</v>
      </c>
      <c r="AQ10" s="27">
        <v>198.91800000000001</v>
      </c>
      <c r="AR10" s="27">
        <v>209.458</v>
      </c>
      <c r="AS10" s="27">
        <v>223.477</v>
      </c>
      <c r="AT10" s="27">
        <v>227.98699999999999</v>
      </c>
      <c r="AU10" s="35">
        <v>231.78</v>
      </c>
      <c r="AV10" s="368">
        <f t="shared" si="0"/>
        <v>0.22505469067845571</v>
      </c>
      <c r="AW10" s="27">
        <v>240.91399999999999</v>
      </c>
      <c r="AX10" s="27">
        <v>248.673</v>
      </c>
      <c r="AY10" s="31">
        <v>261.52999999999997</v>
      </c>
      <c r="AZ10" s="27">
        <v>276.39999999999998</v>
      </c>
      <c r="BA10" s="27">
        <v>285.41500000000002</v>
      </c>
      <c r="BB10" s="27">
        <v>269.69299999999998</v>
      </c>
      <c r="BC10" s="27">
        <v>271.18900000000002</v>
      </c>
      <c r="BD10" s="27">
        <v>279.303</v>
      </c>
      <c r="BE10" s="27"/>
      <c r="BF10" s="27"/>
      <c r="BG10" s="27"/>
      <c r="BH10" s="27"/>
      <c r="BI10" s="27"/>
      <c r="BJ10" s="27"/>
      <c r="BK10" s="27"/>
      <c r="BL10" s="27"/>
      <c r="BM10" s="27"/>
      <c r="BN10" s="27"/>
      <c r="BO10" s="27"/>
      <c r="BP10" s="27"/>
      <c r="BQ10" s="27"/>
      <c r="BR10" s="27"/>
      <c r="BS10" s="27"/>
      <c r="BT10" s="27"/>
      <c r="BU10" s="27"/>
      <c r="BV10" s="27"/>
      <c r="BW10" s="27"/>
      <c r="BX10" s="27"/>
      <c r="BY10" s="27"/>
      <c r="BZ10" s="27"/>
      <c r="CA10" s="27"/>
    </row>
    <row r="11" spans="1:79" x14ac:dyDescent="0.35">
      <c r="A11" s="24"/>
      <c r="B11" s="25" t="s">
        <v>57</v>
      </c>
      <c r="C11" s="27">
        <v>0.246</v>
      </c>
      <c r="D11" s="27">
        <v>0.26200000000000001</v>
      </c>
      <c r="E11" s="27">
        <v>0.33200000000000002</v>
      </c>
      <c r="F11" s="27">
        <v>0.39800000000000002</v>
      </c>
      <c r="G11" s="27">
        <v>0.49199999999999999</v>
      </c>
      <c r="H11" s="27">
        <v>0.57699999999999996</v>
      </c>
      <c r="I11" s="27">
        <v>0.63400000000000001</v>
      </c>
      <c r="J11" s="27">
        <v>0.77400000000000002</v>
      </c>
      <c r="K11" s="27">
        <v>0.86499999999999999</v>
      </c>
      <c r="L11" s="27">
        <v>0.90400000000000003</v>
      </c>
      <c r="M11" s="27">
        <v>1.111</v>
      </c>
      <c r="N11" s="27">
        <v>1.1870000000000001</v>
      </c>
      <c r="O11" s="27">
        <v>1.3180000000000001</v>
      </c>
      <c r="P11" s="27">
        <v>1.4610000000000001</v>
      </c>
      <c r="Q11" s="27">
        <v>1.56</v>
      </c>
      <c r="R11" s="27">
        <v>1.8149999999999999</v>
      </c>
      <c r="S11" s="27">
        <v>2.1789999999999998</v>
      </c>
      <c r="T11" s="27">
        <v>2.6589999999999998</v>
      </c>
      <c r="U11" s="27">
        <v>3.2250000000000001</v>
      </c>
      <c r="V11" s="27">
        <v>3.7829999999999999</v>
      </c>
      <c r="W11" s="27">
        <v>4.7880000000000003</v>
      </c>
      <c r="X11" s="27">
        <v>5.6619999999999999</v>
      </c>
      <c r="Y11" s="27">
        <v>6.5330000000000004</v>
      </c>
      <c r="Z11" s="27">
        <v>7.7649999999999997</v>
      </c>
      <c r="AA11" s="27">
        <v>9.0739999999999998</v>
      </c>
      <c r="AB11" s="27">
        <v>10.117000000000001</v>
      </c>
      <c r="AC11" s="27">
        <v>10.926</v>
      </c>
      <c r="AD11" s="27">
        <v>11.621</v>
      </c>
      <c r="AE11" s="27">
        <v>12.494999999999999</v>
      </c>
      <c r="AF11" s="27">
        <v>13.55</v>
      </c>
      <c r="AG11" s="27">
        <v>14.805999999999999</v>
      </c>
      <c r="AH11" s="27">
        <v>15.611000000000001</v>
      </c>
      <c r="AI11" s="27">
        <v>16.391999999999999</v>
      </c>
      <c r="AJ11" s="27">
        <v>16.683</v>
      </c>
      <c r="AK11" s="27">
        <v>16.635999999999999</v>
      </c>
      <c r="AL11" s="27">
        <v>16.431999999999999</v>
      </c>
      <c r="AM11" s="27">
        <v>17.198</v>
      </c>
      <c r="AN11" s="27">
        <v>19.274999999999999</v>
      </c>
      <c r="AO11" s="27">
        <v>19.064</v>
      </c>
      <c r="AP11" s="27">
        <v>14.503</v>
      </c>
      <c r="AQ11" s="27">
        <v>15.138</v>
      </c>
      <c r="AR11" s="27">
        <v>16.004999999999999</v>
      </c>
      <c r="AS11" s="27">
        <v>17.489999999999998</v>
      </c>
      <c r="AT11" s="27">
        <v>17.901</v>
      </c>
      <c r="AU11" s="35">
        <v>19.434000000000001</v>
      </c>
      <c r="AV11" s="368">
        <f t="shared" si="0"/>
        <v>1.8870104662374269E-2</v>
      </c>
      <c r="AW11" s="27">
        <v>20.603999999999999</v>
      </c>
      <c r="AX11" s="27">
        <v>21.847000000000001</v>
      </c>
      <c r="AY11" s="31">
        <v>23.545000000000002</v>
      </c>
      <c r="AZ11" s="27">
        <v>24.234999999999999</v>
      </c>
      <c r="BA11" s="27">
        <v>25.672999999999998</v>
      </c>
      <c r="BB11" s="27">
        <v>26.896000000000001</v>
      </c>
      <c r="BC11" s="27">
        <v>27.74</v>
      </c>
      <c r="BD11" s="27">
        <v>28.201000000000001</v>
      </c>
      <c r="BE11" s="27"/>
      <c r="BF11" s="27"/>
      <c r="BG11" s="27"/>
      <c r="BH11" s="27"/>
      <c r="BI11" s="27"/>
      <c r="BJ11" s="27"/>
      <c r="BK11" s="27"/>
      <c r="BL11" s="27"/>
      <c r="BM11" s="27"/>
      <c r="BN11" s="27"/>
      <c r="BO11" s="27"/>
      <c r="BP11" s="27"/>
      <c r="BQ11" s="27"/>
      <c r="BR11" s="27"/>
      <c r="BS11" s="27"/>
      <c r="BT11" s="27"/>
      <c r="BU11" s="27"/>
      <c r="BV11" s="27"/>
      <c r="BW11" s="27"/>
      <c r="BX11" s="27"/>
      <c r="BY11" s="27"/>
      <c r="BZ11" s="27"/>
      <c r="CA11" s="27"/>
    </row>
    <row r="12" spans="1:79" ht="14.4" x14ac:dyDescent="0.3">
      <c r="A12" s="24"/>
      <c r="B12" s="25" t="s">
        <v>58</v>
      </c>
      <c r="C12" s="27">
        <v>29.228999999999999</v>
      </c>
      <c r="D12" s="27">
        <v>32.603000000000002</v>
      </c>
      <c r="E12" s="27">
        <v>35.119</v>
      </c>
      <c r="F12" s="27">
        <v>40.299999999999997</v>
      </c>
      <c r="G12" s="27">
        <v>44.899000000000001</v>
      </c>
      <c r="H12" s="27">
        <v>48.752000000000002</v>
      </c>
      <c r="I12" s="27">
        <v>52.387</v>
      </c>
      <c r="J12" s="27">
        <v>56.588999999999999</v>
      </c>
      <c r="K12" s="27">
        <v>61.595999999999997</v>
      </c>
      <c r="L12" s="27">
        <v>67.540000000000006</v>
      </c>
      <c r="M12" s="27">
        <v>75.695999999999998</v>
      </c>
      <c r="N12" s="27">
        <v>85.177999999999997</v>
      </c>
      <c r="O12" s="27">
        <v>94.784000000000006</v>
      </c>
      <c r="P12" s="27">
        <v>106.25</v>
      </c>
      <c r="Q12" s="27">
        <v>120.961</v>
      </c>
      <c r="R12" s="27">
        <v>143.584</v>
      </c>
      <c r="S12" s="27">
        <v>164.292</v>
      </c>
      <c r="T12" s="27">
        <v>184.55699999999999</v>
      </c>
      <c r="U12" s="27">
        <v>207.67500000000001</v>
      </c>
      <c r="V12" s="27">
        <v>237.27600000000001</v>
      </c>
      <c r="W12" s="27">
        <v>264.81299999999999</v>
      </c>
      <c r="X12" s="27">
        <v>300.59899999999999</v>
      </c>
      <c r="Y12" s="27">
        <v>348.42599999999999</v>
      </c>
      <c r="Z12" s="27">
        <v>397.61700000000002</v>
      </c>
      <c r="AA12" s="27">
        <v>435.44299999999998</v>
      </c>
      <c r="AB12" s="27">
        <v>464.99200000000002</v>
      </c>
      <c r="AC12" s="27">
        <v>497.52199999999999</v>
      </c>
      <c r="AD12" s="27">
        <v>523.94799999999998</v>
      </c>
      <c r="AE12" s="27">
        <v>544.89700000000005</v>
      </c>
      <c r="AF12" s="27">
        <v>579.76700000000005</v>
      </c>
      <c r="AG12" s="27">
        <v>624.21</v>
      </c>
      <c r="AH12" s="27">
        <v>663.178</v>
      </c>
      <c r="AI12" s="27">
        <v>694.02300000000002</v>
      </c>
      <c r="AJ12" s="27">
        <v>722.81600000000003</v>
      </c>
      <c r="AK12" s="27">
        <v>740.471</v>
      </c>
      <c r="AL12" s="27">
        <v>755.01</v>
      </c>
      <c r="AM12" s="27">
        <v>784.83600000000001</v>
      </c>
      <c r="AN12" s="27">
        <v>800.82299999999998</v>
      </c>
      <c r="AO12" s="27">
        <v>819.82600000000002</v>
      </c>
      <c r="AP12" s="27">
        <v>846.53899999999999</v>
      </c>
      <c r="AQ12" s="27">
        <v>865.47400000000005</v>
      </c>
      <c r="AR12" s="27">
        <v>913.34799999999996</v>
      </c>
      <c r="AS12" s="27">
        <v>960.89300000000003</v>
      </c>
      <c r="AT12" s="27">
        <v>1004.37</v>
      </c>
      <c r="AU12" s="35">
        <v>1029.883</v>
      </c>
      <c r="AV12" s="368">
        <f t="shared" si="0"/>
        <v>1</v>
      </c>
      <c r="AW12" s="27">
        <v>1075.5070000000001</v>
      </c>
      <c r="AX12" s="27">
        <v>1108.69</v>
      </c>
      <c r="AY12" s="31">
        <v>1159.3820000000001</v>
      </c>
      <c r="AZ12" s="27">
        <v>1218.6759999999999</v>
      </c>
      <c r="BA12" s="27">
        <v>1259.2550000000001</v>
      </c>
      <c r="BB12" s="27">
        <v>1265.0319999999999</v>
      </c>
      <c r="BC12" s="27">
        <v>1289.8710000000001</v>
      </c>
      <c r="BD12" s="27">
        <v>1323.52</v>
      </c>
      <c r="BE12" s="27"/>
      <c r="BF12" s="27"/>
      <c r="BG12" s="27"/>
      <c r="BH12" s="27"/>
      <c r="BI12" s="27"/>
      <c r="BJ12" s="27"/>
      <c r="BK12" s="27"/>
      <c r="BL12" s="27"/>
      <c r="BM12" s="27"/>
      <c r="BN12" s="27"/>
      <c r="BO12" s="27"/>
      <c r="BP12" s="27"/>
      <c r="BQ12" s="27"/>
      <c r="BR12" s="27"/>
      <c r="BS12" s="27"/>
      <c r="BT12" s="27"/>
      <c r="BU12" s="27"/>
      <c r="BV12" s="27"/>
      <c r="BW12" s="27"/>
      <c r="BX12" s="27"/>
      <c r="BY12" s="27"/>
      <c r="BZ12" s="27"/>
      <c r="CA12" s="27"/>
    </row>
    <row r="13" spans="1:79" ht="14.4" x14ac:dyDescent="0.3">
      <c r="A13" s="24"/>
      <c r="B13" s="25" t="s">
        <v>6</v>
      </c>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35">
        <f>AU12-RDB_household!G4</f>
        <v>36.383000000000038</v>
      </c>
      <c r="AV13" s="35"/>
      <c r="AW13" s="27"/>
      <c r="AX13" s="27"/>
      <c r="AY13" s="31"/>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row>
    <row r="14" spans="1:79" ht="14.4" x14ac:dyDescent="0.3">
      <c r="A14" s="24"/>
      <c r="B14" s="25" t="s">
        <v>61</v>
      </c>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35"/>
      <c r="AV14" s="35"/>
      <c r="AW14" s="27"/>
      <c r="AX14" s="27"/>
      <c r="AY14" s="31"/>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row>
    <row r="15" spans="1:79" ht="14.4" x14ac:dyDescent="0.3">
      <c r="A15" s="24"/>
      <c r="B15" s="25" t="s">
        <v>62</v>
      </c>
      <c r="C15" s="27"/>
      <c r="D15" s="27">
        <v>11.54</v>
      </c>
      <c r="E15" s="27">
        <v>7.72</v>
      </c>
      <c r="F15" s="27">
        <v>14.75</v>
      </c>
      <c r="G15" s="27">
        <v>11.41</v>
      </c>
      <c r="H15" s="27">
        <v>8.58</v>
      </c>
      <c r="I15" s="27">
        <v>7.45</v>
      </c>
      <c r="J15" s="27">
        <v>8.02</v>
      </c>
      <c r="K15" s="27">
        <v>8.85</v>
      </c>
      <c r="L15" s="27">
        <v>9.65</v>
      </c>
      <c r="M15" s="27">
        <v>12.08</v>
      </c>
      <c r="N15" s="27">
        <v>12.53</v>
      </c>
      <c r="O15" s="27">
        <v>11.28</v>
      </c>
      <c r="P15" s="27">
        <v>12.1</v>
      </c>
      <c r="Q15" s="27">
        <v>13.85</v>
      </c>
      <c r="R15" s="27">
        <v>18.7</v>
      </c>
      <c r="S15" s="27">
        <v>14.42</v>
      </c>
      <c r="T15" s="27">
        <v>12.34</v>
      </c>
      <c r="U15" s="27">
        <v>12.53</v>
      </c>
      <c r="V15" s="27">
        <v>14.25</v>
      </c>
      <c r="W15" s="27">
        <v>11.61</v>
      </c>
      <c r="X15" s="27">
        <v>13.51</v>
      </c>
      <c r="Y15" s="27">
        <v>15.91</v>
      </c>
      <c r="Z15" s="27">
        <v>14.12</v>
      </c>
      <c r="AA15" s="27">
        <v>9.51</v>
      </c>
      <c r="AB15" s="27">
        <v>6.79</v>
      </c>
      <c r="AC15" s="27">
        <v>7</v>
      </c>
      <c r="AD15" s="27">
        <v>5.31</v>
      </c>
      <c r="AE15" s="27">
        <v>4</v>
      </c>
      <c r="AF15" s="27">
        <v>6.4</v>
      </c>
      <c r="AG15" s="27">
        <v>7.67</v>
      </c>
      <c r="AH15" s="27">
        <v>6.24</v>
      </c>
      <c r="AI15" s="27">
        <v>4.6500000000000004</v>
      </c>
      <c r="AJ15" s="27">
        <v>4.1500000000000004</v>
      </c>
      <c r="AK15" s="27">
        <v>2.44</v>
      </c>
      <c r="AL15" s="27">
        <v>1.96</v>
      </c>
      <c r="AM15" s="27">
        <v>3.95</v>
      </c>
      <c r="AN15" s="27">
        <v>2.04</v>
      </c>
      <c r="AO15" s="27">
        <v>2.37</v>
      </c>
      <c r="AP15" s="27">
        <v>3.26</v>
      </c>
      <c r="AQ15" s="27">
        <v>2.2400000000000002</v>
      </c>
      <c r="AR15" s="27">
        <v>5.53</v>
      </c>
      <c r="AS15" s="27">
        <v>5.21</v>
      </c>
      <c r="AT15" s="27">
        <v>4.5199999999999996</v>
      </c>
      <c r="AU15" s="35">
        <v>2.54</v>
      </c>
      <c r="AV15" s="35"/>
      <c r="AW15" s="27">
        <v>4.43</v>
      </c>
      <c r="AX15" s="27">
        <v>3.09</v>
      </c>
      <c r="AY15" s="31">
        <v>4.57</v>
      </c>
      <c r="AZ15" s="27">
        <v>5.1100000000000003</v>
      </c>
      <c r="BA15" s="27">
        <v>3.33</v>
      </c>
      <c r="BB15" s="27">
        <v>0.46</v>
      </c>
      <c r="BC15" s="27">
        <v>1.96</v>
      </c>
      <c r="BD15" s="27">
        <v>2.61</v>
      </c>
      <c r="BE15" s="27"/>
      <c r="BF15" s="27"/>
      <c r="BG15" s="27"/>
      <c r="BH15" s="27"/>
      <c r="BI15" s="27"/>
      <c r="BJ15" s="27"/>
      <c r="BK15" s="27"/>
      <c r="BL15" s="27"/>
      <c r="BM15" s="27"/>
      <c r="BN15" s="27"/>
      <c r="BO15" s="27"/>
      <c r="BP15" s="27"/>
      <c r="BQ15" s="27"/>
      <c r="BR15" s="27"/>
      <c r="BS15" s="27"/>
      <c r="BT15" s="27"/>
      <c r="BU15" s="27"/>
      <c r="BV15" s="27"/>
      <c r="BW15" s="27"/>
      <c r="BX15" s="27"/>
      <c r="BY15" s="27"/>
      <c r="BZ15" s="27"/>
      <c r="CA15" s="27"/>
    </row>
    <row r="16" spans="1:79" x14ac:dyDescent="0.35">
      <c r="A16" s="24"/>
      <c r="B16" s="25" t="s">
        <v>63</v>
      </c>
      <c r="C16" s="27"/>
      <c r="D16" s="27">
        <v>3.27</v>
      </c>
      <c r="E16" s="27">
        <v>2.91</v>
      </c>
      <c r="F16" s="27">
        <v>4.22</v>
      </c>
      <c r="G16" s="27">
        <v>4.96</v>
      </c>
      <c r="H16" s="27">
        <v>3.41</v>
      </c>
      <c r="I16" s="27">
        <v>2.73</v>
      </c>
      <c r="J16" s="27">
        <v>3.06</v>
      </c>
      <c r="K16" s="27">
        <v>3.2</v>
      </c>
      <c r="L16" s="27">
        <v>5.01</v>
      </c>
      <c r="M16" s="27">
        <v>7.08</v>
      </c>
      <c r="N16" s="27">
        <v>5.1100000000000003</v>
      </c>
      <c r="O16" s="27">
        <v>5.64</v>
      </c>
      <c r="P16" s="27">
        <v>6.08</v>
      </c>
      <c r="Q16" s="27">
        <v>7.21</v>
      </c>
      <c r="R16" s="27">
        <v>13.78</v>
      </c>
      <c r="S16" s="27">
        <v>11.41</v>
      </c>
      <c r="T16" s="27">
        <v>9.77</v>
      </c>
      <c r="U16" s="27">
        <v>9.43</v>
      </c>
      <c r="V16" s="27">
        <v>8.66</v>
      </c>
      <c r="W16" s="27">
        <v>10.78</v>
      </c>
      <c r="X16" s="27">
        <v>12.84</v>
      </c>
      <c r="Y16" s="27">
        <v>13.51</v>
      </c>
      <c r="Z16" s="27">
        <v>11.76</v>
      </c>
      <c r="AA16" s="27">
        <v>9.6999999999999993</v>
      </c>
      <c r="AB16" s="27">
        <v>8.01</v>
      </c>
      <c r="AC16" s="27">
        <v>6.09</v>
      </c>
      <c r="AD16" s="27">
        <v>2.84</v>
      </c>
      <c r="AE16" s="27">
        <v>3.02</v>
      </c>
      <c r="AF16" s="27">
        <v>2.78</v>
      </c>
      <c r="AG16" s="27">
        <v>4.0199999999999996</v>
      </c>
      <c r="AH16" s="27">
        <v>2.82</v>
      </c>
      <c r="AI16" s="27">
        <v>2.98</v>
      </c>
      <c r="AJ16" s="27">
        <v>2.4500000000000002</v>
      </c>
      <c r="AK16" s="27">
        <v>1.66</v>
      </c>
      <c r="AL16" s="27">
        <v>1.26</v>
      </c>
      <c r="AM16" s="27">
        <v>0.99</v>
      </c>
      <c r="AN16" s="27">
        <v>1.7</v>
      </c>
      <c r="AO16" s="27">
        <v>0.87</v>
      </c>
      <c r="AP16" s="27">
        <v>0.36</v>
      </c>
      <c r="AQ16" s="27">
        <v>-0.51</v>
      </c>
      <c r="AR16" s="27">
        <v>2.44</v>
      </c>
      <c r="AS16" s="27">
        <v>1.99</v>
      </c>
      <c r="AT16" s="27">
        <v>1.2</v>
      </c>
      <c r="AU16" s="35">
        <v>1.86</v>
      </c>
      <c r="AV16" s="35"/>
      <c r="AW16" s="27">
        <v>2.08</v>
      </c>
      <c r="AX16" s="27">
        <v>1.79</v>
      </c>
      <c r="AY16" s="31">
        <v>2.02</v>
      </c>
      <c r="AZ16" s="27">
        <v>2.0699999999999998</v>
      </c>
      <c r="BA16" s="27">
        <v>2.95</v>
      </c>
      <c r="BB16" s="27">
        <v>-0.69</v>
      </c>
      <c r="BC16" s="27">
        <v>1.0900000000000001</v>
      </c>
      <c r="BD16" s="27">
        <v>2.09</v>
      </c>
      <c r="BE16" s="27"/>
      <c r="BF16" s="27"/>
      <c r="BG16" s="27"/>
      <c r="BH16" s="27"/>
      <c r="BI16" s="27"/>
      <c r="BJ16" s="27"/>
      <c r="BK16" s="27"/>
      <c r="BL16" s="27"/>
      <c r="BM16" s="27"/>
      <c r="BN16" s="27"/>
      <c r="BO16" s="27"/>
      <c r="BP16" s="27"/>
      <c r="BQ16" s="27"/>
      <c r="BR16" s="27"/>
      <c r="BS16" s="27"/>
      <c r="BT16" s="27"/>
      <c r="BU16" s="27"/>
      <c r="BV16" s="27"/>
      <c r="BW16" s="27"/>
      <c r="BX16" s="27"/>
      <c r="BY16" s="27"/>
      <c r="BZ16" s="27"/>
      <c r="CA16" s="27"/>
    </row>
    <row r="17" spans="1:56" x14ac:dyDescent="0.35">
      <c r="A17" s="24"/>
      <c r="B17" s="25" t="s">
        <v>64</v>
      </c>
      <c r="C17" s="27"/>
      <c r="D17" s="27">
        <v>8.01</v>
      </c>
      <c r="E17" s="27">
        <v>4.67</v>
      </c>
      <c r="F17" s="27">
        <v>10.11</v>
      </c>
      <c r="G17" s="27">
        <v>6.14</v>
      </c>
      <c r="H17" s="27">
        <v>5</v>
      </c>
      <c r="I17" s="27">
        <v>4.5999999999999996</v>
      </c>
      <c r="J17" s="27">
        <v>4.8099999999999996</v>
      </c>
      <c r="K17" s="27">
        <v>5.47</v>
      </c>
      <c r="L17" s="27">
        <v>4.42</v>
      </c>
      <c r="M17" s="27">
        <v>4.66</v>
      </c>
      <c r="N17" s="27">
        <v>7.06</v>
      </c>
      <c r="O17" s="27">
        <v>5.34</v>
      </c>
      <c r="P17" s="27">
        <v>5.68</v>
      </c>
      <c r="Q17" s="27">
        <v>6.19</v>
      </c>
      <c r="R17" s="27">
        <v>4.32</v>
      </c>
      <c r="S17" s="27">
        <v>2.71</v>
      </c>
      <c r="T17" s="27">
        <v>2.34</v>
      </c>
      <c r="U17" s="27">
        <v>2.83</v>
      </c>
      <c r="V17" s="27">
        <v>5.15</v>
      </c>
      <c r="W17" s="27">
        <v>0.75</v>
      </c>
      <c r="X17" s="27">
        <v>0.6</v>
      </c>
      <c r="Y17" s="27">
        <v>2.12</v>
      </c>
      <c r="Z17" s="27">
        <v>2.11</v>
      </c>
      <c r="AA17" s="27">
        <v>-0.17</v>
      </c>
      <c r="AB17" s="27">
        <v>-1.1299999999999999</v>
      </c>
      <c r="AC17" s="27">
        <v>0.86</v>
      </c>
      <c r="AD17" s="27">
        <v>2.4</v>
      </c>
      <c r="AE17" s="27">
        <v>0.95</v>
      </c>
      <c r="AF17" s="27">
        <v>3.52</v>
      </c>
      <c r="AG17" s="27">
        <v>3.51</v>
      </c>
      <c r="AH17" s="27">
        <v>3.33</v>
      </c>
      <c r="AI17" s="27">
        <v>1.62</v>
      </c>
      <c r="AJ17" s="27">
        <v>1.65</v>
      </c>
      <c r="AK17" s="27">
        <v>0.77</v>
      </c>
      <c r="AL17" s="27">
        <v>0.69</v>
      </c>
      <c r="AM17" s="27">
        <v>2.93</v>
      </c>
      <c r="AN17" s="27">
        <v>0.33</v>
      </c>
      <c r="AO17" s="27">
        <v>1.49</v>
      </c>
      <c r="AP17" s="27">
        <v>2.89</v>
      </c>
      <c r="AQ17" s="27">
        <v>2.77</v>
      </c>
      <c r="AR17" s="27">
        <v>3.01</v>
      </c>
      <c r="AS17" s="27">
        <v>3.15</v>
      </c>
      <c r="AT17" s="27">
        <v>3.29</v>
      </c>
      <c r="AU17" s="35">
        <v>0.67</v>
      </c>
      <c r="AV17" s="35"/>
      <c r="AW17" s="27">
        <v>2.2999999999999998</v>
      </c>
      <c r="AX17" s="27">
        <v>1.27</v>
      </c>
      <c r="AY17" s="31">
        <v>2.5</v>
      </c>
      <c r="AZ17" s="27">
        <v>2.98</v>
      </c>
      <c r="BA17" s="27">
        <v>0.37</v>
      </c>
      <c r="BB17" s="27">
        <v>1.1599999999999999</v>
      </c>
      <c r="BC17" s="27">
        <v>0.86</v>
      </c>
      <c r="BD17" s="27">
        <v>0.51</v>
      </c>
    </row>
    <row r="18" spans="1:56" ht="14.4" x14ac:dyDescent="0.3">
      <c r="A18" s="24"/>
      <c r="B18" s="25" t="s">
        <v>6</v>
      </c>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35"/>
      <c r="AV18" s="35"/>
      <c r="AW18" s="27"/>
      <c r="AX18" s="27"/>
      <c r="AY18" s="31"/>
      <c r="AZ18" s="27"/>
      <c r="BA18" s="27"/>
      <c r="BB18" s="27"/>
      <c r="BC18" s="27"/>
      <c r="BD18" s="27"/>
    </row>
    <row r="19" spans="1:56" ht="14.4" x14ac:dyDescent="0.3">
      <c r="A19" s="24"/>
      <c r="B19" s="25" t="s">
        <v>65</v>
      </c>
      <c r="C19" s="27"/>
      <c r="D19" s="27">
        <v>6.96</v>
      </c>
      <c r="E19" s="27">
        <v>3.58</v>
      </c>
      <c r="F19" s="27">
        <v>8.15</v>
      </c>
      <c r="G19" s="27">
        <v>4.33</v>
      </c>
      <c r="H19" s="27">
        <v>3.92</v>
      </c>
      <c r="I19" s="27">
        <v>3.64</v>
      </c>
      <c r="J19" s="27">
        <v>3.95</v>
      </c>
      <c r="K19" s="27">
        <v>4.6500000000000004</v>
      </c>
      <c r="L19" s="27">
        <v>3.65</v>
      </c>
      <c r="M19" s="27">
        <v>3.83</v>
      </c>
      <c r="N19" s="27">
        <v>6.1</v>
      </c>
      <c r="O19" s="27">
        <v>4.3600000000000003</v>
      </c>
      <c r="P19" s="27">
        <v>4.76</v>
      </c>
      <c r="Q19" s="27">
        <v>5.34</v>
      </c>
      <c r="R19" s="27">
        <v>3.64</v>
      </c>
      <c r="S19" s="27">
        <v>2.2400000000000002</v>
      </c>
      <c r="T19" s="27">
        <v>1.93</v>
      </c>
      <c r="U19" s="27">
        <v>2.37</v>
      </c>
      <c r="V19" s="27">
        <v>4.6900000000000004</v>
      </c>
      <c r="W19" s="27">
        <v>0.32</v>
      </c>
      <c r="X19" s="27">
        <v>0.08</v>
      </c>
      <c r="Y19" s="27">
        <v>1.55</v>
      </c>
      <c r="Z19" s="27">
        <v>1.53</v>
      </c>
      <c r="AA19" s="27">
        <v>-0.68</v>
      </c>
      <c r="AB19" s="27">
        <v>-1.59</v>
      </c>
      <c r="AC19" s="27">
        <v>0.39</v>
      </c>
      <c r="AD19" s="27">
        <v>1.92</v>
      </c>
      <c r="AE19" s="27">
        <v>0.45</v>
      </c>
      <c r="AF19" s="27">
        <v>2.98</v>
      </c>
      <c r="AG19" s="27">
        <v>2.95</v>
      </c>
      <c r="AH19" s="27">
        <v>2.81</v>
      </c>
      <c r="AI19" s="27">
        <v>1.1399999999999999</v>
      </c>
      <c r="AJ19" s="27">
        <v>1.19</v>
      </c>
      <c r="AK19" s="27">
        <v>0.37</v>
      </c>
      <c r="AL19" s="27">
        <v>0.36</v>
      </c>
      <c r="AM19" s="27">
        <v>2.6</v>
      </c>
      <c r="AN19" s="27">
        <v>0.02</v>
      </c>
      <c r="AO19" s="27">
        <v>1.18</v>
      </c>
      <c r="AP19" s="27">
        <v>2.56</v>
      </c>
      <c r="AQ19" s="27">
        <v>2.2799999999999998</v>
      </c>
      <c r="AR19" s="27">
        <v>2.34</v>
      </c>
      <c r="AS19" s="27">
        <v>2.4300000000000002</v>
      </c>
      <c r="AT19" s="27">
        <v>2.57</v>
      </c>
      <c r="AU19" s="35">
        <v>-0.02</v>
      </c>
      <c r="AV19" s="35"/>
      <c r="AW19" s="27">
        <v>1.58</v>
      </c>
      <c r="AX19" s="27">
        <v>0.53</v>
      </c>
      <c r="AY19" s="31">
        <v>1.81</v>
      </c>
      <c r="AZ19" s="27">
        <v>2.37</v>
      </c>
      <c r="BA19" s="27">
        <v>-0.17</v>
      </c>
      <c r="BB19" s="27">
        <v>0.63</v>
      </c>
      <c r="BC19" s="27">
        <v>0.33</v>
      </c>
      <c r="BD19" s="27">
        <v>-0.02</v>
      </c>
    </row>
    <row r="20" spans="1:56" x14ac:dyDescent="0.35">
      <c r="A20" s="24"/>
      <c r="B20" s="25" t="s">
        <v>66</v>
      </c>
      <c r="C20" s="27"/>
      <c r="D20" s="27">
        <v>6.93</v>
      </c>
      <c r="E20" s="27">
        <v>3.52</v>
      </c>
      <c r="F20" s="27">
        <v>8.01</v>
      </c>
      <c r="G20" s="27">
        <v>4.3099999999999996</v>
      </c>
      <c r="H20" s="27">
        <v>3.9</v>
      </c>
      <c r="I20" s="27">
        <v>3.57</v>
      </c>
      <c r="J20" s="27">
        <v>3.78</v>
      </c>
      <c r="K20" s="27">
        <v>4.29</v>
      </c>
      <c r="L20" s="27">
        <v>3.09</v>
      </c>
      <c r="M20" s="27">
        <v>3</v>
      </c>
      <c r="N20" s="27">
        <v>5.1100000000000003</v>
      </c>
      <c r="O20" s="27">
        <v>3.42</v>
      </c>
      <c r="P20" s="27">
        <v>3.81</v>
      </c>
      <c r="Q20" s="27">
        <v>4.34</v>
      </c>
      <c r="R20" s="27">
        <v>2.64</v>
      </c>
      <c r="S20" s="27">
        <v>1.1399999999999999</v>
      </c>
      <c r="T20" s="27">
        <v>0.77</v>
      </c>
      <c r="U20" s="27">
        <v>1.28</v>
      </c>
      <c r="V20" s="27">
        <v>3.6</v>
      </c>
      <c r="W20" s="27">
        <v>-0.71</v>
      </c>
      <c r="X20" s="27">
        <v>-0.81</v>
      </c>
      <c r="Y20" s="27">
        <v>0.74</v>
      </c>
      <c r="Z20" s="27">
        <v>0.75</v>
      </c>
      <c r="AA20" s="27">
        <v>-1.51</v>
      </c>
      <c r="AB20" s="27">
        <v>-2.4300000000000002</v>
      </c>
      <c r="AC20" s="27">
        <v>-0.37</v>
      </c>
      <c r="AD20" s="27">
        <v>1.22</v>
      </c>
      <c r="AE20" s="27">
        <v>-0.18</v>
      </c>
      <c r="AF20" s="27">
        <v>2.39</v>
      </c>
      <c r="AG20" s="27">
        <v>2.42</v>
      </c>
      <c r="AH20" s="27">
        <v>2.14</v>
      </c>
      <c r="AI20" s="27">
        <v>0.39</v>
      </c>
      <c r="AJ20" s="27">
        <v>0.5</v>
      </c>
      <c r="AK20" s="27">
        <v>-0.35</v>
      </c>
      <c r="AL20" s="27">
        <v>-0.43</v>
      </c>
      <c r="AM20" s="27">
        <v>1.77</v>
      </c>
      <c r="AN20" s="27">
        <v>-0.76</v>
      </c>
      <c r="AO20" s="27">
        <v>0.42</v>
      </c>
      <c r="AP20" s="27">
        <v>1.83</v>
      </c>
      <c r="AQ20" s="27">
        <v>1.56</v>
      </c>
      <c r="AR20" s="27">
        <v>1.64</v>
      </c>
      <c r="AS20" s="27">
        <v>1.75</v>
      </c>
      <c r="AT20" s="27">
        <v>1.89</v>
      </c>
      <c r="AU20" s="35">
        <v>-0.65</v>
      </c>
      <c r="AV20" s="35"/>
      <c r="AW20" s="27">
        <v>1.01</v>
      </c>
      <c r="AX20" s="27">
        <v>0.05</v>
      </c>
      <c r="AY20" s="31">
        <v>1.31</v>
      </c>
      <c r="AZ20" s="27">
        <v>1.88</v>
      </c>
      <c r="BA20" s="27">
        <v>-0.59</v>
      </c>
      <c r="BB20" s="27">
        <v>0.15</v>
      </c>
      <c r="BC20" s="27">
        <v>-0.15</v>
      </c>
      <c r="BD20" s="27">
        <v>-0.45</v>
      </c>
    </row>
    <row r="21" spans="1:56" x14ac:dyDescent="0.35">
      <c r="A21" s="24"/>
      <c r="B21" s="25" t="s">
        <v>67</v>
      </c>
      <c r="C21" s="27"/>
      <c r="D21" s="27">
        <v>7.05</v>
      </c>
      <c r="E21" s="27">
        <v>3.59</v>
      </c>
      <c r="F21" s="27">
        <v>8.0299999999999994</v>
      </c>
      <c r="G21" s="27">
        <v>4.24</v>
      </c>
      <c r="H21" s="27">
        <v>3.86</v>
      </c>
      <c r="I21" s="27">
        <v>3.56</v>
      </c>
      <c r="J21" s="27">
        <v>3.85</v>
      </c>
      <c r="K21" s="27">
        <v>4.5</v>
      </c>
      <c r="L21" s="27">
        <v>3.45</v>
      </c>
      <c r="M21" s="27">
        <v>3.56</v>
      </c>
      <c r="N21" s="27">
        <v>5.79</v>
      </c>
      <c r="O21" s="27">
        <v>4.07</v>
      </c>
      <c r="P21" s="27">
        <v>4.47</v>
      </c>
      <c r="Q21" s="27">
        <v>5.0199999999999996</v>
      </c>
      <c r="R21" s="27">
        <v>3.3</v>
      </c>
      <c r="S21" s="27">
        <v>1.85</v>
      </c>
      <c r="T21" s="27">
        <v>1.52</v>
      </c>
      <c r="U21" s="27">
        <v>1.97</v>
      </c>
      <c r="V21" s="27">
        <v>4.28</v>
      </c>
      <c r="W21" s="27">
        <v>-0.08</v>
      </c>
      <c r="X21" s="27">
        <v>-0.26</v>
      </c>
      <c r="Y21" s="27">
        <v>1.24</v>
      </c>
      <c r="Z21" s="27">
        <v>1.24</v>
      </c>
      <c r="AA21" s="27">
        <v>-0.98</v>
      </c>
      <c r="AB21" s="27">
        <v>-1.9</v>
      </c>
      <c r="AC21" s="27">
        <v>0.09</v>
      </c>
      <c r="AD21" s="27">
        <v>1.63</v>
      </c>
      <c r="AE21" s="27">
        <v>0.18</v>
      </c>
      <c r="AF21" s="27">
        <v>2.72</v>
      </c>
      <c r="AG21" s="27">
        <v>2.73</v>
      </c>
      <c r="AH21" s="27">
        <v>2.58</v>
      </c>
      <c r="AI21" s="27">
        <v>0.9</v>
      </c>
      <c r="AJ21" s="27">
        <v>0.96</v>
      </c>
      <c r="AK21" s="27">
        <v>0.14000000000000001</v>
      </c>
      <c r="AL21" s="27">
        <v>0.09</v>
      </c>
      <c r="AM21" s="27">
        <v>2.2999999999999998</v>
      </c>
      <c r="AN21" s="27">
        <v>-0.23</v>
      </c>
      <c r="AO21" s="27">
        <v>0.96</v>
      </c>
      <c r="AP21" s="27">
        <v>2.38</v>
      </c>
      <c r="AQ21" s="27">
        <v>2.11</v>
      </c>
      <c r="AR21" s="27">
        <v>2.19</v>
      </c>
      <c r="AS21" s="27">
        <v>2.2999999999999998</v>
      </c>
      <c r="AT21" s="27">
        <v>2.4500000000000002</v>
      </c>
      <c r="AU21" s="35">
        <v>-0.1</v>
      </c>
      <c r="AV21" s="35"/>
      <c r="AW21" s="27">
        <v>1.57</v>
      </c>
      <c r="AX21" s="27">
        <v>0.61</v>
      </c>
      <c r="AY21" s="31">
        <v>1.94</v>
      </c>
      <c r="AZ21" s="27">
        <v>2.39</v>
      </c>
      <c r="BA21" s="27">
        <v>-0.26</v>
      </c>
      <c r="BB21" s="27">
        <v>0.55000000000000004</v>
      </c>
      <c r="BC21" s="27">
        <v>0.25</v>
      </c>
      <c r="BD21" s="27">
        <v>-0.13</v>
      </c>
    </row>
    <row r="22" spans="1:56" x14ac:dyDescent="0.35">
      <c r="A22" s="24"/>
      <c r="B22" s="25" t="s">
        <v>6</v>
      </c>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35"/>
      <c r="AV22" s="35"/>
      <c r="AW22" s="27"/>
      <c r="AX22" s="27"/>
      <c r="AY22" s="31"/>
      <c r="AZ22" s="27"/>
      <c r="BA22" s="27"/>
      <c r="BB22" s="27"/>
      <c r="BC22" s="27"/>
      <c r="BD22" s="27"/>
    </row>
    <row r="23" spans="1:56" x14ac:dyDescent="0.35">
      <c r="A23" s="24"/>
      <c r="B23" s="25" t="s">
        <v>68</v>
      </c>
      <c r="C23" s="27"/>
      <c r="D23" s="27">
        <v>0.98</v>
      </c>
      <c r="E23" s="27">
        <v>1.05</v>
      </c>
      <c r="F23" s="27">
        <v>1.81</v>
      </c>
      <c r="G23" s="27">
        <v>1.74</v>
      </c>
      <c r="H23" s="27">
        <v>1.03</v>
      </c>
      <c r="I23" s="27">
        <v>0.93</v>
      </c>
      <c r="J23" s="27">
        <v>0.83</v>
      </c>
      <c r="K23" s="27">
        <v>0.78</v>
      </c>
      <c r="L23" s="27">
        <v>0.74</v>
      </c>
      <c r="M23" s="27">
        <v>0.81</v>
      </c>
      <c r="N23" s="27">
        <v>0.9</v>
      </c>
      <c r="O23" s="27">
        <v>0.94</v>
      </c>
      <c r="P23" s="27">
        <v>0.88</v>
      </c>
      <c r="Q23" s="27">
        <v>0.81</v>
      </c>
      <c r="R23" s="27">
        <v>0.66</v>
      </c>
      <c r="S23" s="27">
        <v>0.46</v>
      </c>
      <c r="T23" s="27">
        <v>0.4</v>
      </c>
      <c r="U23" s="27">
        <v>0.45</v>
      </c>
      <c r="V23" s="27">
        <v>0.43</v>
      </c>
      <c r="W23" s="27">
        <v>0.43</v>
      </c>
      <c r="X23" s="27">
        <v>0.51</v>
      </c>
      <c r="Y23" s="27">
        <v>0.56000000000000005</v>
      </c>
      <c r="Z23" s="27">
        <v>0.56999999999999995</v>
      </c>
      <c r="AA23" s="27">
        <v>0.51</v>
      </c>
      <c r="AB23" s="27">
        <v>0.46</v>
      </c>
      <c r="AC23" s="27">
        <v>0.47</v>
      </c>
      <c r="AD23" s="27">
        <v>0.47</v>
      </c>
      <c r="AE23" s="27">
        <v>0.5</v>
      </c>
      <c r="AF23" s="27">
        <v>0.53</v>
      </c>
      <c r="AG23" s="27">
        <v>0.54</v>
      </c>
      <c r="AH23" s="27">
        <v>0.51</v>
      </c>
      <c r="AI23" s="27">
        <v>0.47</v>
      </c>
      <c r="AJ23" s="27">
        <v>0.46</v>
      </c>
      <c r="AK23" s="27">
        <v>0.4</v>
      </c>
      <c r="AL23" s="27">
        <v>0.33</v>
      </c>
      <c r="AM23" s="27">
        <v>0.32</v>
      </c>
      <c r="AN23" s="27">
        <v>0.31</v>
      </c>
      <c r="AO23" s="27">
        <v>0.31</v>
      </c>
      <c r="AP23" s="27">
        <v>0.33</v>
      </c>
      <c r="AQ23" s="27">
        <v>0.48</v>
      </c>
      <c r="AR23" s="27">
        <v>0.66</v>
      </c>
      <c r="AS23" s="27">
        <v>0.7</v>
      </c>
      <c r="AT23" s="27">
        <v>0.7</v>
      </c>
      <c r="AU23" s="35">
        <v>0.68</v>
      </c>
      <c r="AV23" s="35"/>
      <c r="AW23" s="27">
        <v>0.71</v>
      </c>
      <c r="AX23" s="27">
        <v>0.74</v>
      </c>
      <c r="AY23" s="31">
        <v>0.68</v>
      </c>
      <c r="AZ23" s="27">
        <v>0.6</v>
      </c>
      <c r="BA23" s="27">
        <v>0.54</v>
      </c>
      <c r="BB23" s="27">
        <v>0.53</v>
      </c>
      <c r="BC23" s="27">
        <v>0.53</v>
      </c>
      <c r="BD23" s="27">
        <v>0.53</v>
      </c>
    </row>
    <row r="24" spans="1:56" x14ac:dyDescent="0.35">
      <c r="A24" s="24"/>
      <c r="B24" s="25" t="s">
        <v>69</v>
      </c>
      <c r="C24" s="27"/>
      <c r="D24" s="27">
        <v>1.01</v>
      </c>
      <c r="E24" s="27">
        <v>1.1100000000000001</v>
      </c>
      <c r="F24" s="27">
        <v>1.94</v>
      </c>
      <c r="G24" s="27">
        <v>1.76</v>
      </c>
      <c r="H24" s="27">
        <v>1.05</v>
      </c>
      <c r="I24" s="27">
        <v>0.99</v>
      </c>
      <c r="J24" s="27">
        <v>1</v>
      </c>
      <c r="K24" s="27">
        <v>1.1299999999999999</v>
      </c>
      <c r="L24" s="27">
        <v>1.28</v>
      </c>
      <c r="M24" s="27">
        <v>1.62</v>
      </c>
      <c r="N24" s="27">
        <v>1.85</v>
      </c>
      <c r="O24" s="27">
        <v>1.85</v>
      </c>
      <c r="P24" s="27">
        <v>1.8</v>
      </c>
      <c r="Q24" s="27">
        <v>1.76</v>
      </c>
      <c r="R24" s="27">
        <v>1.64</v>
      </c>
      <c r="S24" s="27">
        <v>1.55</v>
      </c>
      <c r="T24" s="27">
        <v>1.55</v>
      </c>
      <c r="U24" s="27">
        <v>1.53</v>
      </c>
      <c r="V24" s="27">
        <v>1.5</v>
      </c>
      <c r="W24" s="27">
        <v>1.47</v>
      </c>
      <c r="X24" s="27">
        <v>1.42</v>
      </c>
      <c r="Y24" s="27">
        <v>1.37</v>
      </c>
      <c r="Z24" s="27">
        <v>1.35</v>
      </c>
      <c r="AA24" s="27">
        <v>1.36</v>
      </c>
      <c r="AB24" s="27">
        <v>1.33</v>
      </c>
      <c r="AC24" s="27">
        <v>1.23</v>
      </c>
      <c r="AD24" s="27">
        <v>1.17</v>
      </c>
      <c r="AE24" s="27">
        <v>1.1399999999999999</v>
      </c>
      <c r="AF24" s="27">
        <v>1.1100000000000001</v>
      </c>
      <c r="AG24" s="27">
        <v>1.06</v>
      </c>
      <c r="AH24" s="27">
        <v>1.1599999999999999</v>
      </c>
      <c r="AI24" s="27">
        <v>1.22</v>
      </c>
      <c r="AJ24" s="27">
        <v>1.1499999999999999</v>
      </c>
      <c r="AK24" s="27">
        <v>1.1200000000000001</v>
      </c>
      <c r="AL24" s="27">
        <v>1.1299999999999999</v>
      </c>
      <c r="AM24" s="27">
        <v>1.1399999999999999</v>
      </c>
      <c r="AN24" s="27">
        <v>1.1000000000000001</v>
      </c>
      <c r="AO24" s="27">
        <v>1.07</v>
      </c>
      <c r="AP24" s="27">
        <v>1.04</v>
      </c>
      <c r="AQ24" s="27">
        <v>1.18</v>
      </c>
      <c r="AR24" s="27">
        <v>1.35</v>
      </c>
      <c r="AS24" s="27">
        <v>1.38</v>
      </c>
      <c r="AT24" s="27">
        <v>1.37</v>
      </c>
      <c r="AU24" s="35">
        <v>1.32</v>
      </c>
      <c r="AV24" s="35"/>
      <c r="AW24" s="27">
        <v>1.28</v>
      </c>
      <c r="AX24" s="27">
        <v>1.22</v>
      </c>
      <c r="AY24" s="31">
        <v>1.18</v>
      </c>
      <c r="AZ24" s="27">
        <v>1.0900000000000001</v>
      </c>
      <c r="BA24" s="27">
        <v>0.97</v>
      </c>
      <c r="BB24" s="27">
        <v>1.01</v>
      </c>
      <c r="BC24" s="27">
        <v>1.01</v>
      </c>
      <c r="BD24" s="27">
        <v>0.96</v>
      </c>
    </row>
    <row r="25" spans="1:56" x14ac:dyDescent="0.35">
      <c r="A25" s="24"/>
      <c r="B25" s="25" t="s">
        <v>70</v>
      </c>
      <c r="C25" s="27" t="s">
        <v>6</v>
      </c>
      <c r="D25" s="27">
        <v>0.89</v>
      </c>
      <c r="E25" s="27">
        <v>1.04</v>
      </c>
      <c r="F25" s="27">
        <v>1.92</v>
      </c>
      <c r="G25" s="27">
        <v>1.83</v>
      </c>
      <c r="H25" s="27">
        <v>1.1000000000000001</v>
      </c>
      <c r="I25" s="27">
        <v>1.01</v>
      </c>
      <c r="J25" s="27">
        <v>0.93</v>
      </c>
      <c r="K25" s="27">
        <v>0.93</v>
      </c>
      <c r="L25" s="27">
        <v>0.93</v>
      </c>
      <c r="M25" s="27">
        <v>1.07</v>
      </c>
      <c r="N25" s="27">
        <v>1.2</v>
      </c>
      <c r="O25" s="27">
        <v>1.22</v>
      </c>
      <c r="P25" s="27">
        <v>1.1599999999999999</v>
      </c>
      <c r="Q25" s="27">
        <v>1.1100000000000001</v>
      </c>
      <c r="R25" s="27">
        <v>0.99</v>
      </c>
      <c r="S25" s="27">
        <v>0.84</v>
      </c>
      <c r="T25" s="27">
        <v>0.81</v>
      </c>
      <c r="U25" s="27">
        <v>0.84</v>
      </c>
      <c r="V25" s="27">
        <v>0.83</v>
      </c>
      <c r="W25" s="27">
        <v>0.83</v>
      </c>
      <c r="X25" s="27">
        <v>0.85</v>
      </c>
      <c r="Y25" s="27">
        <v>0.86</v>
      </c>
      <c r="Z25" s="27">
        <v>0.86</v>
      </c>
      <c r="AA25" s="27">
        <v>0.82</v>
      </c>
      <c r="AB25" s="27">
        <v>0.79</v>
      </c>
      <c r="AC25" s="27">
        <v>0.77</v>
      </c>
      <c r="AD25" s="27">
        <v>0.76</v>
      </c>
      <c r="AE25" s="27">
        <v>0.77</v>
      </c>
      <c r="AF25" s="27">
        <v>0.78</v>
      </c>
      <c r="AG25" s="27">
        <v>0.76</v>
      </c>
      <c r="AH25" s="27">
        <v>0.73</v>
      </c>
      <c r="AI25" s="27">
        <v>0.71</v>
      </c>
      <c r="AJ25" s="27">
        <v>0.69</v>
      </c>
      <c r="AK25" s="27">
        <v>0.63</v>
      </c>
      <c r="AL25" s="27">
        <v>0.6</v>
      </c>
      <c r="AM25" s="27">
        <v>0.61</v>
      </c>
      <c r="AN25" s="27">
        <v>0.56999999999999995</v>
      </c>
      <c r="AO25" s="27">
        <v>0.53</v>
      </c>
      <c r="AP25" s="27">
        <v>0.51</v>
      </c>
      <c r="AQ25" s="27">
        <v>0.64</v>
      </c>
      <c r="AR25" s="27">
        <v>0.81</v>
      </c>
      <c r="AS25" s="27">
        <v>0.83</v>
      </c>
      <c r="AT25" s="27">
        <v>0.82</v>
      </c>
      <c r="AU25" s="35">
        <v>0.77</v>
      </c>
      <c r="AV25" s="35"/>
      <c r="AW25" s="27">
        <v>0.72</v>
      </c>
      <c r="AX25" s="27">
        <v>0.66</v>
      </c>
      <c r="AY25" s="31">
        <v>0.56000000000000005</v>
      </c>
      <c r="AZ25" s="27">
        <v>0.57999999999999996</v>
      </c>
      <c r="BA25" s="27">
        <v>0.63</v>
      </c>
      <c r="BB25" s="27">
        <v>0.6</v>
      </c>
      <c r="BC25" s="27">
        <v>0.61</v>
      </c>
      <c r="BD25" s="27">
        <v>0.64</v>
      </c>
    </row>
    <row r="26" spans="1:56" x14ac:dyDescent="0.35">
      <c r="A26" s="24"/>
      <c r="B26" s="25"/>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row>
    <row r="27" spans="1:56" x14ac:dyDescent="0.35">
      <c r="A27" s="24"/>
      <c r="B27" s="25" t="s">
        <v>71</v>
      </c>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f>AU12-Matrice!AQ94</f>
        <v>36.444000000000074</v>
      </c>
      <c r="AU27" s="27"/>
      <c r="AV27" s="27"/>
      <c r="AW27" s="27"/>
      <c r="AX27" s="27"/>
      <c r="AY27" s="27"/>
      <c r="AZ27" s="27"/>
      <c r="BA27" s="27"/>
      <c r="BB27" s="27"/>
      <c r="BC27" s="27"/>
      <c r="BD27" s="27"/>
    </row>
    <row r="28" spans="1:56" x14ac:dyDescent="0.35">
      <c r="A28" s="24"/>
      <c r="B28" s="25"/>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row>
    <row r="29" spans="1:56" x14ac:dyDescent="0.35">
      <c r="A29" s="24"/>
      <c r="B29" s="25" t="s">
        <v>72</v>
      </c>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row>
    <row r="30" spans="1:56" x14ac:dyDescent="0.35">
      <c r="A30" s="24"/>
      <c r="B30" s="25"/>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row>
    <row r="31" spans="1:56" x14ac:dyDescent="0.35">
      <c r="A31" s="24"/>
      <c r="B31" s="25" t="s">
        <v>73</v>
      </c>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row>
    <row r="32" spans="1:56" x14ac:dyDescent="0.35">
      <c r="A32" s="24"/>
      <c r="B32" s="25" t="s">
        <v>74</v>
      </c>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7"/>
      <c r="BA32" s="27"/>
      <c r="BB32" s="27"/>
      <c r="BC32" s="27"/>
      <c r="BD32" s="27"/>
    </row>
    <row r="33" spans="1:2" x14ac:dyDescent="0.35">
      <c r="A33" s="24"/>
      <c r="B33" s="25" t="s">
        <v>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sheetPr>
  <dimension ref="A1:BP135"/>
  <sheetViews>
    <sheetView topLeftCell="AK76" zoomScale="60" zoomScaleNormal="60" workbookViewId="0">
      <selection activeCell="AV95" sqref="AV95"/>
    </sheetView>
  </sheetViews>
  <sheetFormatPr baseColWidth="10" defaultColWidth="11.453125" defaultRowHeight="14.5" x14ac:dyDescent="0.35"/>
  <cols>
    <col min="1" max="1" width="33.54296875" customWidth="1"/>
    <col min="2" max="2" width="16.36328125" customWidth="1"/>
    <col min="3" max="3" width="14.453125" customWidth="1"/>
    <col min="4" max="4" width="14.36328125" bestFit="1" customWidth="1"/>
    <col min="5" max="5" width="10.54296875" customWidth="1"/>
    <col min="6" max="6" width="14.6328125" bestFit="1" customWidth="1"/>
    <col min="7" max="8" width="15.08984375" bestFit="1" customWidth="1"/>
    <col min="9" max="9" width="17.54296875" customWidth="1"/>
    <col min="10" max="10" width="13.90625" customWidth="1"/>
    <col min="12" max="12" width="27.08984375" bestFit="1" customWidth="1"/>
    <col min="13" max="13" width="12.90625" bestFit="1" customWidth="1"/>
    <col min="20" max="20" width="12" bestFit="1" customWidth="1"/>
    <col min="24" max="25" width="13.453125" customWidth="1"/>
    <col min="26" max="27" width="11.6328125" customWidth="1"/>
    <col min="28" max="28" width="11.54296875" customWidth="1"/>
    <col min="37" max="37" width="10.36328125" customWidth="1"/>
    <col min="48" max="48" width="13.6328125" bestFit="1" customWidth="1"/>
  </cols>
  <sheetData>
    <row r="1" spans="1:37" s="120" customFormat="1" ht="40.25" customHeight="1" x14ac:dyDescent="0.3">
      <c r="A1" s="120">
        <v>1</v>
      </c>
      <c r="B1" s="120">
        <v>2</v>
      </c>
      <c r="C1" s="163">
        <v>3</v>
      </c>
      <c r="D1" s="163">
        <v>4</v>
      </c>
      <c r="E1" s="163">
        <v>5</v>
      </c>
      <c r="F1" s="163">
        <v>6</v>
      </c>
      <c r="G1" s="163">
        <v>7</v>
      </c>
      <c r="H1" s="163">
        <v>8</v>
      </c>
      <c r="I1" s="163">
        <v>9</v>
      </c>
      <c r="J1" s="163">
        <v>10</v>
      </c>
      <c r="K1" s="163">
        <v>11</v>
      </c>
      <c r="L1" s="163">
        <v>12</v>
      </c>
      <c r="M1" s="163">
        <v>13</v>
      </c>
      <c r="N1" s="163">
        <v>14</v>
      </c>
      <c r="O1" s="163">
        <v>15</v>
      </c>
      <c r="P1" s="163">
        <v>16</v>
      </c>
      <c r="Q1" s="163">
        <v>17</v>
      </c>
      <c r="R1" s="163">
        <v>18</v>
      </c>
      <c r="S1" s="163">
        <v>19</v>
      </c>
      <c r="T1" s="163">
        <v>20</v>
      </c>
      <c r="U1" s="163">
        <v>21</v>
      </c>
      <c r="V1" s="163">
        <v>22</v>
      </c>
      <c r="W1" s="163">
        <v>23</v>
      </c>
      <c r="X1" s="163">
        <v>24</v>
      </c>
      <c r="Y1" s="163">
        <v>25</v>
      </c>
      <c r="Z1" s="163">
        <v>26</v>
      </c>
      <c r="AA1" s="163">
        <v>27</v>
      </c>
      <c r="AB1" s="163">
        <v>28</v>
      </c>
      <c r="AC1" s="163">
        <v>29</v>
      </c>
      <c r="AD1" s="163">
        <v>30</v>
      </c>
      <c r="AE1" s="163">
        <v>31</v>
      </c>
      <c r="AF1" s="163">
        <v>32</v>
      </c>
      <c r="AG1" s="163">
        <v>33</v>
      </c>
      <c r="AH1" s="163">
        <v>34</v>
      </c>
      <c r="AI1" s="163">
        <v>35</v>
      </c>
      <c r="AJ1" s="163">
        <v>36</v>
      </c>
      <c r="AK1" s="163">
        <v>37</v>
      </c>
    </row>
    <row r="2" spans="1:37" s="120" customFormat="1" ht="40.25" customHeight="1" x14ac:dyDescent="0.3">
      <c r="A2" s="133"/>
      <c r="B2" s="133"/>
      <c r="C2" s="133" t="s">
        <v>0</v>
      </c>
      <c r="D2" s="133" t="s">
        <v>1</v>
      </c>
      <c r="E2" s="133" t="s">
        <v>2</v>
      </c>
      <c r="F2" s="133" t="s">
        <v>3</v>
      </c>
      <c r="G2" s="133" t="s">
        <v>4</v>
      </c>
      <c r="H2" s="133" t="s">
        <v>46</v>
      </c>
      <c r="I2" s="133"/>
      <c r="J2" s="133" t="s">
        <v>531</v>
      </c>
      <c r="K2" s="133"/>
      <c r="L2" s="172" t="s">
        <v>533</v>
      </c>
      <c r="M2" s="133"/>
      <c r="N2" s="133"/>
      <c r="O2" s="133" t="s">
        <v>0</v>
      </c>
      <c r="P2" s="133" t="s">
        <v>1</v>
      </c>
      <c r="Q2" s="133" t="s">
        <v>2</v>
      </c>
      <c r="R2" s="133" t="s">
        <v>3</v>
      </c>
      <c r="S2" s="133" t="s">
        <v>4</v>
      </c>
      <c r="T2" s="133" t="s">
        <v>46</v>
      </c>
      <c r="U2" s="133"/>
      <c r="V2" s="133" t="s">
        <v>653</v>
      </c>
      <c r="W2" s="133"/>
      <c r="X2" s="133"/>
      <c r="Y2" s="133"/>
      <c r="Z2" s="133"/>
      <c r="AA2" s="133"/>
      <c r="AB2" s="133"/>
      <c r="AC2" s="133"/>
      <c r="AD2" s="133"/>
      <c r="AE2" s="133"/>
      <c r="AF2" s="133"/>
      <c r="AG2" s="133"/>
      <c r="AH2" s="133"/>
      <c r="AI2" s="133"/>
      <c r="AJ2" s="133"/>
      <c r="AK2" s="133"/>
    </row>
    <row r="3" spans="1:37" s="120" customFormat="1" ht="40.25" customHeight="1" x14ac:dyDescent="0.3">
      <c r="A3" s="151"/>
      <c r="B3" s="151"/>
      <c r="C3" s="151"/>
      <c r="D3" s="151"/>
      <c r="E3" s="151"/>
      <c r="F3" s="151"/>
      <c r="G3" s="151"/>
      <c r="H3" s="151"/>
      <c r="I3" s="289"/>
      <c r="J3" s="151"/>
      <c r="N3" s="135"/>
      <c r="O3" s="134"/>
      <c r="P3" s="134"/>
      <c r="Q3" s="134"/>
      <c r="R3" s="134"/>
      <c r="S3" s="134"/>
      <c r="T3" s="134"/>
      <c r="U3" s="166"/>
      <c r="V3"/>
    </row>
    <row r="4" spans="1:37" s="163" customFormat="1" ht="40.25" customHeight="1" x14ac:dyDescent="0.35">
      <c r="A4" s="151" t="s">
        <v>728</v>
      </c>
      <c r="B4" s="348"/>
      <c r="C4" s="134">
        <v>1</v>
      </c>
      <c r="D4" s="134">
        <v>2</v>
      </c>
      <c r="E4" s="134">
        <v>3</v>
      </c>
      <c r="F4" s="134">
        <v>4</v>
      </c>
      <c r="G4" s="134">
        <v>5</v>
      </c>
      <c r="H4" s="134" t="s">
        <v>729</v>
      </c>
      <c r="I4" s="289"/>
      <c r="J4" s="151"/>
      <c r="N4" s="166"/>
      <c r="O4" s="132"/>
      <c r="P4" s="132"/>
      <c r="Q4" s="132"/>
      <c r="R4" s="132"/>
      <c r="S4" s="132"/>
      <c r="T4" s="132"/>
      <c r="U4" s="166"/>
    </row>
    <row r="5" spans="1:37" s="163" customFormat="1" ht="40.25" customHeight="1" x14ac:dyDescent="0.3">
      <c r="A5" s="151"/>
      <c r="B5" s="134" t="s">
        <v>79</v>
      </c>
      <c r="C5" s="134">
        <v>1132623</v>
      </c>
      <c r="D5" s="134">
        <v>888422</v>
      </c>
      <c r="E5" s="134">
        <v>420041</v>
      </c>
      <c r="F5" s="134">
        <v>213410</v>
      </c>
      <c r="G5" s="134">
        <v>206113</v>
      </c>
      <c r="H5" s="134">
        <v>2860609</v>
      </c>
      <c r="I5" s="289"/>
      <c r="J5" s="151"/>
      <c r="N5" s="166"/>
      <c r="O5" s="132"/>
      <c r="P5" s="132"/>
      <c r="Q5" s="132"/>
      <c r="R5" s="132"/>
      <c r="S5" s="132"/>
      <c r="T5" s="132"/>
      <c r="U5" s="166"/>
    </row>
    <row r="6" spans="1:37" s="163" customFormat="1" ht="40.25" customHeight="1" x14ac:dyDescent="0.3">
      <c r="A6" s="151"/>
      <c r="B6" s="134" t="s">
        <v>80</v>
      </c>
      <c r="C6" s="134">
        <v>1854430</v>
      </c>
      <c r="D6" s="134">
        <v>1293662</v>
      </c>
      <c r="E6" s="134">
        <v>767388</v>
      </c>
      <c r="F6" s="134">
        <v>462851</v>
      </c>
      <c r="G6" s="134">
        <v>394732</v>
      </c>
      <c r="H6" s="134">
        <v>4773063</v>
      </c>
      <c r="I6" s="289"/>
      <c r="J6" s="151"/>
      <c r="N6" s="166"/>
      <c r="O6" s="132"/>
      <c r="P6" s="132"/>
      <c r="Q6" s="132"/>
      <c r="R6" s="132"/>
      <c r="S6" s="132"/>
      <c r="T6" s="132"/>
      <c r="U6" s="166"/>
    </row>
    <row r="7" spans="1:37" s="163" customFormat="1" ht="40.25" customHeight="1" x14ac:dyDescent="0.3">
      <c r="A7" s="151"/>
      <c r="B7" s="134" t="s">
        <v>81</v>
      </c>
      <c r="C7" s="134">
        <v>1842174</v>
      </c>
      <c r="D7" s="134">
        <v>1212130</v>
      </c>
      <c r="E7" s="134">
        <v>1114204</v>
      </c>
      <c r="F7" s="134">
        <v>628724</v>
      </c>
      <c r="G7" s="134">
        <v>825408</v>
      </c>
      <c r="H7" s="134">
        <v>5622640</v>
      </c>
      <c r="I7" s="289"/>
      <c r="J7" s="151"/>
      <c r="N7" s="166"/>
      <c r="O7" s="132"/>
      <c r="P7" s="132"/>
      <c r="Q7" s="132"/>
      <c r="R7" s="132"/>
      <c r="S7" s="132"/>
      <c r="T7" s="132"/>
      <c r="U7" s="166"/>
    </row>
    <row r="8" spans="1:37" s="163" customFormat="1" ht="40.25" customHeight="1" x14ac:dyDescent="0.3">
      <c r="A8" s="151"/>
      <c r="B8" s="134" t="s">
        <v>82</v>
      </c>
      <c r="C8" s="134">
        <v>2243761</v>
      </c>
      <c r="D8" s="134">
        <v>1779637</v>
      </c>
      <c r="E8" s="134">
        <v>1590795</v>
      </c>
      <c r="F8" s="134">
        <v>910246</v>
      </c>
      <c r="G8" s="134">
        <v>1234573</v>
      </c>
      <c r="H8" s="134">
        <v>7759012</v>
      </c>
      <c r="I8" s="289"/>
      <c r="J8" s="151"/>
      <c r="N8" s="166"/>
      <c r="O8" s="132"/>
      <c r="P8" s="132"/>
      <c r="Q8" s="132"/>
      <c r="R8" s="132"/>
      <c r="S8" s="132"/>
      <c r="T8" s="132"/>
      <c r="U8" s="166"/>
    </row>
    <row r="9" spans="1:37" s="163" customFormat="1" ht="40.25" customHeight="1" x14ac:dyDescent="0.3">
      <c r="A9" s="151"/>
      <c r="B9" s="134" t="s">
        <v>83</v>
      </c>
      <c r="C9" s="134">
        <v>999804</v>
      </c>
      <c r="D9" s="134">
        <v>816225</v>
      </c>
      <c r="E9" s="134">
        <v>618644</v>
      </c>
      <c r="F9" s="134">
        <v>374523</v>
      </c>
      <c r="G9" s="134">
        <v>505774</v>
      </c>
      <c r="H9" s="134">
        <v>3314970</v>
      </c>
      <c r="I9" s="289"/>
      <c r="J9" s="151"/>
      <c r="N9" s="166"/>
      <c r="O9" s="132"/>
      <c r="P9" s="132"/>
      <c r="Q9" s="132"/>
      <c r="R9" s="132"/>
      <c r="S9" s="132"/>
      <c r="T9" s="132"/>
      <c r="U9" s="166"/>
    </row>
    <row r="10" spans="1:37" s="163" customFormat="1" ht="40.25" customHeight="1" x14ac:dyDescent="0.3">
      <c r="A10" s="151"/>
      <c r="B10" s="134" t="s">
        <v>84</v>
      </c>
      <c r="C10" s="134">
        <v>451811</v>
      </c>
      <c r="D10" s="134">
        <v>235347</v>
      </c>
      <c r="E10" s="134">
        <v>201869</v>
      </c>
      <c r="F10" s="134">
        <v>132451</v>
      </c>
      <c r="G10" s="134">
        <v>131491</v>
      </c>
      <c r="H10" s="134">
        <v>1152969</v>
      </c>
      <c r="I10" s="289"/>
      <c r="J10" s="151"/>
      <c r="N10" s="166"/>
      <c r="O10" s="132"/>
      <c r="P10" s="132"/>
      <c r="Q10" s="132"/>
      <c r="R10" s="132"/>
      <c r="S10" s="132"/>
      <c r="T10" s="132"/>
      <c r="U10" s="166"/>
    </row>
    <row r="11" spans="1:37" s="163" customFormat="1" ht="40.25" customHeight="1" x14ac:dyDescent="0.3">
      <c r="A11" s="151"/>
      <c r="B11" s="134" t="s">
        <v>85</v>
      </c>
      <c r="C11" s="134">
        <v>283910</v>
      </c>
      <c r="D11" s="134">
        <v>184494</v>
      </c>
      <c r="E11" s="134">
        <v>114442</v>
      </c>
      <c r="F11" s="134">
        <v>46226</v>
      </c>
      <c r="G11" s="134">
        <v>85392</v>
      </c>
      <c r="H11" s="134">
        <v>714464</v>
      </c>
      <c r="I11" s="289"/>
      <c r="J11" s="151"/>
      <c r="N11" s="166"/>
      <c r="O11" s="132"/>
      <c r="P11" s="132"/>
      <c r="Q11" s="132"/>
      <c r="R11" s="132"/>
      <c r="S11" s="132"/>
      <c r="T11" s="132"/>
      <c r="U11" s="166"/>
    </row>
    <row r="12" spans="1:37" s="163" customFormat="1" ht="40.25" customHeight="1" x14ac:dyDescent="0.35">
      <c r="A12" s="151"/>
      <c r="B12" s="134" t="s">
        <v>729</v>
      </c>
      <c r="C12" s="134">
        <v>8808513</v>
      </c>
      <c r="D12" s="134">
        <v>6409917</v>
      </c>
      <c r="E12" s="134">
        <v>4827383</v>
      </c>
      <c r="F12" s="134">
        <v>2768431</v>
      </c>
      <c r="G12" s="134">
        <v>3383483</v>
      </c>
      <c r="H12" s="134">
        <v>26197727</v>
      </c>
      <c r="I12" s="289"/>
      <c r="J12" s="151"/>
      <c r="N12" s="166"/>
      <c r="O12" s="132"/>
      <c r="P12" s="132"/>
      <c r="Q12" s="132"/>
      <c r="R12" s="132"/>
      <c r="S12" s="132"/>
      <c r="T12" s="132"/>
      <c r="U12" s="166"/>
    </row>
    <row r="13" spans="1:37" s="163" customFormat="1" ht="40.25" customHeight="1" x14ac:dyDescent="0.3">
      <c r="A13" s="151"/>
      <c r="B13" s="151"/>
      <c r="C13" s="151"/>
      <c r="D13" s="151"/>
      <c r="E13" s="151"/>
      <c r="F13" s="151"/>
      <c r="G13" s="151"/>
      <c r="H13" s="151"/>
      <c r="I13" s="289"/>
      <c r="J13" s="151"/>
      <c r="N13" s="166"/>
      <c r="O13" s="132"/>
      <c r="P13" s="132"/>
      <c r="Q13" s="132"/>
      <c r="R13" s="132"/>
      <c r="S13" s="132"/>
      <c r="T13" s="132"/>
      <c r="U13" s="166"/>
    </row>
    <row r="14" spans="1:37" s="163" customFormat="1" ht="40.25" customHeight="1" x14ac:dyDescent="0.35">
      <c r="A14" s="151" t="s">
        <v>730</v>
      </c>
      <c r="C14" s="134">
        <v>1</v>
      </c>
      <c r="D14" s="134">
        <v>2</v>
      </c>
      <c r="E14" s="134">
        <v>3</v>
      </c>
      <c r="F14" s="134">
        <v>4</v>
      </c>
      <c r="G14" s="134">
        <v>5</v>
      </c>
      <c r="H14" s="134" t="s">
        <v>729</v>
      </c>
      <c r="I14" s="289"/>
      <c r="J14" s="151"/>
      <c r="N14" s="166"/>
      <c r="O14" s="132"/>
      <c r="P14" s="132"/>
      <c r="Q14" s="132"/>
      <c r="R14" s="132"/>
      <c r="S14" s="132"/>
      <c r="T14" s="132"/>
      <c r="U14" s="166"/>
    </row>
    <row r="15" spans="1:37" s="163" customFormat="1" ht="40.25" customHeight="1" x14ac:dyDescent="0.3">
      <c r="A15" s="151"/>
      <c r="B15" s="134" t="s">
        <v>79</v>
      </c>
      <c r="C15" s="134">
        <v>76316513</v>
      </c>
      <c r="D15" s="134">
        <v>64538894</v>
      </c>
      <c r="E15" s="134">
        <v>32332843</v>
      </c>
      <c r="F15" s="134">
        <v>17349784</v>
      </c>
      <c r="G15" s="134">
        <v>20202415</v>
      </c>
      <c r="H15" s="134">
        <v>210740449</v>
      </c>
      <c r="I15" s="289"/>
      <c r="J15" s="151"/>
      <c r="N15" s="166"/>
      <c r="O15" s="132"/>
      <c r="P15" s="132"/>
      <c r="Q15" s="132"/>
      <c r="R15" s="132"/>
      <c r="S15" s="132"/>
      <c r="T15" s="132"/>
      <c r="U15" s="166"/>
    </row>
    <row r="16" spans="1:37" s="163" customFormat="1" ht="40.25" customHeight="1" x14ac:dyDescent="0.3">
      <c r="A16" s="151"/>
      <c r="B16" s="134" t="s">
        <v>80</v>
      </c>
      <c r="C16" s="134">
        <v>129202777</v>
      </c>
      <c r="D16" s="134">
        <v>102141891</v>
      </c>
      <c r="E16" s="134">
        <v>72519511</v>
      </c>
      <c r="F16" s="134">
        <v>46502536</v>
      </c>
      <c r="G16" s="134">
        <v>50861320</v>
      </c>
      <c r="H16" s="134">
        <v>401228035</v>
      </c>
      <c r="I16" s="289"/>
      <c r="J16" s="151"/>
      <c r="N16" s="166"/>
      <c r="O16" s="132"/>
      <c r="P16" s="132"/>
      <c r="Q16" s="132"/>
      <c r="R16" s="132"/>
      <c r="S16" s="132"/>
      <c r="T16" s="132"/>
      <c r="U16" s="166"/>
    </row>
    <row r="17" spans="1:21" s="163" customFormat="1" ht="40.25" customHeight="1" x14ac:dyDescent="0.3">
      <c r="A17" s="151"/>
      <c r="B17" s="134" t="s">
        <v>81</v>
      </c>
      <c r="C17" s="134">
        <v>138005529</v>
      </c>
      <c r="D17" s="134">
        <v>104607925</v>
      </c>
      <c r="E17" s="134">
        <v>112837714</v>
      </c>
      <c r="F17" s="134">
        <v>73856136</v>
      </c>
      <c r="G17" s="134">
        <v>108875275</v>
      </c>
      <c r="H17" s="134">
        <v>538182579</v>
      </c>
      <c r="I17" s="289"/>
      <c r="J17" s="151"/>
      <c r="N17" s="166"/>
      <c r="O17" s="132"/>
      <c r="P17" s="132"/>
      <c r="Q17" s="132"/>
      <c r="R17" s="132"/>
      <c r="S17" s="132"/>
      <c r="T17" s="132"/>
      <c r="U17" s="166"/>
    </row>
    <row r="18" spans="1:21" s="163" customFormat="1" ht="40.25" customHeight="1" x14ac:dyDescent="0.3">
      <c r="A18" s="151"/>
      <c r="B18" s="134" t="s">
        <v>82</v>
      </c>
      <c r="C18" s="134">
        <v>177859477</v>
      </c>
      <c r="D18" s="134">
        <v>167060489</v>
      </c>
      <c r="E18" s="134">
        <v>166509696</v>
      </c>
      <c r="F18" s="134">
        <v>102234926</v>
      </c>
      <c r="G18" s="134">
        <v>162418329</v>
      </c>
      <c r="H18" s="134">
        <v>776082917</v>
      </c>
      <c r="I18" s="289"/>
      <c r="J18" s="151"/>
      <c r="N18" s="166"/>
      <c r="O18" s="132"/>
      <c r="P18" s="132"/>
      <c r="Q18" s="132"/>
      <c r="R18" s="132"/>
      <c r="S18" s="132"/>
      <c r="T18" s="132"/>
      <c r="U18" s="166"/>
    </row>
    <row r="19" spans="1:21" s="163" customFormat="1" ht="40.25" customHeight="1" x14ac:dyDescent="0.3">
      <c r="A19" s="151"/>
      <c r="B19" s="134" t="s">
        <v>83</v>
      </c>
      <c r="C19" s="134">
        <v>78584737</v>
      </c>
      <c r="D19" s="134">
        <v>74415389</v>
      </c>
      <c r="E19" s="134">
        <v>62718925</v>
      </c>
      <c r="F19" s="134">
        <v>38745940</v>
      </c>
      <c r="G19" s="134">
        <v>58321680</v>
      </c>
      <c r="H19" s="134">
        <v>312786671</v>
      </c>
      <c r="I19" s="289"/>
      <c r="J19" s="151"/>
      <c r="N19" s="166"/>
      <c r="O19" s="132"/>
      <c r="P19" s="132"/>
      <c r="Q19" s="132"/>
      <c r="R19" s="132"/>
      <c r="S19" s="132"/>
      <c r="T19" s="132"/>
      <c r="U19" s="166"/>
    </row>
    <row r="20" spans="1:21" s="163" customFormat="1" ht="40.25" customHeight="1" x14ac:dyDescent="0.3">
      <c r="A20" s="151"/>
      <c r="B20" s="134" t="s">
        <v>84</v>
      </c>
      <c r="C20" s="134">
        <v>32186619</v>
      </c>
      <c r="D20" s="134">
        <v>20428227</v>
      </c>
      <c r="E20" s="134">
        <v>18730310</v>
      </c>
      <c r="F20" s="134">
        <v>13213201</v>
      </c>
      <c r="G20" s="134">
        <v>14456108</v>
      </c>
      <c r="H20" s="134">
        <v>99014465</v>
      </c>
      <c r="I20" s="289"/>
      <c r="J20" s="151"/>
      <c r="N20" s="166"/>
      <c r="O20" s="132"/>
      <c r="P20" s="132"/>
      <c r="Q20" s="132"/>
      <c r="R20" s="132"/>
      <c r="S20" s="132"/>
      <c r="T20" s="132"/>
      <c r="U20" s="166"/>
    </row>
    <row r="21" spans="1:21" s="163" customFormat="1" ht="40.25" customHeight="1" x14ac:dyDescent="0.3">
      <c r="A21" s="151"/>
      <c r="B21" s="134" t="s">
        <v>85</v>
      </c>
      <c r="C21" s="134">
        <v>19447976</v>
      </c>
      <c r="D21" s="134">
        <v>15007510</v>
      </c>
      <c r="E21" s="134">
        <v>9416658</v>
      </c>
      <c r="F21" s="134">
        <v>3992256</v>
      </c>
      <c r="G21" s="134">
        <v>7283765</v>
      </c>
      <c r="H21" s="134">
        <v>55148165</v>
      </c>
      <c r="I21" s="289"/>
      <c r="J21" s="151"/>
      <c r="N21" s="166"/>
      <c r="O21" s="132"/>
      <c r="P21" s="132"/>
      <c r="Q21" s="132"/>
      <c r="R21" s="132"/>
      <c r="S21" s="132"/>
      <c r="T21" s="132"/>
      <c r="U21" s="166"/>
    </row>
    <row r="22" spans="1:21" s="163" customFormat="1" ht="40.25" customHeight="1" x14ac:dyDescent="0.35">
      <c r="A22" s="151"/>
      <c r="B22" s="134" t="s">
        <v>729</v>
      </c>
      <c r="C22" s="134">
        <v>651603628</v>
      </c>
      <c r="D22" s="134">
        <v>548200325</v>
      </c>
      <c r="E22" s="134">
        <v>475065657</v>
      </c>
      <c r="F22" s="134">
        <v>295894779</v>
      </c>
      <c r="G22" s="134">
        <v>422418892</v>
      </c>
      <c r="H22" s="134">
        <v>2393183281</v>
      </c>
      <c r="I22" s="289"/>
      <c r="J22" s="151"/>
      <c r="N22" s="166"/>
      <c r="O22" s="132"/>
      <c r="P22" s="132"/>
      <c r="Q22" s="132"/>
      <c r="R22" s="132"/>
      <c r="S22" s="132"/>
      <c r="T22" s="132"/>
      <c r="U22" s="166"/>
    </row>
    <row r="23" spans="1:21" s="163" customFormat="1" ht="40.25" customHeight="1" x14ac:dyDescent="0.3">
      <c r="A23" s="151"/>
      <c r="B23" s="151"/>
      <c r="C23" s="151"/>
      <c r="D23" s="151"/>
      <c r="E23" s="151"/>
      <c r="F23" s="151"/>
      <c r="G23" s="151"/>
      <c r="H23" s="151"/>
      <c r="I23" s="289"/>
      <c r="J23" s="151"/>
      <c r="N23" s="166"/>
      <c r="O23" s="132"/>
      <c r="P23" s="132"/>
      <c r="Q23" s="132"/>
      <c r="R23" s="132"/>
      <c r="S23" s="132"/>
      <c r="T23" s="132"/>
      <c r="U23" s="166"/>
    </row>
    <row r="24" spans="1:21" s="163" customFormat="1" ht="40.25" customHeight="1" x14ac:dyDescent="0.3">
      <c r="A24" s="133"/>
      <c r="B24" s="166"/>
      <c r="H24" s="174"/>
      <c r="I24" s="289"/>
    </row>
    <row r="25" spans="1:21" s="163" customFormat="1" ht="40.25" customHeight="1" x14ac:dyDescent="0.35">
      <c r="A25" s="172" t="s">
        <v>673</v>
      </c>
      <c r="C25" s="171">
        <f>'depense EBF 2006'!O88</f>
        <v>2268.8199999999997</v>
      </c>
      <c r="D25" s="171">
        <f>'depense EBF 2006'!P88</f>
        <v>2665.54</v>
      </c>
      <c r="E25" s="171">
        <f>'depense EBF 2006'!Q88</f>
        <v>2764.9099999999994</v>
      </c>
      <c r="F25" s="171">
        <f>'depense EBF 2006'!R88</f>
        <v>3082.9500000000003</v>
      </c>
      <c r="G25" s="171">
        <f>'depense EBF 2006'!S88</f>
        <v>3407.15</v>
      </c>
      <c r="H25" s="171">
        <f>'depense EBF 2006'!T88</f>
        <v>2837.8739999999998</v>
      </c>
      <c r="I25" s="289">
        <f t="shared" ref="I25:I68" si="0">J25-H25</f>
        <v>-2837.8739999999998</v>
      </c>
    </row>
    <row r="26" spans="1:21" s="163" customFormat="1" ht="40.25" customHeight="1" x14ac:dyDescent="0.3">
      <c r="A26" s="172" t="s">
        <v>662</v>
      </c>
      <c r="C26" s="281">
        <f>$J$26*$AR89</f>
        <v>91.827816131226001</v>
      </c>
      <c r="D26" s="281">
        <f>$J$26*$AR90</f>
        <v>152.03979150174126</v>
      </c>
      <c r="E26" s="281">
        <f>$J$26*$AR91</f>
        <v>197.45229183777207</v>
      </c>
      <c r="F26" s="281">
        <f>$J$26*$AR92</f>
        <v>254.38540313946555</v>
      </c>
      <c r="G26" s="281">
        <f>$J$26*$AR93</f>
        <v>463.67687738979498</v>
      </c>
      <c r="H26" s="168">
        <f t="shared" ref="H26:H68" si="1">SUM(C26:G26)</f>
        <v>1159.3821799999998</v>
      </c>
      <c r="I26" s="289">
        <f t="shared" si="0"/>
        <v>0</v>
      </c>
      <c r="J26" s="163">
        <f>[1]TEE_2006_COMPLET!$AM$2</f>
        <v>1159.3821799999998</v>
      </c>
    </row>
    <row r="27" spans="1:21" s="163" customFormat="1" ht="40.25" customHeight="1" x14ac:dyDescent="0.35">
      <c r="A27" s="172" t="s">
        <v>693</v>
      </c>
      <c r="C27" s="281">
        <f>C26*$AV89/100</f>
        <v>69.210792465476132</v>
      </c>
      <c r="D27" s="281">
        <f>D26*$AV90/100</f>
        <v>161.55044440105343</v>
      </c>
      <c r="E27" s="281">
        <f>E26*$AV91/100</f>
        <v>217.57048553930264</v>
      </c>
      <c r="F27" s="281">
        <f>F26*$AV92/100</f>
        <v>278.25599510878112</v>
      </c>
      <c r="G27" s="281">
        <f>G26*$AV93/100</f>
        <v>482.22395248538675</v>
      </c>
      <c r="H27" s="168">
        <f t="shared" si="1"/>
        <v>1208.81167</v>
      </c>
      <c r="I27" s="289">
        <f t="shared" si="0"/>
        <v>0</v>
      </c>
      <c r="J27" s="163">
        <f>[2]TEE_2006_COMPLET!$AM$3+[2]TEE_2006_COMPLET!$AM$10</f>
        <v>1208.81167</v>
      </c>
      <c r="L27" s="315"/>
      <c r="M27" s="310"/>
      <c r="N27" s="310"/>
    </row>
    <row r="28" spans="1:21" s="163" customFormat="1" ht="40.25" customHeight="1" x14ac:dyDescent="0.35">
      <c r="A28" s="321" t="s">
        <v>694</v>
      </c>
      <c r="C28" s="281">
        <f>C26*$BA89/100</f>
        <v>58.255276092101276</v>
      </c>
      <c r="D28" s="281">
        <f>D26*$BA90/100</f>
        <v>133.95491021942811</v>
      </c>
      <c r="E28" s="281">
        <f>E26*$BA91/100</f>
        <v>186.28527516903199</v>
      </c>
      <c r="F28" s="281">
        <f>F26*$BA92/100</f>
        <v>239.47093329514431</v>
      </c>
      <c r="G28" s="281">
        <f>G26*$BA93/100</f>
        <v>329.31482522417849</v>
      </c>
      <c r="H28" s="168">
        <f t="shared" si="1"/>
        <v>947.28121999988412</v>
      </c>
      <c r="I28" s="289">
        <f t="shared" si="0"/>
        <v>1.1584688763832673E-10</v>
      </c>
      <c r="J28" s="163">
        <f>[2]TEE_2006_COMPLET!$AM$3</f>
        <v>947.28121999999996</v>
      </c>
      <c r="L28" s="315"/>
      <c r="M28" s="310"/>
      <c r="N28" s="310"/>
    </row>
    <row r="29" spans="1:21" s="163" customFormat="1" ht="40.25" customHeight="1" x14ac:dyDescent="0.3">
      <c r="A29" s="321" t="s">
        <v>705</v>
      </c>
      <c r="C29" s="281">
        <f>C28+C31</f>
        <v>45.677580326938212</v>
      </c>
      <c r="D29" s="281">
        <f>D28+D31</f>
        <v>100.29351039256061</v>
      </c>
      <c r="E29" s="281">
        <f>E28+E31</f>
        <v>136.92898151071009</v>
      </c>
      <c r="F29" s="281">
        <f>F28+F31</f>
        <v>174.03110944866197</v>
      </c>
      <c r="G29" s="281">
        <f>G28+G31</f>
        <v>241.27703832101366</v>
      </c>
      <c r="H29" s="168">
        <f t="shared" si="1"/>
        <v>698.20821999988448</v>
      </c>
      <c r="I29" s="289">
        <f t="shared" si="0"/>
        <v>1.1550582712516189E-10</v>
      </c>
      <c r="J29" s="121">
        <f>J28+J31</f>
        <v>698.20821999999998</v>
      </c>
      <c r="L29" s="315"/>
      <c r="M29" s="310"/>
      <c r="N29" s="310"/>
    </row>
    <row r="30" spans="1:21" s="163" customFormat="1" ht="40.25" customHeight="1" x14ac:dyDescent="0.3">
      <c r="A30" s="321" t="s">
        <v>704</v>
      </c>
      <c r="C30" s="281">
        <f>C26*$BB89/100</f>
        <v>10.955516373374854</v>
      </c>
      <c r="D30" s="281">
        <f>D26*$BB90/100</f>
        <v>27.595534181625304</v>
      </c>
      <c r="E30" s="281">
        <f>E26*$BB91/100</f>
        <v>31.285210370270637</v>
      </c>
      <c r="F30" s="281">
        <f>F26*$BB92/100</f>
        <v>38.785061813636823</v>
      </c>
      <c r="G30" s="281">
        <f>G26*$BB93/100</f>
        <v>152.90912726120831</v>
      </c>
      <c r="H30" s="168">
        <f t="shared" si="1"/>
        <v>261.53045000011593</v>
      </c>
      <c r="I30" s="289">
        <f t="shared" si="0"/>
        <v>-1.1596057447604835E-10</v>
      </c>
      <c r="J30" s="163">
        <f>[2]TEE_2006_COMPLET!$AM$10</f>
        <v>261.53044999999997</v>
      </c>
      <c r="L30" s="315"/>
      <c r="M30" s="310"/>
      <c r="N30" s="310"/>
    </row>
    <row r="31" spans="1:21" s="163" customFormat="1" ht="40.25" customHeight="1" x14ac:dyDescent="0.3">
      <c r="A31" s="133" t="s">
        <v>526</v>
      </c>
      <c r="C31" s="163">
        <f>C26*$AW89/100</f>
        <v>-12.577695765163066</v>
      </c>
      <c r="D31" s="163">
        <f>D26*$AW90/100</f>
        <v>-33.661399826867509</v>
      </c>
      <c r="E31" s="163">
        <f>E26*$AW91/100</f>
        <v>-49.356293658321903</v>
      </c>
      <c r="F31" s="163">
        <f>F26*$AW92/100</f>
        <v>-65.439823846482341</v>
      </c>
      <c r="G31" s="163">
        <f>G26*$AW93/100</f>
        <v>-88.037786903164815</v>
      </c>
      <c r="H31" s="163">
        <f t="shared" si="1"/>
        <v>-249.07299999999964</v>
      </c>
      <c r="I31" s="289">
        <f t="shared" si="0"/>
        <v>-3.694822225952521E-13</v>
      </c>
      <c r="J31" s="121">
        <f>[2]TEE_2006_COMPLET!$AN$7</f>
        <v>-249.07300000000001</v>
      </c>
      <c r="L31" s="314"/>
    </row>
    <row r="32" spans="1:21" s="163" customFormat="1" ht="40.25" customHeight="1" x14ac:dyDescent="0.35">
      <c r="A32" s="172" t="s">
        <v>527</v>
      </c>
      <c r="C32" s="163">
        <f>C26*$AX89/100</f>
        <v>-7.3446771602950083</v>
      </c>
      <c r="D32" s="163">
        <f>D26*$AX90/100</f>
        <v>-16.105239348603082</v>
      </c>
      <c r="E32" s="163">
        <f>E26*$AX91/100</f>
        <v>-21.406591533956735</v>
      </c>
      <c r="F32" s="163">
        <f>F26*$AX92/100</f>
        <v>-28.751538694044708</v>
      </c>
      <c r="G32" s="163">
        <f>G26*$AX93/100</f>
        <v>-47.463953263216261</v>
      </c>
      <c r="H32" s="163">
        <f t="shared" si="1"/>
        <v>-121.07200000011579</v>
      </c>
      <c r="I32" s="289">
        <f t="shared" si="0"/>
        <v>1.1579004421946593E-10</v>
      </c>
      <c r="J32" s="163">
        <f>([1]TEE_2006_COMPLET!$AN$8+[1]TEE_2006_COMPLET!$AN$9)</f>
        <v>-121.072</v>
      </c>
    </row>
    <row r="33" spans="1:13" s="163" customFormat="1" ht="40.25" customHeight="1" x14ac:dyDescent="0.35">
      <c r="A33" s="321" t="s">
        <v>699</v>
      </c>
      <c r="C33" s="163">
        <f>C26*$AY89/100</f>
        <v>-5.9163500182708733</v>
      </c>
      <c r="D33" s="163">
        <f>D26*$AY90/100</f>
        <v>-12.973236404380966</v>
      </c>
      <c r="E33" s="163">
        <f>E26*$AY91/100</f>
        <v>-17.243629018536062</v>
      </c>
      <c r="F33" s="163">
        <f>F26*$AY92/100</f>
        <v>-23.160196529454353</v>
      </c>
      <c r="G33" s="163">
        <f>G26*$AY93/100</f>
        <v>-38.233588029450999</v>
      </c>
      <c r="H33" s="163">
        <f t="shared" si="1"/>
        <v>-97.527000000093253</v>
      </c>
      <c r="I33" s="289">
        <f t="shared" si="0"/>
        <v>9.3251628641155548E-11</v>
      </c>
      <c r="J33" s="163">
        <f>[2]TEE_2006_COMPLET!$AN$8</f>
        <v>-97.527000000000001</v>
      </c>
      <c r="M33" s="163">
        <v>65</v>
      </c>
    </row>
    <row r="34" spans="1:13" s="163" customFormat="1" ht="40.25" customHeight="1" x14ac:dyDescent="0.35">
      <c r="A34" s="321" t="s">
        <v>700</v>
      </c>
      <c r="C34" s="163">
        <f>C28*$AZ89/100</f>
        <v>-0.90612622094323403</v>
      </c>
      <c r="D34" s="163">
        <f>D28*$AZ90/100</f>
        <v>-2.7594563834655941</v>
      </c>
      <c r="E34" s="163">
        <f>E28*$AZ91/100</f>
        <v>-3.9275240134495868</v>
      </c>
      <c r="F34" s="163">
        <f>F28*$AZ92/100</f>
        <v>-5.263524990043801</v>
      </c>
      <c r="G34" s="163">
        <f>G28*$AZ93/100</f>
        <v>-6.5556344556672537</v>
      </c>
      <c r="H34" s="163">
        <f t="shared" si="1"/>
        <v>-19.412266063569469</v>
      </c>
      <c r="I34" s="289">
        <f t="shared" si="0"/>
        <v>-4.1327339364305331</v>
      </c>
      <c r="J34" s="163">
        <f>[2]TEE_2006_COMPLET!$AN$9</f>
        <v>-23.545000000000002</v>
      </c>
      <c r="M34" s="163">
        <v>43742</v>
      </c>
    </row>
    <row r="35" spans="1:13" s="163" customFormat="1" ht="40.25" customHeight="1" x14ac:dyDescent="0.3">
      <c r="A35" s="133" t="s">
        <v>528</v>
      </c>
      <c r="C35" s="163">
        <f>C26*$BC89/100</f>
        <v>3.6434037777729418</v>
      </c>
      <c r="D35" s="163">
        <f>D26*$BC90/100</f>
        <v>7.5205468823185209</v>
      </c>
      <c r="E35" s="163">
        <f>E26*$BC91/100</f>
        <v>13.684299905663782</v>
      </c>
      <c r="F35" s="163">
        <f>F26*$BC92/100</f>
        <v>22.666693056333916</v>
      </c>
      <c r="G35" s="163">
        <f>G26*$BC93/100</f>
        <v>68.794056377794931</v>
      </c>
      <c r="H35" s="163">
        <f t="shared" si="1"/>
        <v>116.30899999988409</v>
      </c>
      <c r="I35" s="289">
        <f t="shared" si="0"/>
        <v>1.1591794191190274E-10</v>
      </c>
      <c r="J35" s="163">
        <f>[1]TEE_2006_COMPLET!$AM$12</f>
        <v>116.30900000000001</v>
      </c>
      <c r="M35" s="163">
        <v>17844</v>
      </c>
    </row>
    <row r="36" spans="1:13" s="163" customFormat="1" ht="40.25" customHeight="1" x14ac:dyDescent="0.3">
      <c r="A36" s="322" t="s">
        <v>530</v>
      </c>
      <c r="C36" s="163">
        <f>C26*$BD89/100</f>
        <v>1.2029443913190605</v>
      </c>
      <c r="D36" s="163">
        <f>D26*$BD90/100</f>
        <v>3.1168157257856954</v>
      </c>
      <c r="E36" s="163">
        <f>E26*$BD91/100</f>
        <v>4.5808931706363119</v>
      </c>
      <c r="F36" s="163">
        <f>F26*$BD92/100</f>
        <v>9.6666453192996897</v>
      </c>
      <c r="G36" s="163">
        <f>G26*$BD93/100</f>
        <v>80.633408978085356</v>
      </c>
      <c r="H36" s="163">
        <f t="shared" si="1"/>
        <v>99.200707585126111</v>
      </c>
      <c r="I36" s="289">
        <f t="shared" si="0"/>
        <v>-99.200707585126111</v>
      </c>
      <c r="M36" s="163">
        <v>10467</v>
      </c>
    </row>
    <row r="37" spans="1:13" s="163" customFormat="1" ht="40.25" customHeight="1" x14ac:dyDescent="0.35">
      <c r="A37" s="133" t="s">
        <v>532</v>
      </c>
      <c r="C37" s="163">
        <f>C26*$BE89/100</f>
        <v>-4.8553153239131115</v>
      </c>
      <c r="D37" s="163">
        <f>D26*$BE90/100</f>
        <v>-10.541312917421886</v>
      </c>
      <c r="E37" s="163">
        <f>E26*$BE91/100</f>
        <v>-19.414331541268584</v>
      </c>
      <c r="F37" s="163">
        <f>F26*$BE92/100</f>
        <v>-32.666169458881242</v>
      </c>
      <c r="G37" s="163">
        <f>G26*$BE93/100</f>
        <v>-90.059870758399228</v>
      </c>
      <c r="H37" s="163">
        <f t="shared" si="1"/>
        <v>-157.53699999988405</v>
      </c>
      <c r="I37" s="289">
        <f t="shared" si="0"/>
        <v>-1.1596057447604835E-10</v>
      </c>
      <c r="J37" s="163">
        <f>[1]TEE_2006_COMPLET!$AM$19</f>
        <v>-157.53700000000001</v>
      </c>
      <c r="M37" s="163">
        <f>SUM(M33:M36)</f>
        <v>72118</v>
      </c>
    </row>
    <row r="38" spans="1:13" s="163" customFormat="1" ht="40.25" customHeight="1" x14ac:dyDescent="0.3">
      <c r="A38" s="133" t="s">
        <v>23</v>
      </c>
      <c r="C38" s="163">
        <f>C26*$BG89/100</f>
        <v>48.278295179839752</v>
      </c>
      <c r="D38" s="163">
        <f>D26*$BG90/100</f>
        <v>54.062976311069079</v>
      </c>
      <c r="E38" s="163">
        <f>E26*$BG91/100</f>
        <v>60.833857287009302</v>
      </c>
      <c r="F38" s="163">
        <f>F26*$BG92/100</f>
        <v>71.109811962054849</v>
      </c>
      <c r="G38" s="163">
        <f>G26*$BG93/100</f>
        <v>120.72805926014291</v>
      </c>
      <c r="H38" s="163">
        <f t="shared" si="1"/>
        <v>355.01300000011588</v>
      </c>
      <c r="I38" s="289">
        <f t="shared" si="0"/>
        <v>-1.1590373105718754E-10</v>
      </c>
      <c r="J38" s="163">
        <f>[1]TEE_2006_COMPLET!$AM$18</f>
        <v>355.01299999999998</v>
      </c>
    </row>
    <row r="39" spans="1:13" s="163" customFormat="1" ht="40.25" customHeight="1" x14ac:dyDescent="0.35">
      <c r="A39" s="133" t="s">
        <v>731</v>
      </c>
      <c r="I39" s="289"/>
    </row>
    <row r="40" spans="1:13" s="163" customFormat="1" ht="40.25" customHeight="1" x14ac:dyDescent="0.3">
      <c r="A40" s="133"/>
      <c r="I40" s="289"/>
    </row>
    <row r="41" spans="1:13" s="163" customFormat="1" ht="40.25" customHeight="1" x14ac:dyDescent="0.3">
      <c r="A41" s="133"/>
      <c r="I41" s="289"/>
    </row>
    <row r="42" spans="1:13" s="163" customFormat="1" ht="40.25" customHeight="1" x14ac:dyDescent="0.3">
      <c r="A42" s="133"/>
      <c r="I42" s="289"/>
    </row>
    <row r="43" spans="1:13" s="163" customFormat="1" ht="40.25" customHeight="1" x14ac:dyDescent="0.3">
      <c r="A43" s="133"/>
      <c r="I43" s="289"/>
    </row>
    <row r="44" spans="1:13" s="163" customFormat="1" ht="40.25" customHeight="1" x14ac:dyDescent="0.3">
      <c r="A44" s="133"/>
      <c r="H44" s="163">
        <f t="shared" si="1"/>
        <v>0</v>
      </c>
      <c r="I44" s="289">
        <f t="shared" si="0"/>
        <v>0</v>
      </c>
    </row>
    <row r="45" spans="1:13" s="163" customFormat="1" ht="40.25" customHeight="1" x14ac:dyDescent="0.3">
      <c r="A45" s="133" t="s">
        <v>706</v>
      </c>
      <c r="B45" s="323">
        <f t="shared" ref="B45:B68" si="2">1+B44</f>
        <v>1</v>
      </c>
      <c r="C45" s="163">
        <f t="shared" ref="C45:C68" si="3">$J45*$AR$89</f>
        <v>2410.4974221164348</v>
      </c>
      <c r="D45" s="163">
        <f t="shared" ref="D45:D68" si="4">$J45*$AR$90</f>
        <v>3991.0730856360015</v>
      </c>
      <c r="E45" s="163">
        <f t="shared" ref="E45:E68" si="5">$J45*$AR$91</f>
        <v>5183.1597496097074</v>
      </c>
      <c r="F45" s="163">
        <f t="shared" ref="F45:F68" si="6">$J45*$AR$92</f>
        <v>6677.6646154303453</v>
      </c>
      <c r="G45" s="163">
        <f t="shared" ref="G45:G68" si="7">$J45*$AR$93</f>
        <v>12171.605127207511</v>
      </c>
      <c r="H45" s="163">
        <f t="shared" si="1"/>
        <v>30434</v>
      </c>
      <c r="I45" s="289">
        <f t="shared" si="0"/>
        <v>0</v>
      </c>
      <c r="J45" s="163">
        <v>30434</v>
      </c>
    </row>
    <row r="46" spans="1:13" s="163" customFormat="1" ht="40.25" customHeight="1" x14ac:dyDescent="0.3">
      <c r="A46" s="133" t="s">
        <v>706</v>
      </c>
      <c r="B46" s="323">
        <f t="shared" si="2"/>
        <v>2</v>
      </c>
      <c r="C46" s="163">
        <f t="shared" si="3"/>
        <v>11512.077571543585</v>
      </c>
      <c r="D46" s="163">
        <f t="shared" si="4"/>
        <v>19060.60655115778</v>
      </c>
      <c r="E46" s="163">
        <f t="shared" si="5"/>
        <v>24753.785901508909</v>
      </c>
      <c r="F46" s="163">
        <f t="shared" si="6"/>
        <v>31891.257109119881</v>
      </c>
      <c r="G46" s="163">
        <f t="shared" si="7"/>
        <v>58129.272866669853</v>
      </c>
      <c r="H46" s="163">
        <f t="shared" si="1"/>
        <v>145347</v>
      </c>
      <c r="I46" s="289">
        <f t="shared" si="0"/>
        <v>0</v>
      </c>
      <c r="J46" s="163">
        <v>145347</v>
      </c>
    </row>
    <row r="47" spans="1:13" s="163" customFormat="1" ht="40.25" customHeight="1" x14ac:dyDescent="0.3">
      <c r="A47" s="133" t="s">
        <v>706</v>
      </c>
      <c r="B47" s="323">
        <f t="shared" si="2"/>
        <v>3</v>
      </c>
      <c r="C47" s="163">
        <f t="shared" si="3"/>
        <v>4641.6292510763715</v>
      </c>
      <c r="D47" s="163">
        <f t="shared" si="4"/>
        <v>7685.1696282697267</v>
      </c>
      <c r="E47" s="163">
        <f t="shared" si="5"/>
        <v>9980.6395501832649</v>
      </c>
      <c r="F47" s="163">
        <f t="shared" si="6"/>
        <v>12858.442877173909</v>
      </c>
      <c r="G47" s="163">
        <f t="shared" si="7"/>
        <v>23437.51869329673</v>
      </c>
      <c r="H47" s="163">
        <f t="shared" si="1"/>
        <v>58603.400000000009</v>
      </c>
      <c r="I47" s="289">
        <f t="shared" si="0"/>
        <v>0</v>
      </c>
      <c r="J47" s="163">
        <v>58603.4</v>
      </c>
    </row>
    <row r="48" spans="1:13" s="163" customFormat="1" ht="40.25" customHeight="1" x14ac:dyDescent="0.3">
      <c r="A48" s="133" t="s">
        <v>706</v>
      </c>
      <c r="B48" s="323">
        <f t="shared" si="2"/>
        <v>4</v>
      </c>
      <c r="C48" s="163">
        <f t="shared" si="3"/>
        <v>148.7452900944557</v>
      </c>
      <c r="D48" s="163">
        <f t="shared" si="4"/>
        <v>246.27834838747489</v>
      </c>
      <c r="E48" s="163">
        <f t="shared" si="5"/>
        <v>319.83879903289181</v>
      </c>
      <c r="F48" s="163">
        <f t="shared" si="6"/>
        <v>412.06066070112996</v>
      </c>
      <c r="G48" s="163">
        <f t="shared" si="7"/>
        <v>751.07690178404766</v>
      </c>
      <c r="H48" s="163">
        <f t="shared" si="1"/>
        <v>1878</v>
      </c>
      <c r="I48" s="289">
        <f t="shared" si="0"/>
        <v>0</v>
      </c>
      <c r="J48" s="163">
        <v>1878</v>
      </c>
    </row>
    <row r="49" spans="1:10" s="163" customFormat="1" ht="40.25" customHeight="1" x14ac:dyDescent="0.3">
      <c r="A49" s="133" t="s">
        <v>706</v>
      </c>
      <c r="B49" s="323">
        <f t="shared" si="2"/>
        <v>5</v>
      </c>
      <c r="C49" s="163">
        <f t="shared" si="3"/>
        <v>143.59702393037711</v>
      </c>
      <c r="D49" s="163">
        <f t="shared" si="4"/>
        <v>237.75433739429818</v>
      </c>
      <c r="E49" s="163">
        <f t="shared" si="5"/>
        <v>308.76876605252016</v>
      </c>
      <c r="F49" s="163">
        <f t="shared" si="6"/>
        <v>397.79871025087789</v>
      </c>
      <c r="G49" s="163">
        <f t="shared" si="7"/>
        <v>725.08116237192678</v>
      </c>
      <c r="H49" s="163">
        <f t="shared" si="1"/>
        <v>1813</v>
      </c>
      <c r="I49" s="289">
        <f t="shared" si="0"/>
        <v>0</v>
      </c>
      <c r="J49" s="163">
        <v>1813</v>
      </c>
    </row>
    <row r="50" spans="1:10" s="163" customFormat="1" ht="40.25" customHeight="1" x14ac:dyDescent="0.3">
      <c r="A50" s="133" t="s">
        <v>706</v>
      </c>
      <c r="B50" s="323">
        <f t="shared" si="2"/>
        <v>6</v>
      </c>
      <c r="C50" s="163">
        <f t="shared" si="3"/>
        <v>310.48005174135591</v>
      </c>
      <c r="D50" s="163">
        <f t="shared" si="4"/>
        <v>514.06343220388794</v>
      </c>
      <c r="E50" s="163">
        <f t="shared" si="5"/>
        <v>667.60814281625983</v>
      </c>
      <c r="F50" s="163">
        <f t="shared" si="6"/>
        <v>860.10531946135757</v>
      </c>
      <c r="G50" s="163">
        <f t="shared" si="7"/>
        <v>1567.7430537771388</v>
      </c>
      <c r="H50" s="163">
        <f t="shared" si="1"/>
        <v>3920</v>
      </c>
      <c r="I50" s="289">
        <f t="shared" si="0"/>
        <v>0</v>
      </c>
      <c r="J50" s="163">
        <v>3920</v>
      </c>
    </row>
    <row r="51" spans="1:10" s="163" customFormat="1" ht="40.25" customHeight="1" x14ac:dyDescent="0.3">
      <c r="A51" s="133" t="s">
        <v>706</v>
      </c>
      <c r="B51" s="323">
        <f t="shared" si="2"/>
        <v>7</v>
      </c>
      <c r="C51" s="163">
        <f t="shared" si="3"/>
        <v>7.7620012935338973</v>
      </c>
      <c r="D51" s="163">
        <f t="shared" si="4"/>
        <v>12.851585805097198</v>
      </c>
      <c r="E51" s="163">
        <f t="shared" si="5"/>
        <v>16.690203570406496</v>
      </c>
      <c r="F51" s="163">
        <f t="shared" si="6"/>
        <v>21.502632986533939</v>
      </c>
      <c r="G51" s="163">
        <f t="shared" si="7"/>
        <v>39.193576344428472</v>
      </c>
      <c r="H51" s="163">
        <f t="shared" si="1"/>
        <v>98</v>
      </c>
      <c r="I51" s="289">
        <f t="shared" si="0"/>
        <v>0</v>
      </c>
      <c r="J51" s="163">
        <v>98</v>
      </c>
    </row>
    <row r="52" spans="1:10" s="163" customFormat="1" ht="40.25" customHeight="1" x14ac:dyDescent="0.3">
      <c r="A52" s="133" t="s">
        <v>706</v>
      </c>
      <c r="B52" s="323">
        <f t="shared" si="2"/>
        <v>8</v>
      </c>
      <c r="C52" s="163">
        <f t="shared" si="3"/>
        <v>1.5840818966395709</v>
      </c>
      <c r="D52" s="163">
        <f t="shared" si="4"/>
        <v>2.6227726132851426</v>
      </c>
      <c r="E52" s="163">
        <f t="shared" si="5"/>
        <v>3.4061639939605093</v>
      </c>
      <c r="F52" s="163">
        <f t="shared" si="6"/>
        <v>4.3882924462314161</v>
      </c>
      <c r="G52" s="163">
        <f t="shared" si="7"/>
        <v>7.998689049883362</v>
      </c>
      <c r="H52" s="163">
        <f t="shared" si="1"/>
        <v>20</v>
      </c>
      <c r="I52" s="289">
        <f t="shared" si="0"/>
        <v>0</v>
      </c>
      <c r="J52" s="163">
        <v>20</v>
      </c>
    </row>
    <row r="53" spans="1:10" s="163" customFormat="1" ht="40.25" customHeight="1" x14ac:dyDescent="0.3">
      <c r="A53" s="133" t="s">
        <v>706</v>
      </c>
      <c r="B53" s="323">
        <f t="shared" si="2"/>
        <v>9</v>
      </c>
      <c r="C53" s="163">
        <f t="shared" si="3"/>
        <v>399.82227071182768</v>
      </c>
      <c r="D53" s="163">
        <f t="shared" si="4"/>
        <v>661.98780759317003</v>
      </c>
      <c r="E53" s="163">
        <f t="shared" si="5"/>
        <v>859.71579207563252</v>
      </c>
      <c r="F53" s="163">
        <f t="shared" si="6"/>
        <v>1107.6050134288093</v>
      </c>
      <c r="G53" s="163">
        <f t="shared" si="7"/>
        <v>2018.8691161905606</v>
      </c>
      <c r="H53" s="163">
        <f t="shared" si="1"/>
        <v>5048</v>
      </c>
      <c r="I53" s="289">
        <f t="shared" si="0"/>
        <v>0</v>
      </c>
      <c r="J53" s="163">
        <v>5048</v>
      </c>
    </row>
    <row r="54" spans="1:10" s="163" customFormat="1" ht="40.25" customHeight="1" x14ac:dyDescent="0.3">
      <c r="A54" s="133" t="s">
        <v>706</v>
      </c>
      <c r="B54" s="323">
        <f t="shared" si="2"/>
        <v>10</v>
      </c>
      <c r="C54" s="163">
        <f t="shared" si="3"/>
        <v>0</v>
      </c>
      <c r="D54" s="163">
        <f t="shared" si="4"/>
        <v>0</v>
      </c>
      <c r="E54" s="163">
        <f t="shared" si="5"/>
        <v>0</v>
      </c>
      <c r="F54" s="163">
        <f t="shared" si="6"/>
        <v>0</v>
      </c>
      <c r="G54" s="163">
        <f t="shared" si="7"/>
        <v>0</v>
      </c>
      <c r="H54" s="163">
        <f t="shared" si="1"/>
        <v>0</v>
      </c>
      <c r="I54" s="289">
        <f t="shared" si="0"/>
        <v>0</v>
      </c>
      <c r="J54" s="163">
        <v>0</v>
      </c>
    </row>
    <row r="55" spans="1:10" s="163" customFormat="1" ht="40.25" customHeight="1" x14ac:dyDescent="0.3">
      <c r="A55" s="133" t="s">
        <v>706</v>
      </c>
      <c r="B55" s="323">
        <f t="shared" si="2"/>
        <v>11</v>
      </c>
      <c r="C55" s="163">
        <f t="shared" si="3"/>
        <v>12.989471552444481</v>
      </c>
      <c r="D55" s="163">
        <f t="shared" si="4"/>
        <v>21.506735428938168</v>
      </c>
      <c r="E55" s="163">
        <f t="shared" si="5"/>
        <v>27.930544750476177</v>
      </c>
      <c r="F55" s="163">
        <f t="shared" si="6"/>
        <v>35.983998059097608</v>
      </c>
      <c r="G55" s="163">
        <f t="shared" si="7"/>
        <v>65.58925020904357</v>
      </c>
      <c r="H55" s="163">
        <f t="shared" si="1"/>
        <v>164</v>
      </c>
      <c r="I55" s="289">
        <f t="shared" si="0"/>
        <v>0</v>
      </c>
      <c r="J55" s="163">
        <v>164</v>
      </c>
    </row>
    <row r="56" spans="1:10" s="163" customFormat="1" ht="40.25" customHeight="1" x14ac:dyDescent="0.3">
      <c r="A56" s="133" t="s">
        <v>706</v>
      </c>
      <c r="B56" s="323">
        <f t="shared" si="2"/>
        <v>12</v>
      </c>
      <c r="C56" s="163">
        <f t="shared" si="3"/>
        <v>14199.757643934014</v>
      </c>
      <c r="D56" s="163">
        <f t="shared" si="4"/>
        <v>23510.612388666417</v>
      </c>
      <c r="E56" s="163">
        <f t="shared" si="5"/>
        <v>30532.956226781826</v>
      </c>
      <c r="F56" s="163">
        <f t="shared" si="6"/>
        <v>39336.785136791805</v>
      </c>
      <c r="G56" s="163">
        <f t="shared" si="7"/>
        <v>71700.488603825957</v>
      </c>
      <c r="H56" s="163">
        <f t="shared" si="1"/>
        <v>179280.60000000003</v>
      </c>
      <c r="I56" s="289">
        <f t="shared" si="0"/>
        <v>0</v>
      </c>
      <c r="J56" s="163">
        <v>179280.6</v>
      </c>
    </row>
    <row r="57" spans="1:10" s="163" customFormat="1" ht="40.25" customHeight="1" x14ac:dyDescent="0.3">
      <c r="A57" s="133" t="s">
        <v>706</v>
      </c>
      <c r="B57" s="323">
        <f t="shared" si="2"/>
        <v>13</v>
      </c>
      <c r="C57" s="163">
        <f t="shared" si="3"/>
        <v>7175.2573590186003</v>
      </c>
      <c r="D57" s="163">
        <f t="shared" si="4"/>
        <v>11880.110829136382</v>
      </c>
      <c r="E57" s="163">
        <f t="shared" si="5"/>
        <v>15428.560427043523</v>
      </c>
      <c r="F57" s="163">
        <f t="shared" si="6"/>
        <v>19877.209464449821</v>
      </c>
      <c r="G57" s="163">
        <f t="shared" si="7"/>
        <v>36230.861920351679</v>
      </c>
      <c r="H57" s="163">
        <f t="shared" si="1"/>
        <v>90592</v>
      </c>
      <c r="I57" s="289">
        <f t="shared" si="0"/>
        <v>0</v>
      </c>
      <c r="J57" s="163">
        <v>90592</v>
      </c>
    </row>
    <row r="58" spans="1:10" s="163" customFormat="1" ht="40.25" customHeight="1" x14ac:dyDescent="0.3">
      <c r="A58" s="133" t="s">
        <v>706</v>
      </c>
      <c r="B58" s="323">
        <f t="shared" si="2"/>
        <v>14</v>
      </c>
      <c r="C58" s="163">
        <f t="shared" si="3"/>
        <v>331.0497697047478</v>
      </c>
      <c r="D58" s="163">
        <f t="shared" si="4"/>
        <v>548.12082093601794</v>
      </c>
      <c r="E58" s="163">
        <f t="shared" si="5"/>
        <v>711.83807363073333</v>
      </c>
      <c r="F58" s="163">
        <f t="shared" si="6"/>
        <v>917.08844523998744</v>
      </c>
      <c r="G58" s="163">
        <f t="shared" si="7"/>
        <v>1671.6081242523478</v>
      </c>
      <c r="H58" s="163">
        <f t="shared" si="1"/>
        <v>4179.7052337638343</v>
      </c>
      <c r="I58" s="289">
        <f t="shared" si="0"/>
        <v>0</v>
      </c>
      <c r="J58" s="163">
        <v>4179.7052337638343</v>
      </c>
    </row>
    <row r="59" spans="1:10" s="163" customFormat="1" ht="40.25" customHeight="1" x14ac:dyDescent="0.3">
      <c r="A59" s="133" t="s">
        <v>706</v>
      </c>
      <c r="B59" s="323">
        <f t="shared" si="2"/>
        <v>15</v>
      </c>
      <c r="C59" s="163">
        <f t="shared" si="3"/>
        <v>731.68742805781778</v>
      </c>
      <c r="D59" s="163">
        <f t="shared" si="4"/>
        <v>1211.4586700764073</v>
      </c>
      <c r="E59" s="163">
        <f t="shared" si="5"/>
        <v>1573.3071488103592</v>
      </c>
      <c r="F59" s="163">
        <f t="shared" si="6"/>
        <v>2026.9522809142911</v>
      </c>
      <c r="G59" s="163">
        <f t="shared" si="7"/>
        <v>3694.5944721411247</v>
      </c>
      <c r="H59" s="163">
        <f t="shared" si="1"/>
        <v>9238</v>
      </c>
      <c r="I59" s="289">
        <f t="shared" si="0"/>
        <v>0</v>
      </c>
      <c r="J59" s="163">
        <v>9238</v>
      </c>
    </row>
    <row r="60" spans="1:10" s="163" customFormat="1" ht="40.25" customHeight="1" x14ac:dyDescent="0.3">
      <c r="A60" s="133" t="s">
        <v>706</v>
      </c>
      <c r="B60" s="323">
        <f t="shared" si="2"/>
        <v>16</v>
      </c>
      <c r="C60" s="163">
        <f t="shared" si="3"/>
        <v>53.71033764775563</v>
      </c>
      <c r="D60" s="163">
        <f t="shared" si="4"/>
        <v>88.928484652005224</v>
      </c>
      <c r="E60" s="163">
        <f t="shared" si="5"/>
        <v>115.49037874073559</v>
      </c>
      <c r="F60" s="163">
        <f t="shared" si="6"/>
        <v>148.79070929614528</v>
      </c>
      <c r="G60" s="163">
        <f t="shared" si="7"/>
        <v>271.20585780319129</v>
      </c>
      <c r="H60" s="163">
        <f t="shared" si="1"/>
        <v>678.1257681398331</v>
      </c>
      <c r="I60" s="289">
        <f t="shared" si="0"/>
        <v>0</v>
      </c>
      <c r="J60" s="163">
        <v>678.12576813983299</v>
      </c>
    </row>
    <row r="61" spans="1:10" s="163" customFormat="1" ht="40.25" customHeight="1" x14ac:dyDescent="0.3">
      <c r="A61" s="133" t="s">
        <v>706</v>
      </c>
      <c r="B61" s="323">
        <f t="shared" si="2"/>
        <v>17</v>
      </c>
      <c r="C61" s="163">
        <f t="shared" si="3"/>
        <v>28.443825294184858</v>
      </c>
      <c r="D61" s="163">
        <f t="shared" si="4"/>
        <v>47.094589084638422</v>
      </c>
      <c r="E61" s="163">
        <f t="shared" si="5"/>
        <v>61.161189817952909</v>
      </c>
      <c r="F61" s="163">
        <f t="shared" si="6"/>
        <v>78.79631977689219</v>
      </c>
      <c r="G61" s="163">
        <f t="shared" si="7"/>
        <v>143.6247168786112</v>
      </c>
      <c r="H61" s="163">
        <f t="shared" si="1"/>
        <v>359.12064085227956</v>
      </c>
      <c r="I61" s="289">
        <f t="shared" si="0"/>
        <v>0</v>
      </c>
      <c r="J61" s="163">
        <v>359.12064085227956</v>
      </c>
    </row>
    <row r="62" spans="1:10" s="163" customFormat="1" ht="40.25" customHeight="1" x14ac:dyDescent="0.3">
      <c r="A62" s="133" t="s">
        <v>706</v>
      </c>
      <c r="B62" s="323">
        <f t="shared" si="2"/>
        <v>18</v>
      </c>
      <c r="C62" s="163">
        <f t="shared" si="3"/>
        <v>581.04506977913843</v>
      </c>
      <c r="D62" s="163">
        <f t="shared" si="4"/>
        <v>962.03933605575821</v>
      </c>
      <c r="E62" s="163">
        <f t="shared" si="5"/>
        <v>1249.3891886198919</v>
      </c>
      <c r="F62" s="163">
        <f t="shared" si="6"/>
        <v>1609.6362795641235</v>
      </c>
      <c r="G62" s="163">
        <f t="shared" si="7"/>
        <v>2933.9384832251417</v>
      </c>
      <c r="H62" s="163">
        <f t="shared" si="1"/>
        <v>7336.0483572440535</v>
      </c>
      <c r="I62" s="289">
        <f t="shared" si="0"/>
        <v>0</v>
      </c>
      <c r="J62" s="163">
        <v>7336.0483572440535</v>
      </c>
    </row>
    <row r="63" spans="1:10" s="163" customFormat="1" ht="40.25" customHeight="1" x14ac:dyDescent="0.3">
      <c r="A63" s="133" t="s">
        <v>706</v>
      </c>
      <c r="B63" s="323">
        <f t="shared" si="2"/>
        <v>19</v>
      </c>
      <c r="C63" s="163">
        <f t="shared" si="3"/>
        <v>38633.222928004514</v>
      </c>
      <c r="D63" s="163">
        <f t="shared" si="4"/>
        <v>63965.227601843369</v>
      </c>
      <c r="E63" s="163">
        <f t="shared" si="5"/>
        <v>83070.889950306489</v>
      </c>
      <c r="F63" s="163">
        <f t="shared" si="6"/>
        <v>107023.43149567027</v>
      </c>
      <c r="G63" s="163">
        <f t="shared" si="7"/>
        <v>195075.22802417539</v>
      </c>
      <c r="H63" s="163">
        <f t="shared" si="1"/>
        <v>487768.00000000006</v>
      </c>
      <c r="I63" s="289">
        <f t="shared" si="0"/>
        <v>0</v>
      </c>
      <c r="J63" s="163">
        <v>487768</v>
      </c>
    </row>
    <row r="64" spans="1:10" s="163" customFormat="1" ht="40.25" customHeight="1" x14ac:dyDescent="0.3">
      <c r="A64" s="133" t="s">
        <v>706</v>
      </c>
      <c r="B64" s="323">
        <f t="shared" si="2"/>
        <v>20</v>
      </c>
      <c r="C64" s="163">
        <f t="shared" si="3"/>
        <v>813.74287030374751</v>
      </c>
      <c r="D64" s="163">
        <f t="shared" si="4"/>
        <v>1347.3182914445777</v>
      </c>
      <c r="E64" s="163">
        <f t="shared" si="5"/>
        <v>1749.7464436975135</v>
      </c>
      <c r="F64" s="163">
        <f t="shared" si="6"/>
        <v>2254.2658296290783</v>
      </c>
      <c r="G64" s="163">
        <f t="shared" si="7"/>
        <v>4108.9265649250829</v>
      </c>
      <c r="H64" s="163">
        <f t="shared" si="1"/>
        <v>10274</v>
      </c>
      <c r="I64" s="289">
        <f t="shared" si="0"/>
        <v>0</v>
      </c>
      <c r="J64" s="163">
        <v>10274</v>
      </c>
    </row>
    <row r="65" spans="1:14" s="163" customFormat="1" ht="40.25" customHeight="1" x14ac:dyDescent="0.3">
      <c r="A65" s="133" t="s">
        <v>706</v>
      </c>
      <c r="B65" s="323">
        <f t="shared" si="2"/>
        <v>21</v>
      </c>
      <c r="C65" s="163">
        <f t="shared" si="3"/>
        <v>5.1482661640786054</v>
      </c>
      <c r="D65" s="163">
        <f t="shared" si="4"/>
        <v>8.524010993176713</v>
      </c>
      <c r="E65" s="163">
        <f t="shared" si="5"/>
        <v>11.070032980371655</v>
      </c>
      <c r="F65" s="163">
        <f t="shared" si="6"/>
        <v>14.261950450252103</v>
      </c>
      <c r="G65" s="163">
        <f t="shared" si="7"/>
        <v>25.995739412120926</v>
      </c>
      <c r="H65" s="163">
        <f t="shared" si="1"/>
        <v>65</v>
      </c>
      <c r="I65" s="289">
        <f t="shared" si="0"/>
        <v>0</v>
      </c>
      <c r="J65" s="163">
        <v>65</v>
      </c>
      <c r="L65" s="325" t="s">
        <v>707</v>
      </c>
      <c r="M65" s="268" t="s">
        <v>708</v>
      </c>
      <c r="N65" s="268"/>
    </row>
    <row r="66" spans="1:14" s="163" customFormat="1" ht="40.25" customHeight="1" x14ac:dyDescent="0.3">
      <c r="A66" s="133" t="s">
        <v>706</v>
      </c>
      <c r="B66" s="323">
        <f t="shared" si="2"/>
        <v>22</v>
      </c>
      <c r="C66" s="163">
        <f t="shared" si="3"/>
        <v>3464.5455161404057</v>
      </c>
      <c r="D66" s="163">
        <f t="shared" si="4"/>
        <v>5736.2659825159353</v>
      </c>
      <c r="E66" s="163">
        <f t="shared" si="5"/>
        <v>7449.6212711910302</v>
      </c>
      <c r="F66" s="163">
        <f t="shared" si="6"/>
        <v>9597.6344091527299</v>
      </c>
      <c r="G66" s="163">
        <f t="shared" si="7"/>
        <v>17493.9328209999</v>
      </c>
      <c r="H66" s="163">
        <f t="shared" si="1"/>
        <v>43742</v>
      </c>
      <c r="I66" s="289">
        <f t="shared" si="0"/>
        <v>0</v>
      </c>
      <c r="J66" s="163">
        <v>43742</v>
      </c>
      <c r="L66" s="326">
        <f>5097566208/1000000</f>
        <v>5097.5662080000002</v>
      </c>
      <c r="M66" s="268">
        <f>1971836468/1000000</f>
        <v>1971.836468</v>
      </c>
      <c r="N66" s="326">
        <f>L66+M66</f>
        <v>7069.4026759999997</v>
      </c>
    </row>
    <row r="67" spans="1:14" s="163" customFormat="1" ht="40.25" customHeight="1" x14ac:dyDescent="0.3">
      <c r="A67" s="133" t="s">
        <v>706</v>
      </c>
      <c r="B67" s="323">
        <f t="shared" si="2"/>
        <v>23</v>
      </c>
      <c r="C67" s="163">
        <f t="shared" si="3"/>
        <v>1413.3178681818251</v>
      </c>
      <c r="D67" s="163">
        <f t="shared" si="4"/>
        <v>2340.0377255730041</v>
      </c>
      <c r="E67" s="163">
        <f t="shared" si="5"/>
        <v>3038.9795154115664</v>
      </c>
      <c r="F67" s="163">
        <f t="shared" si="6"/>
        <v>3915.2345205276692</v>
      </c>
      <c r="G67" s="163">
        <f t="shared" si="7"/>
        <v>7136.4303703059359</v>
      </c>
      <c r="H67" s="163">
        <f t="shared" si="1"/>
        <v>17844</v>
      </c>
      <c r="I67" s="289">
        <f t="shared" si="0"/>
        <v>0</v>
      </c>
      <c r="J67" s="163">
        <v>17844</v>
      </c>
      <c r="L67" s="327">
        <f>15817289786/1000000</f>
        <v>15817.289785999999</v>
      </c>
      <c r="M67" s="268"/>
      <c r="N67" s="268"/>
    </row>
    <row r="68" spans="1:14" s="163" customFormat="1" ht="40.25" customHeight="1" x14ac:dyDescent="0.3">
      <c r="A68" s="133" t="s">
        <v>706</v>
      </c>
      <c r="B68" s="323">
        <f t="shared" si="2"/>
        <v>24</v>
      </c>
      <c r="C68" s="163">
        <f t="shared" si="3"/>
        <v>829.02926060631944</v>
      </c>
      <c r="D68" s="163">
        <f t="shared" si="4"/>
        <v>1372.6280471627795</v>
      </c>
      <c r="E68" s="163">
        <f t="shared" si="5"/>
        <v>1782.6159262392325</v>
      </c>
      <c r="F68" s="163">
        <f t="shared" si="6"/>
        <v>2296.6128517352117</v>
      </c>
      <c r="G68" s="163">
        <f t="shared" si="7"/>
        <v>4186.1139142564571</v>
      </c>
      <c r="H68" s="163">
        <f t="shared" si="1"/>
        <v>10467</v>
      </c>
      <c r="I68" s="289">
        <f t="shared" si="0"/>
        <v>0</v>
      </c>
      <c r="J68" s="163">
        <v>10467</v>
      </c>
      <c r="L68" s="326">
        <f>6772542870/1000000</f>
        <v>6772.5428700000002</v>
      </c>
      <c r="M68" s="268"/>
      <c r="N68" s="268"/>
    </row>
    <row r="69" spans="1:14" s="163" customFormat="1" ht="40.25" customHeight="1" x14ac:dyDescent="0.3">
      <c r="A69" s="183" t="s">
        <v>539</v>
      </c>
      <c r="I69" s="289"/>
    </row>
    <row r="70" spans="1:14" s="163" customFormat="1" ht="40.25" customHeight="1" x14ac:dyDescent="0.3">
      <c r="A70" s="183" t="s">
        <v>625</v>
      </c>
      <c r="I70" s="289"/>
    </row>
    <row r="71" spans="1:14" s="163" customFormat="1" ht="40.25" customHeight="1" x14ac:dyDescent="0.3">
      <c r="A71" s="133" t="s">
        <v>540</v>
      </c>
      <c r="C71" s="163">
        <f>'Km vehicule'!$Q26</f>
        <v>350.64</v>
      </c>
      <c r="D71" s="163">
        <f>'Km vehicule'!$Q27</f>
        <v>815.23182768724257</v>
      </c>
      <c r="E71" s="163">
        <f>'Km vehicule'!$Q28</f>
        <v>2045.7190930414204</v>
      </c>
      <c r="F71" s="163">
        <f>'Km vehicule'!$Q29</f>
        <v>2984.934983532517</v>
      </c>
      <c r="G71" s="163">
        <f>'Km vehicule'!$Q30</f>
        <v>3781.60935748167</v>
      </c>
      <c r="H71" s="163">
        <f>SUM(C71:G71)</f>
        <v>9978.1352617428493</v>
      </c>
      <c r="I71" s="289">
        <f t="shared" ref="I71:I76" si="8">J71-H71</f>
        <v>-9978.1352617428493</v>
      </c>
    </row>
    <row r="72" spans="1:14" s="163" customFormat="1" ht="40.25" customHeight="1" x14ac:dyDescent="0.3">
      <c r="A72" s="133" t="s">
        <v>541</v>
      </c>
      <c r="C72" s="163">
        <f>'Km vehicule'!$S26</f>
        <v>3545.36</v>
      </c>
      <c r="D72" s="163">
        <f>'Km vehicule'!$S27</f>
        <v>4551.7681723127571</v>
      </c>
      <c r="E72" s="163">
        <f>'Km vehicule'!$S28</f>
        <v>4385.2809069585801</v>
      </c>
      <c r="F72" s="163">
        <f>'Km vehicule'!$S29</f>
        <v>4201.0650164674826</v>
      </c>
      <c r="G72" s="163">
        <f>'Km vehicule'!$S30</f>
        <v>3787.3906425183295</v>
      </c>
      <c r="H72" s="163">
        <f>SUM(C72:G72)</f>
        <v>20470.864738257151</v>
      </c>
      <c r="I72" s="289">
        <f t="shared" si="8"/>
        <v>-20470.864738257151</v>
      </c>
    </row>
    <row r="73" spans="1:14" s="163" customFormat="1" ht="40.25" customHeight="1" x14ac:dyDescent="0.3">
      <c r="A73" s="172" t="s">
        <v>709</v>
      </c>
      <c r="C73" s="163">
        <f>'Km vehicule'!$N26</f>
        <v>3896</v>
      </c>
      <c r="D73" s="163">
        <f>'Km vehicule'!$N27</f>
        <v>5367</v>
      </c>
      <c r="E73" s="163">
        <f>'Km vehicule'!$N28</f>
        <v>6431</v>
      </c>
      <c r="F73" s="163">
        <f>'Km vehicule'!$N29</f>
        <v>7186</v>
      </c>
      <c r="G73" s="163">
        <f>'Km vehicule'!$N30</f>
        <v>7569</v>
      </c>
      <c r="H73" s="163">
        <f>SUM(C73:G73)</f>
        <v>30449</v>
      </c>
      <c r="I73" s="289">
        <f t="shared" si="8"/>
        <v>-199</v>
      </c>
      <c r="J73" s="168">
        <f>[3]Données!$R$5</f>
        <v>30250</v>
      </c>
    </row>
    <row r="74" spans="1:14" s="163" customFormat="1" ht="40.25" customHeight="1" x14ac:dyDescent="0.3">
      <c r="A74" s="172" t="s">
        <v>710</v>
      </c>
      <c r="C74" s="163">
        <f>'Km vehicule'!$P26</f>
        <v>11535.2</v>
      </c>
      <c r="D74" s="163">
        <f>'Km vehicule'!$P27</f>
        <v>12109.3</v>
      </c>
      <c r="E74" s="163">
        <f>'Km vehicule'!$P28</f>
        <v>12644.3</v>
      </c>
      <c r="F74" s="163">
        <f>'Km vehicule'!$P29</f>
        <v>13643.3</v>
      </c>
      <c r="G74" s="163">
        <f>'Km vehicule'!$P30</f>
        <v>14045.89</v>
      </c>
      <c r="H74" s="121">
        <f>'Km vehicule'!$P31</f>
        <v>12107.477546792981</v>
      </c>
      <c r="I74" s="289">
        <f t="shared" si="8"/>
        <v>883.07099419873703</v>
      </c>
      <c r="J74" s="40">
        <f>[3]Données!$R$15</f>
        <v>12990.548540991718</v>
      </c>
    </row>
    <row r="75" spans="1:14" s="163" customFormat="1" ht="40.25" customHeight="1" x14ac:dyDescent="0.3">
      <c r="A75" s="172" t="s">
        <v>711</v>
      </c>
      <c r="C75" s="163">
        <f>'Km vehicule'!$V26</f>
        <v>44941139.200000003</v>
      </c>
      <c r="D75" s="163">
        <f>'Km vehicule'!$V27</f>
        <v>64990613.099999994</v>
      </c>
      <c r="E75" s="163">
        <f>'Km vehicule'!$V28</f>
        <v>81315493.299999997</v>
      </c>
      <c r="F75" s="163">
        <f>'Km vehicule'!$V29</f>
        <v>98040753.799999997</v>
      </c>
      <c r="G75" s="163">
        <f>'Km vehicule'!$V30</f>
        <v>106313341.41</v>
      </c>
      <c r="H75" s="163">
        <f>SUM(C75:G75)</f>
        <v>395601340.80999994</v>
      </c>
      <c r="I75" s="289">
        <f t="shared" si="8"/>
        <v>231880.74237108231</v>
      </c>
      <c r="J75" s="40">
        <f>395.833221552371*1000000</f>
        <v>395833221.55237103</v>
      </c>
    </row>
    <row r="76" spans="1:14" s="163" customFormat="1" ht="40.25" customHeight="1" x14ac:dyDescent="0.3">
      <c r="A76" s="172" t="s">
        <v>712</v>
      </c>
      <c r="C76" s="163">
        <f>'Km vehicule'!$X26</f>
        <v>8988227.8400000017</v>
      </c>
      <c r="D76" s="163">
        <f>'Km vehicule'!$X27</f>
        <v>11698310.357999999</v>
      </c>
      <c r="E76" s="163">
        <f>'Km vehicule'!$X28</f>
        <v>16780133.545209661</v>
      </c>
      <c r="F76" s="163">
        <f>'Km vehicule'!$X29</f>
        <v>25025894.133364193</v>
      </c>
      <c r="G76" s="163">
        <f>'Km vehicule'!$X30</f>
        <v>16838066.863536216</v>
      </c>
      <c r="H76" s="163">
        <f>SUM(C76:G76)</f>
        <v>79330632.74011007</v>
      </c>
      <c r="I76" s="289">
        <f t="shared" si="8"/>
        <v>-79330632.74011007</v>
      </c>
    </row>
    <row r="77" spans="1:14" s="163" customFormat="1" ht="40.25" customHeight="1" x14ac:dyDescent="0.3">
      <c r="A77" s="133"/>
      <c r="H77" s="169"/>
      <c r="I77" s="168"/>
    </row>
    <row r="78" spans="1:14" s="163" customFormat="1" ht="40.25" customHeight="1" x14ac:dyDescent="0.3">
      <c r="A78" s="133"/>
      <c r="H78" s="169"/>
      <c r="I78" s="168"/>
    </row>
    <row r="79" spans="1:14" s="163" customFormat="1" ht="40.25" customHeight="1" x14ac:dyDescent="0.3">
      <c r="A79" s="133"/>
      <c r="H79" s="169"/>
      <c r="I79" s="168"/>
    </row>
    <row r="80" spans="1:14" s="163" customFormat="1" ht="14.4" x14ac:dyDescent="0.3"/>
    <row r="81" spans="1:68" s="163" customFormat="1" ht="14.4" x14ac:dyDescent="0.3">
      <c r="A81" s="170"/>
      <c r="H81" s="169"/>
      <c r="I81" s="168"/>
    </row>
    <row r="82" spans="1:68" s="163" customFormat="1" ht="14.4" x14ac:dyDescent="0.3">
      <c r="A82" s="170"/>
      <c r="H82" s="169"/>
      <c r="I82" s="168"/>
    </row>
    <row r="83" spans="1:68" s="163" customFormat="1" ht="14.4" x14ac:dyDescent="0.3">
      <c r="A83" s="170"/>
      <c r="H83" s="169"/>
      <c r="I83" s="168"/>
    </row>
    <row r="84" spans="1:68" s="163" customFormat="1" ht="14.4" x14ac:dyDescent="0.3">
      <c r="A84" s="170"/>
      <c r="H84" s="169"/>
      <c r="I84" s="168"/>
      <c r="M84" s="120"/>
    </row>
    <row r="85" spans="1:68" s="120" customFormat="1" ht="14.4" x14ac:dyDescent="0.3">
      <c r="B85" s="132"/>
      <c r="C85" s="132"/>
      <c r="D85" s="132"/>
      <c r="E85" s="132"/>
      <c r="F85" s="132"/>
      <c r="G85" s="132"/>
      <c r="H85" s="129"/>
      <c r="I85" s="132"/>
    </row>
    <row r="86" spans="1:68" s="120" customFormat="1" ht="15" thickBot="1" x14ac:dyDescent="0.35">
      <c r="A86" s="131"/>
    </row>
    <row r="87" spans="1:68" s="120" customFormat="1" ht="15" thickBot="1" x14ac:dyDescent="0.35">
      <c r="A87" t="s">
        <v>37</v>
      </c>
      <c r="B87"/>
      <c r="C87"/>
      <c r="D87"/>
      <c r="E87"/>
      <c r="F87"/>
      <c r="G87"/>
      <c r="H87"/>
      <c r="I87"/>
      <c r="M87" s="50" t="s">
        <v>477</v>
      </c>
      <c r="O87" s="120" t="s">
        <v>535</v>
      </c>
      <c r="U87" s="120" t="s">
        <v>537</v>
      </c>
      <c r="Y87" s="120" t="s">
        <v>536</v>
      </c>
    </row>
    <row r="88" spans="1:68" s="120" customFormat="1" ht="91.5" x14ac:dyDescent="0.35">
      <c r="A88" s="1"/>
      <c r="B88" s="153" t="s">
        <v>522</v>
      </c>
      <c r="C88" s="153" t="s">
        <v>523</v>
      </c>
      <c r="D88" s="41" t="s">
        <v>95</v>
      </c>
      <c r="E88" s="41" t="s">
        <v>96</v>
      </c>
      <c r="F88" s="41" t="s">
        <v>97</v>
      </c>
      <c r="G88" s="45" t="s">
        <v>98</v>
      </c>
      <c r="H88" s="57" t="s">
        <v>473</v>
      </c>
      <c r="I88" s="57" t="s">
        <v>474</v>
      </c>
      <c r="J88" s="57" t="s">
        <v>475</v>
      </c>
      <c r="K88" s="49" t="s">
        <v>99</v>
      </c>
      <c r="L88" s="104" t="s">
        <v>478</v>
      </c>
      <c r="M88" s="42">
        <f>10.8+6.5+9</f>
        <v>26.3</v>
      </c>
      <c r="N88" s="104" t="s">
        <v>479</v>
      </c>
      <c r="O88" s="158" t="s">
        <v>99</v>
      </c>
      <c r="P88" s="154" t="s">
        <v>478</v>
      </c>
      <c r="Q88" s="159" t="s">
        <v>477</v>
      </c>
      <c r="R88" s="154" t="s">
        <v>479</v>
      </c>
      <c r="S88" s="154" t="s">
        <v>524</v>
      </c>
      <c r="T88" s="154" t="s">
        <v>525</v>
      </c>
      <c r="U88" s="114" t="s">
        <v>480</v>
      </c>
      <c r="V88" s="114" t="s">
        <v>480</v>
      </c>
      <c r="W88" s="114" t="s">
        <v>481</v>
      </c>
      <c r="X88" s="114" t="s">
        <v>481</v>
      </c>
      <c r="Y88" s="108" t="s">
        <v>482</v>
      </c>
      <c r="Z88" s="108" t="s">
        <v>483</v>
      </c>
      <c r="AA88" s="127" t="s">
        <v>521</v>
      </c>
      <c r="AB88" s="108" t="s">
        <v>484</v>
      </c>
      <c r="AC88" s="127" t="s">
        <v>44</v>
      </c>
      <c r="AD88" s="49" t="s">
        <v>100</v>
      </c>
      <c r="AE88" s="50" t="s">
        <v>101</v>
      </c>
      <c r="AF88" s="50" t="s">
        <v>102</v>
      </c>
      <c r="AG88" s="50" t="s">
        <v>103</v>
      </c>
      <c r="AH88" s="51" t="s">
        <v>104</v>
      </c>
      <c r="AI88" s="63" t="s">
        <v>534</v>
      </c>
      <c r="AJ88" s="64"/>
      <c r="AK88" s="64" t="s">
        <v>105</v>
      </c>
      <c r="AL88" s="125"/>
      <c r="AM88" s="122" t="s">
        <v>520</v>
      </c>
      <c r="AN88" s="122"/>
      <c r="AO88" s="273" t="s">
        <v>660</v>
      </c>
      <c r="AP88" s="273" t="s">
        <v>661</v>
      </c>
      <c r="AQ88" s="61" t="s">
        <v>94</v>
      </c>
      <c r="AR88" s="12" t="s">
        <v>5</v>
      </c>
      <c r="AS88" s="291" t="s">
        <v>674</v>
      </c>
      <c r="AT88" s="47" t="s">
        <v>93</v>
      </c>
      <c r="AU88" s="2" t="s">
        <v>21</v>
      </c>
      <c r="AV88" s="9" t="s">
        <v>10</v>
      </c>
      <c r="AW88" s="10" t="s">
        <v>11</v>
      </c>
      <c r="AX88" s="10" t="s">
        <v>12</v>
      </c>
      <c r="AY88" s="10" t="s">
        <v>701</v>
      </c>
      <c r="AZ88" s="10" t="s">
        <v>702</v>
      </c>
      <c r="BA88" s="10" t="s">
        <v>697</v>
      </c>
      <c r="BB88" s="10" t="s">
        <v>698</v>
      </c>
      <c r="BC88" s="9" t="s">
        <v>529</v>
      </c>
      <c r="BD88" s="10" t="s">
        <v>13</v>
      </c>
      <c r="BE88" s="3" t="s">
        <v>8</v>
      </c>
      <c r="BF88" s="3" t="s">
        <v>9</v>
      </c>
      <c r="BG88" s="9" t="s">
        <v>15</v>
      </c>
      <c r="BH88" s="10" t="s">
        <v>14</v>
      </c>
      <c r="BI88" s="10" t="s">
        <v>16</v>
      </c>
      <c r="BJ88" s="10" t="s">
        <v>17</v>
      </c>
      <c r="BK88" s="11" t="s">
        <v>18</v>
      </c>
      <c r="BL88" s="43" t="s">
        <v>47</v>
      </c>
      <c r="BM88" s="242" t="s">
        <v>663</v>
      </c>
      <c r="BN88" s="242" t="s">
        <v>664</v>
      </c>
      <c r="BP88" s="120" t="s">
        <v>703</v>
      </c>
    </row>
    <row r="89" spans="1:68" s="120" customFormat="1" ht="14.4" x14ac:dyDescent="0.3">
      <c r="A89" s="4" t="s">
        <v>0</v>
      </c>
      <c r="B89" s="59">
        <v>4907</v>
      </c>
      <c r="C89" s="124">
        <f>$C$94/5</f>
        <v>5256</v>
      </c>
      <c r="D89" s="42">
        <v>11687</v>
      </c>
      <c r="E89" s="42">
        <v>2.42</v>
      </c>
      <c r="F89" s="42">
        <v>1.6</v>
      </c>
      <c r="G89" s="46">
        <v>15650</v>
      </c>
      <c r="H89" s="58">
        <f>2.6+2.8</f>
        <v>5.4</v>
      </c>
      <c r="I89" s="58">
        <f t="shared" ref="I89:I94" si="9">B89*H89/100</f>
        <v>264.97800000000001</v>
      </c>
      <c r="J89" s="106">
        <f t="shared" ref="J89:J94" si="10">B89+I89</f>
        <v>5171.9780000000001</v>
      </c>
      <c r="K89" s="52">
        <f>40.9+20.3+12.5</f>
        <v>73.7</v>
      </c>
      <c r="L89" s="105">
        <f t="shared" ref="L89:L94" si="11">B89*K89/100</f>
        <v>3616.4590000000003</v>
      </c>
      <c r="M89" s="42">
        <f>11.1+10.8+9.4</f>
        <v>31.299999999999997</v>
      </c>
      <c r="N89" s="105">
        <f t="shared" ref="N89:N94" si="12">B89*M88/100</f>
        <v>1290.5410000000002</v>
      </c>
      <c r="O89" s="155">
        <f t="shared" ref="O89:O94" si="13">100*P89/C89</f>
        <v>68.806297564687981</v>
      </c>
      <c r="P89" s="155">
        <f t="shared" ref="P89:P94" si="14">L89</f>
        <v>3616.4590000000003</v>
      </c>
      <c r="Q89" s="155">
        <f t="shared" ref="Q89:Q94" si="15">100*R89/C89</f>
        <v>24.553671993911724</v>
      </c>
      <c r="R89" s="155">
        <f t="shared" ref="R89:R94" si="16">N89</f>
        <v>1290.5410000000002</v>
      </c>
      <c r="S89" s="156">
        <f>C89-R89-P89</f>
        <v>348.99999999999955</v>
      </c>
      <c r="T89" s="160">
        <f t="shared" ref="T89:T94" si="17">100*S89/C89</f>
        <v>6.6400304414002962</v>
      </c>
      <c r="U89" s="118">
        <v>40</v>
      </c>
      <c r="V89" s="115">
        <f t="shared" ref="V89:V94" si="18">AJ89*U89/100</f>
        <v>1168.9344000000001</v>
      </c>
      <c r="W89" s="118">
        <v>36</v>
      </c>
      <c r="X89" s="115">
        <f t="shared" ref="X89:X94" si="19">AJ89*W89/100</f>
        <v>1052.04096</v>
      </c>
      <c r="Y89" s="109">
        <f t="shared" ref="Y89:Y94" si="20">P89-V89</f>
        <v>2447.5246000000002</v>
      </c>
      <c r="Z89" s="109">
        <f t="shared" ref="Z89:Z94" si="21">R89-X89</f>
        <v>238.50004000000013</v>
      </c>
      <c r="AA89" s="119">
        <f t="shared" ref="AA89:AA94" si="22">S89</f>
        <v>348.99999999999955</v>
      </c>
      <c r="AB89" s="109">
        <f t="shared" ref="AB89:AB94" si="23">X89+V89</f>
        <v>2220.9753600000004</v>
      </c>
      <c r="AC89" s="128">
        <f t="shared" ref="AC89:AC95" si="24">SUM(Y89:AB89)</f>
        <v>5256</v>
      </c>
      <c r="AD89" s="52">
        <v>11.9</v>
      </c>
      <c r="AE89" s="42">
        <v>25.5</v>
      </c>
      <c r="AF89" s="42">
        <v>33.6</v>
      </c>
      <c r="AG89" s="42">
        <v>17.2</v>
      </c>
      <c r="AH89" s="53">
        <v>11.9</v>
      </c>
      <c r="AI89" s="65">
        <v>55.6</v>
      </c>
      <c r="AJ89" s="123">
        <f t="shared" ref="AJ89:AJ94" si="25">C89*AI89/100</f>
        <v>2922.3360000000002</v>
      </c>
      <c r="AK89" s="279">
        <f>100-AO89</f>
        <v>39.091561524639197</v>
      </c>
      <c r="AL89" s="123">
        <f t="shared" ref="AL89:AL94" si="26">C89*AK89/100</f>
        <v>2054.652473735036</v>
      </c>
      <c r="AM89" s="123">
        <v>7.7</v>
      </c>
      <c r="AN89" s="126">
        <f t="shared" ref="AN89:AN94" si="27">C89*AM89/100</f>
        <v>404.71200000000005</v>
      </c>
      <c r="AO89" s="274">
        <v>60.908438475360803</v>
      </c>
      <c r="AP89" s="123" t="e">
        <f>#REF!</f>
        <v>#REF!</v>
      </c>
      <c r="AQ89" s="62">
        <v>78.684436765785932</v>
      </c>
      <c r="AR89" s="14">
        <f t="shared" ref="AR89:AR94" si="28">AQ89/$AQ$94</f>
        <v>7.9204094831978544E-2</v>
      </c>
      <c r="AS89" s="292">
        <f>C$26</f>
        <v>91.827816131226001</v>
      </c>
      <c r="AT89" s="48">
        <v>10080</v>
      </c>
      <c r="AU89" s="14">
        <f t="shared" ref="AU89:AU94" si="29">AT89/$AT$94</f>
        <v>0.40465676435166598</v>
      </c>
      <c r="AV89" s="5">
        <v>75.370182349290388</v>
      </c>
      <c r="AW89" s="6">
        <v>-13.6970433307365</v>
      </c>
      <c r="AX89" s="6">
        <v>-7.9983140944995803</v>
      </c>
      <c r="AY89" s="6">
        <f>AX89*$BP$89</f>
        <v>-6.4428734859774384</v>
      </c>
      <c r="AZ89" s="290">
        <f>AX89*(1-$BP$89)</f>
        <v>-1.5554406085221419</v>
      </c>
      <c r="BA89" s="6">
        <v>63.4396836889292</v>
      </c>
      <c r="BB89" s="6">
        <f>AV89-BA89</f>
        <v>11.930498660361188</v>
      </c>
      <c r="BC89" s="5">
        <v>3.9676472024188802</v>
      </c>
      <c r="BD89" s="6">
        <v>1.31</v>
      </c>
      <c r="BE89" s="5">
        <v>-5.2874123859971274</v>
      </c>
      <c r="BF89" s="5">
        <v>-22</v>
      </c>
      <c r="BG89" s="5">
        <v>52.57480490535454</v>
      </c>
      <c r="BH89" s="6">
        <v>20.86</v>
      </c>
      <c r="BI89" s="6">
        <v>6.44</v>
      </c>
      <c r="BJ89" s="6">
        <v>25.01</v>
      </c>
      <c r="BK89" s="7">
        <v>0.51</v>
      </c>
      <c r="BL89" s="44">
        <f>B120</f>
        <v>6.3258785942492013</v>
      </c>
      <c r="BM89" s="244">
        <v>58</v>
      </c>
      <c r="BN89" s="120" t="e">
        <f t="shared" ref="BN89:BN94" si="30">AP89*BM89</f>
        <v>#REF!</v>
      </c>
      <c r="BP89">
        <f>AY95/AX95</f>
        <v>0.80552894145632337</v>
      </c>
    </row>
    <row r="90" spans="1:68" s="120" customFormat="1" ht="14.4" x14ac:dyDescent="0.3">
      <c r="A90" s="8" t="s">
        <v>1</v>
      </c>
      <c r="B90" s="60">
        <v>4902</v>
      </c>
      <c r="C90" s="124">
        <f>$C$94/5</f>
        <v>5256</v>
      </c>
      <c r="D90" s="42">
        <v>18170</v>
      </c>
      <c r="E90" s="42">
        <v>2.5</v>
      </c>
      <c r="F90" s="42">
        <v>1.64</v>
      </c>
      <c r="G90" s="46">
        <v>22219</v>
      </c>
      <c r="H90" s="58">
        <f>3.9+3.3</f>
        <v>7.1999999999999993</v>
      </c>
      <c r="I90" s="58">
        <f t="shared" si="9"/>
        <v>352.94399999999996</v>
      </c>
      <c r="J90" s="106">
        <f t="shared" si="10"/>
        <v>5254.9439999999995</v>
      </c>
      <c r="K90" s="52">
        <f>33+19.9+15.8</f>
        <v>68.7</v>
      </c>
      <c r="L90" s="105">
        <f t="shared" si="11"/>
        <v>3367.6740000000004</v>
      </c>
      <c r="M90" s="42">
        <f>10.7+11.9+15.3</f>
        <v>37.900000000000006</v>
      </c>
      <c r="N90" s="105">
        <f t="shared" si="12"/>
        <v>1534.3259999999998</v>
      </c>
      <c r="O90" s="155">
        <f t="shared" si="13"/>
        <v>64.072945205479456</v>
      </c>
      <c r="P90" s="155">
        <f t="shared" si="14"/>
        <v>3367.6740000000004</v>
      </c>
      <c r="Q90" s="155">
        <f t="shared" si="15"/>
        <v>29.191894977168946</v>
      </c>
      <c r="R90" s="155">
        <f t="shared" si="16"/>
        <v>1534.3259999999998</v>
      </c>
      <c r="S90" s="156">
        <f>C90-R90-P90</f>
        <v>353.99999999999955</v>
      </c>
      <c r="T90" s="160">
        <f t="shared" si="17"/>
        <v>6.7351598173515903</v>
      </c>
      <c r="U90" s="118">
        <v>26.412014680559402</v>
      </c>
      <c r="V90" s="130">
        <f t="shared" si="18"/>
        <v>670.50808244772747</v>
      </c>
      <c r="W90" s="118">
        <v>16.021333498912327</v>
      </c>
      <c r="X90" s="130">
        <f t="shared" si="19"/>
        <v>406.72526244346773</v>
      </c>
      <c r="Y90" s="128">
        <f t="shared" si="20"/>
        <v>2697.1659175522727</v>
      </c>
      <c r="Z90" s="128">
        <f t="shared" si="21"/>
        <v>1127.6007375565321</v>
      </c>
      <c r="AA90" s="119">
        <f t="shared" si="22"/>
        <v>353.99999999999955</v>
      </c>
      <c r="AB90" s="109">
        <f t="shared" si="23"/>
        <v>1077.2333448911952</v>
      </c>
      <c r="AC90" s="128">
        <f t="shared" si="24"/>
        <v>5255.9999999999991</v>
      </c>
      <c r="AD90" s="52">
        <v>7.1</v>
      </c>
      <c r="AE90" s="42">
        <v>24.4</v>
      </c>
      <c r="AF90" s="42">
        <v>35.6</v>
      </c>
      <c r="AG90" s="42">
        <v>21.4</v>
      </c>
      <c r="AH90" s="53">
        <v>11.6</v>
      </c>
      <c r="AI90" s="65">
        <v>48.3</v>
      </c>
      <c r="AJ90" s="123">
        <f t="shared" si="25"/>
        <v>2538.6479999999997</v>
      </c>
      <c r="AK90" s="279">
        <f>100-AO90</f>
        <v>49.303512286794316</v>
      </c>
      <c r="AL90" s="123">
        <f t="shared" si="26"/>
        <v>2591.3926057939093</v>
      </c>
      <c r="AM90" s="123">
        <v>5.2</v>
      </c>
      <c r="AN90" s="126">
        <f t="shared" si="27"/>
        <v>273.31200000000001</v>
      </c>
      <c r="AO90" s="274">
        <v>50.696487713205684</v>
      </c>
      <c r="AP90" s="123" t="e">
        <f>#REF!</f>
        <v>#REF!</v>
      </c>
      <c r="AQ90" s="62">
        <v>130.27823010846893</v>
      </c>
      <c r="AR90" s="14">
        <f t="shared" si="28"/>
        <v>0.13113863066425713</v>
      </c>
      <c r="AS90" s="292">
        <f>D$26</f>
        <v>152.03979150174126</v>
      </c>
      <c r="AT90" s="48">
        <v>16410</v>
      </c>
      <c r="AU90" s="14">
        <f t="shared" si="29"/>
        <v>0.65877157767964678</v>
      </c>
      <c r="AV90" s="5">
        <v>106.25537091663483</v>
      </c>
      <c r="AW90" s="6">
        <v>-22.139861870622202</v>
      </c>
      <c r="AX90" s="6">
        <v>-10.5927791596706</v>
      </c>
      <c r="AY90" s="6">
        <f>AX90*$BP$89</f>
        <v>-8.5327901835700608</v>
      </c>
      <c r="AZ90" s="290">
        <f>AX90*(1-$BP$89)</f>
        <v>-2.0599889761005392</v>
      </c>
      <c r="BA90" s="6">
        <v>88.105165691373614</v>
      </c>
      <c r="BB90" s="6">
        <f>AV90-BA90</f>
        <v>18.150205225261217</v>
      </c>
      <c r="BC90" s="5">
        <v>4.9464333040948629</v>
      </c>
      <c r="BD90" s="6">
        <v>2.0499999999999998</v>
      </c>
      <c r="BE90" s="5">
        <v>-6.9332592562133044</v>
      </c>
      <c r="BF90" s="5">
        <v>-33.08</v>
      </c>
      <c r="BG90" s="5">
        <v>35.558438864637559</v>
      </c>
      <c r="BH90" s="6">
        <v>19.46</v>
      </c>
      <c r="BI90" s="6">
        <v>4.01</v>
      </c>
      <c r="BJ90" s="6">
        <v>11.65</v>
      </c>
      <c r="BK90" s="7">
        <v>0.18</v>
      </c>
      <c r="BL90" s="44">
        <f>C120</f>
        <v>5.1037400423061348</v>
      </c>
      <c r="BM90" s="244">
        <v>65.250001398156854</v>
      </c>
      <c r="BN90" s="163" t="e">
        <f t="shared" si="30"/>
        <v>#REF!</v>
      </c>
    </row>
    <row r="91" spans="1:68" s="120" customFormat="1" x14ac:dyDescent="0.35">
      <c r="A91" s="8" t="s">
        <v>2</v>
      </c>
      <c r="B91" s="60">
        <v>4904</v>
      </c>
      <c r="C91" s="124">
        <f>$C$94/5</f>
        <v>5256</v>
      </c>
      <c r="D91" s="42">
        <v>23572</v>
      </c>
      <c r="E91" s="42">
        <v>2.48</v>
      </c>
      <c r="F91" s="42">
        <v>1.64</v>
      </c>
      <c r="G91" s="46">
        <v>27066</v>
      </c>
      <c r="H91" s="58">
        <f>4.4+4</f>
        <v>8.4</v>
      </c>
      <c r="I91" s="58">
        <f t="shared" si="9"/>
        <v>411.93599999999998</v>
      </c>
      <c r="J91" s="106">
        <f t="shared" si="10"/>
        <v>5315.9359999999997</v>
      </c>
      <c r="K91" s="52">
        <f>30.2+17.5+14.4</f>
        <v>62.1</v>
      </c>
      <c r="L91" s="105">
        <f t="shared" si="11"/>
        <v>3045.384</v>
      </c>
      <c r="M91" s="42">
        <f>13.1+12.8+14.1</f>
        <v>40</v>
      </c>
      <c r="N91" s="105">
        <f t="shared" si="12"/>
        <v>1858.6160000000004</v>
      </c>
      <c r="O91" s="155">
        <f t="shared" si="13"/>
        <v>57.941095890410963</v>
      </c>
      <c r="P91" s="155">
        <f t="shared" si="14"/>
        <v>3045.384</v>
      </c>
      <c r="Q91" s="155">
        <f t="shared" si="15"/>
        <v>35.361796042617968</v>
      </c>
      <c r="R91" s="155">
        <f t="shared" si="16"/>
        <v>1858.6160000000004</v>
      </c>
      <c r="S91" s="156">
        <f>C91-R91-P91</f>
        <v>351.99999999999955</v>
      </c>
      <c r="T91" s="160">
        <f t="shared" si="17"/>
        <v>6.6971080669710723</v>
      </c>
      <c r="U91" s="118">
        <v>18.894247879684407</v>
      </c>
      <c r="V91" s="130">
        <f t="shared" si="18"/>
        <v>390.28109574259145</v>
      </c>
      <c r="W91" s="118">
        <v>10.46870386006937</v>
      </c>
      <c r="X91" s="130">
        <f t="shared" si="19"/>
        <v>216.24238442990168</v>
      </c>
      <c r="Y91" s="128">
        <f t="shared" si="20"/>
        <v>2655.1029042574087</v>
      </c>
      <c r="Z91" s="128">
        <f t="shared" si="21"/>
        <v>1642.3736155700988</v>
      </c>
      <c r="AA91" s="119">
        <f t="shared" si="22"/>
        <v>351.99999999999955</v>
      </c>
      <c r="AB91" s="109">
        <f t="shared" si="23"/>
        <v>606.52348017249312</v>
      </c>
      <c r="AC91" s="128">
        <f t="shared" si="24"/>
        <v>5256</v>
      </c>
      <c r="AD91" s="52">
        <v>4.7</v>
      </c>
      <c r="AE91" s="42">
        <v>23.1</v>
      </c>
      <c r="AF91" s="42">
        <v>35.35</v>
      </c>
      <c r="AG91" s="42">
        <v>25.2</v>
      </c>
      <c r="AH91" s="53">
        <v>11.5</v>
      </c>
      <c r="AI91" s="65">
        <v>39.299999999999997</v>
      </c>
      <c r="AJ91" s="123">
        <f t="shared" si="25"/>
        <v>2065.6079999999997</v>
      </c>
      <c r="AK91" s="279">
        <f>100-AO91</f>
        <v>59.085586143561642</v>
      </c>
      <c r="AL91" s="123">
        <f t="shared" si="26"/>
        <v>3105.5384077055996</v>
      </c>
      <c r="AM91" s="123">
        <v>4.8</v>
      </c>
      <c r="AN91" s="126">
        <f t="shared" si="27"/>
        <v>252.28799999999998</v>
      </c>
      <c r="AO91" s="274">
        <v>40.914413856438358</v>
      </c>
      <c r="AP91" s="123" t="e">
        <f>#REF!</f>
        <v>#REF!</v>
      </c>
      <c r="AQ91" s="62">
        <v>169.1908075998067</v>
      </c>
      <c r="AR91" s="14">
        <f t="shared" si="28"/>
        <v>0.17030819969802546</v>
      </c>
      <c r="AS91" s="292">
        <f>E$26</f>
        <v>197.45229183777207</v>
      </c>
      <c r="AT91" s="48">
        <v>21040</v>
      </c>
      <c r="AU91" s="14">
        <f t="shared" si="29"/>
        <v>0.84464070654355683</v>
      </c>
      <c r="AV91" s="5">
        <v>110.18888842174584</v>
      </c>
      <c r="AW91" s="6">
        <v>-24.996566613100299</v>
      </c>
      <c r="AX91" s="6">
        <v>-10.841399375371401</v>
      </c>
      <c r="AY91" s="6">
        <f>AX91*$BP$89</f>
        <v>-8.7330609627481692</v>
      </c>
      <c r="AZ91" s="290">
        <f>AX91*(1-$BP$89)</f>
        <v>-2.108338412623231</v>
      </c>
      <c r="BA91" s="6">
        <v>94.344448188064106</v>
      </c>
      <c r="BB91" s="6">
        <f>AV91-BA91</f>
        <v>15.844440233681738</v>
      </c>
      <c r="BC91" s="5">
        <v>6.9304335636209684</v>
      </c>
      <c r="BD91" s="6">
        <v>2.3199999999999998</v>
      </c>
      <c r="BE91" s="5">
        <v>-9.8324164083238443</v>
      </c>
      <c r="BF91" s="5">
        <v>-36.21</v>
      </c>
      <c r="BG91" s="5">
        <v>30.809395383969889</v>
      </c>
      <c r="BH91" s="6">
        <v>18.739999999999998</v>
      </c>
      <c r="BI91" s="6">
        <v>3.23</v>
      </c>
      <c r="BJ91" s="6">
        <v>8.27</v>
      </c>
      <c r="BK91" s="7">
        <v>0.13</v>
      </c>
      <c r="BL91" s="44">
        <f>D120</f>
        <v>4.4483854282125179</v>
      </c>
      <c r="BM91" s="244">
        <v>108</v>
      </c>
      <c r="BN91" s="163" t="e">
        <f t="shared" si="30"/>
        <v>#REF!</v>
      </c>
    </row>
    <row r="92" spans="1:68" s="120" customFormat="1" x14ac:dyDescent="0.35">
      <c r="A92" s="8" t="s">
        <v>3</v>
      </c>
      <c r="B92" s="60">
        <v>4904</v>
      </c>
      <c r="C92" s="124">
        <f>$C$94/5</f>
        <v>5256</v>
      </c>
      <c r="D92" s="42">
        <v>31307</v>
      </c>
      <c r="E92" s="42">
        <v>4.46</v>
      </c>
      <c r="F92" s="42">
        <v>1.65</v>
      </c>
      <c r="G92" s="46">
        <v>34579</v>
      </c>
      <c r="H92" s="58">
        <f>9.5+5.7</f>
        <v>15.2</v>
      </c>
      <c r="I92" s="58">
        <f t="shared" si="9"/>
        <v>745.40800000000002</v>
      </c>
      <c r="J92" s="106">
        <f t="shared" si="10"/>
        <v>5649.4080000000004</v>
      </c>
      <c r="K92" s="52">
        <f>27.3+17.4+15.3</f>
        <v>60</v>
      </c>
      <c r="L92" s="105">
        <f t="shared" si="11"/>
        <v>2942.4</v>
      </c>
      <c r="M92" s="42">
        <f>16.5+11.5+13.6</f>
        <v>41.6</v>
      </c>
      <c r="N92" s="105">
        <f t="shared" si="12"/>
        <v>1961.6</v>
      </c>
      <c r="O92" s="155">
        <f t="shared" si="13"/>
        <v>55.981735159817354</v>
      </c>
      <c r="P92" s="155">
        <f t="shared" si="14"/>
        <v>2942.4</v>
      </c>
      <c r="Q92" s="155">
        <f t="shared" si="15"/>
        <v>37.32115677321157</v>
      </c>
      <c r="R92" s="155">
        <f t="shared" si="16"/>
        <v>1961.6</v>
      </c>
      <c r="S92" s="156">
        <f>C92-R92-P92</f>
        <v>352</v>
      </c>
      <c r="T92" s="160">
        <f t="shared" si="17"/>
        <v>6.6971080669710803</v>
      </c>
      <c r="U92" s="118">
        <v>17.253243842250981</v>
      </c>
      <c r="V92" s="130">
        <f t="shared" si="18"/>
        <v>295.62674180967997</v>
      </c>
      <c r="W92" s="118">
        <v>7.8789940015974738</v>
      </c>
      <c r="X92" s="130">
        <f t="shared" si="19"/>
        <v>135.00309546001202</v>
      </c>
      <c r="Y92" s="128">
        <f t="shared" si="20"/>
        <v>2646.7732581903201</v>
      </c>
      <c r="Z92" s="128">
        <f t="shared" si="21"/>
        <v>1826.5969045399879</v>
      </c>
      <c r="AA92" s="119">
        <f t="shared" si="22"/>
        <v>352</v>
      </c>
      <c r="AB92" s="109">
        <f t="shared" si="23"/>
        <v>430.62983726969196</v>
      </c>
      <c r="AC92" s="128">
        <f t="shared" si="24"/>
        <v>5256</v>
      </c>
      <c r="AD92" s="52">
        <v>3.8</v>
      </c>
      <c r="AE92" s="42">
        <v>19.7</v>
      </c>
      <c r="AF92" s="42">
        <v>33</v>
      </c>
      <c r="AG92" s="42">
        <v>31.4</v>
      </c>
      <c r="AH92" s="53">
        <v>12.2</v>
      </c>
      <c r="AI92" s="65">
        <v>32.6</v>
      </c>
      <c r="AJ92" s="123">
        <f t="shared" si="25"/>
        <v>1713.4560000000001</v>
      </c>
      <c r="AK92" s="279">
        <f>100-AO92</f>
        <v>65.291561524639206</v>
      </c>
      <c r="AL92" s="123">
        <f t="shared" si="26"/>
        <v>3431.7244737350366</v>
      </c>
      <c r="AM92" s="123">
        <v>4.0999999999999996</v>
      </c>
      <c r="AN92" s="126">
        <f t="shared" si="27"/>
        <v>215.49599999999998</v>
      </c>
      <c r="AO92" s="274">
        <v>34.708438475360801</v>
      </c>
      <c r="AP92" s="123" t="e">
        <f>#REF!</f>
        <v>#REF!</v>
      </c>
      <c r="AQ92" s="62">
        <v>217.97504297458457</v>
      </c>
      <c r="AR92" s="14">
        <f t="shared" si="28"/>
        <v>0.2194146223115708</v>
      </c>
      <c r="AS92" s="292">
        <f>F$26</f>
        <v>254.38540313946555</v>
      </c>
      <c r="AT92" s="48">
        <v>26750</v>
      </c>
      <c r="AU92" s="14">
        <f t="shared" si="29"/>
        <v>1.0738659173022882</v>
      </c>
      <c r="AV92" s="5">
        <v>109.38363273785353</v>
      </c>
      <c r="AW92" s="6">
        <v>-25.724677217664599</v>
      </c>
      <c r="AX92" s="6">
        <v>-11.302353963400099</v>
      </c>
      <c r="AY92" s="6">
        <f>AX92*$BP$89</f>
        <v>-9.1043732241023623</v>
      </c>
      <c r="AZ92" s="290">
        <f>AX92*(1-$BP$89)</f>
        <v>-2.1979807392977362</v>
      </c>
      <c r="BA92" s="6">
        <v>94.137057527571869</v>
      </c>
      <c r="BB92" s="6">
        <f>AV92-BA92</f>
        <v>15.246575210281662</v>
      </c>
      <c r="BC92" s="5">
        <v>8.910374878666687</v>
      </c>
      <c r="BD92" s="6">
        <v>3.8</v>
      </c>
      <c r="BE92" s="5">
        <v>-12.841212214119132</v>
      </c>
      <c r="BF92" s="5">
        <v>-37.43</v>
      </c>
      <c r="BG92" s="5">
        <v>27.953574019759788</v>
      </c>
      <c r="BH92" s="6">
        <v>18.25</v>
      </c>
      <c r="BI92" s="6">
        <v>2.9</v>
      </c>
      <c r="BJ92" s="6">
        <v>6.07</v>
      </c>
      <c r="BK92" s="7">
        <v>0.56000000000000005</v>
      </c>
      <c r="BL92" s="44">
        <f>E120</f>
        <v>3.6785332138002835</v>
      </c>
      <c r="BM92" s="245">
        <v>111.36928174629223</v>
      </c>
      <c r="BN92" s="163" t="e">
        <f t="shared" si="30"/>
        <v>#REF!</v>
      </c>
    </row>
    <row r="93" spans="1:68" s="120" customFormat="1" ht="15" thickBot="1" x14ac:dyDescent="0.4">
      <c r="A93" s="8" t="s">
        <v>4</v>
      </c>
      <c r="B93" s="60">
        <v>4905</v>
      </c>
      <c r="C93" s="124">
        <f>$C$94/5</f>
        <v>5256</v>
      </c>
      <c r="D93" s="42">
        <v>52936</v>
      </c>
      <c r="E93" s="42">
        <v>2.67</v>
      </c>
      <c r="F93" s="42">
        <v>1.56</v>
      </c>
      <c r="G93" s="46">
        <v>50301</v>
      </c>
      <c r="H93" s="58">
        <f>20.6+9.7</f>
        <v>30.3</v>
      </c>
      <c r="I93" s="58">
        <f t="shared" si="9"/>
        <v>1486.2149999999999</v>
      </c>
      <c r="J93" s="106">
        <f t="shared" si="10"/>
        <v>6391.2150000000001</v>
      </c>
      <c r="K93" s="52">
        <f>26.9+16.4+15.1</f>
        <v>58.4</v>
      </c>
      <c r="L93" s="105">
        <f t="shared" si="11"/>
        <v>2864.52</v>
      </c>
      <c r="M93" s="55">
        <f>AVERAGE(M88:M92)</f>
        <v>35.42</v>
      </c>
      <c r="N93" s="105">
        <f t="shared" si="12"/>
        <v>2040.48</v>
      </c>
      <c r="O93" s="155">
        <f t="shared" si="13"/>
        <v>54.5</v>
      </c>
      <c r="P93" s="155">
        <f t="shared" si="14"/>
        <v>2864.52</v>
      </c>
      <c r="Q93" s="155">
        <f t="shared" si="15"/>
        <v>38.821917808219176</v>
      </c>
      <c r="R93" s="155">
        <f t="shared" si="16"/>
        <v>2040.48</v>
      </c>
      <c r="S93" s="156">
        <f>C93-R93-P93</f>
        <v>351</v>
      </c>
      <c r="T93" s="160">
        <f t="shared" si="17"/>
        <v>6.6780821917808222</v>
      </c>
      <c r="U93" s="118">
        <v>8</v>
      </c>
      <c r="V93" s="130">
        <f t="shared" si="18"/>
        <v>101.33568000000001</v>
      </c>
      <c r="W93" s="118">
        <v>6.4105446452170698</v>
      </c>
      <c r="X93" s="130">
        <f t="shared" si="19"/>
        <v>81.202112599178832</v>
      </c>
      <c r="Y93" s="128">
        <f t="shared" si="20"/>
        <v>2763.1843199999998</v>
      </c>
      <c r="Z93" s="128">
        <f t="shared" si="21"/>
        <v>1959.2778874008211</v>
      </c>
      <c r="AA93" s="119">
        <f t="shared" si="22"/>
        <v>351</v>
      </c>
      <c r="AB93" s="109">
        <f t="shared" si="23"/>
        <v>182.53779259917883</v>
      </c>
      <c r="AC93" s="128">
        <f t="shared" si="24"/>
        <v>5256</v>
      </c>
      <c r="AD93" s="52">
        <v>3.4</v>
      </c>
      <c r="AE93" s="42">
        <v>15.2</v>
      </c>
      <c r="AF93" s="42">
        <v>29.7</v>
      </c>
      <c r="AG93" s="42">
        <v>33.6</v>
      </c>
      <c r="AH93" s="53">
        <v>18.100000000000001</v>
      </c>
      <c r="AI93" s="65">
        <v>24.1</v>
      </c>
      <c r="AJ93" s="123">
        <f t="shared" si="25"/>
        <v>1266.6960000000001</v>
      </c>
      <c r="AK93" s="279">
        <f>100-AO93</f>
        <v>74.615463004429472</v>
      </c>
      <c r="AL93" s="123">
        <f t="shared" si="26"/>
        <v>3921.7887355128128</v>
      </c>
      <c r="AM93" s="123">
        <v>4.2</v>
      </c>
      <c r="AN93" s="126">
        <f t="shared" si="27"/>
        <v>220.75200000000001</v>
      </c>
      <c r="AO93" s="274">
        <v>25.384536995570535</v>
      </c>
      <c r="AP93" s="123" t="e">
        <f>#REF!</f>
        <v>#REF!</v>
      </c>
      <c r="AQ93" s="62">
        <v>397.31048255135386</v>
      </c>
      <c r="AR93" s="14">
        <f t="shared" si="28"/>
        <v>0.39993445249416809</v>
      </c>
      <c r="AS93" s="292">
        <f>G$26</f>
        <v>463.67687738979498</v>
      </c>
      <c r="AT93" s="48">
        <v>50030</v>
      </c>
      <c r="AU93" s="14">
        <f t="shared" si="29"/>
        <v>2.0084303492573263</v>
      </c>
      <c r="AV93" s="5">
        <v>104</v>
      </c>
      <c r="AW93" s="6">
        <v>-18.986883149912799</v>
      </c>
      <c r="AX93" s="6">
        <v>-10.2364287670345</v>
      </c>
      <c r="AY93" s="6">
        <f>AX93*$BP$89</f>
        <v>-8.2457396290023581</v>
      </c>
      <c r="AZ93" s="290">
        <f>AX93*(1-$BP$89)</f>
        <v>-1.9906891380321419</v>
      </c>
      <c r="BA93" s="6">
        <v>71.022481663957635</v>
      </c>
      <c r="BB93" s="6">
        <f>AV93-BA93</f>
        <v>32.977518336042365</v>
      </c>
      <c r="BC93" s="5">
        <v>14.83663726452386</v>
      </c>
      <c r="BD93" s="6">
        <v>17.39</v>
      </c>
      <c r="BE93" s="5">
        <v>-19.422980776047932</v>
      </c>
      <c r="BF93" s="5">
        <v>-29.55</v>
      </c>
      <c r="BG93" s="5">
        <v>26.037110140096885</v>
      </c>
      <c r="BH93" s="6">
        <v>19.559999999999999</v>
      </c>
      <c r="BI93" s="6">
        <v>1.96</v>
      </c>
      <c r="BJ93" s="6">
        <v>3.18</v>
      </c>
      <c r="BK93" s="7">
        <v>3.53</v>
      </c>
      <c r="BL93" s="44">
        <f>F120</f>
        <v>2.9581916860499793</v>
      </c>
      <c r="BM93" s="245">
        <v>113.91835173393197</v>
      </c>
      <c r="BN93" s="163" t="e">
        <f t="shared" si="30"/>
        <v>#REF!</v>
      </c>
    </row>
    <row r="94" spans="1:68" s="120" customFormat="1" ht="15" thickBot="1" x14ac:dyDescent="0.4">
      <c r="A94" s="8" t="s">
        <v>7</v>
      </c>
      <c r="B94" s="60">
        <v>24522</v>
      </c>
      <c r="C94" s="124">
        <f>'évolution men'!E52</f>
        <v>26280</v>
      </c>
      <c r="D94" s="42">
        <v>27534</v>
      </c>
      <c r="E94" s="42">
        <v>2.42</v>
      </c>
      <c r="F94" s="42">
        <v>1.62</v>
      </c>
      <c r="G94" s="46">
        <v>29963</v>
      </c>
      <c r="H94" s="58">
        <f>8.2+5.1</f>
        <v>13.299999999999999</v>
      </c>
      <c r="I94" s="58">
        <f t="shared" si="9"/>
        <v>3261.4259999999999</v>
      </c>
      <c r="J94" s="106">
        <f t="shared" si="10"/>
        <v>27783.425999999999</v>
      </c>
      <c r="K94" s="54">
        <f>AVERAGE(K89:K93)</f>
        <v>64.58</v>
      </c>
      <c r="L94" s="113">
        <f t="shared" si="11"/>
        <v>15836.3076</v>
      </c>
      <c r="M94"/>
      <c r="N94" s="105">
        <f t="shared" si="12"/>
        <v>8685.6923999999999</v>
      </c>
      <c r="O94" s="155">
        <f t="shared" si="13"/>
        <v>60.259922374429223</v>
      </c>
      <c r="P94" s="157">
        <f t="shared" si="14"/>
        <v>15836.3076</v>
      </c>
      <c r="Q94" s="155">
        <f t="shared" si="15"/>
        <v>33.0505799086758</v>
      </c>
      <c r="R94" s="155">
        <f t="shared" si="16"/>
        <v>8685.6923999999999</v>
      </c>
      <c r="S94" s="156">
        <f>C94-B94</f>
        <v>1758</v>
      </c>
      <c r="T94" s="157">
        <f t="shared" si="17"/>
        <v>6.6894977168949774</v>
      </c>
      <c r="U94" s="116">
        <f>SUMPRODUCT(U89:U93,AJ89:AJ93)/SUM(AJ89:AJ93)</f>
        <v>24.999999999999989</v>
      </c>
      <c r="V94" s="130">
        <f t="shared" si="18"/>
        <v>0</v>
      </c>
      <c r="W94" s="116">
        <f>SUMPRODUCT(W89:W93,AJ89:AJ93)/SUM(AJ89:AJ93)</f>
        <v>17.999999000000003</v>
      </c>
      <c r="X94" s="130">
        <f t="shared" si="19"/>
        <v>0</v>
      </c>
      <c r="Y94" s="165">
        <f t="shared" si="20"/>
        <v>15836.3076</v>
      </c>
      <c r="Z94" s="128">
        <f t="shared" si="21"/>
        <v>8685.6923999999999</v>
      </c>
      <c r="AA94" s="119">
        <f t="shared" si="22"/>
        <v>1758</v>
      </c>
      <c r="AB94" s="109">
        <f t="shared" si="23"/>
        <v>0</v>
      </c>
      <c r="AC94" s="128">
        <f t="shared" si="24"/>
        <v>26280</v>
      </c>
      <c r="AD94" s="54">
        <v>6.2</v>
      </c>
      <c r="AE94" s="55">
        <v>21.6</v>
      </c>
      <c r="AF94" s="55">
        <v>33.5</v>
      </c>
      <c r="AG94" s="55">
        <v>25.7</v>
      </c>
      <c r="AH94" s="56">
        <v>13.1</v>
      </c>
      <c r="AI94" s="275"/>
      <c r="AJ94" s="58">
        <f t="shared" si="25"/>
        <v>0</v>
      </c>
      <c r="AK94" s="277" t="e">
        <f>100*#REF!/#REF!</f>
        <v>#REF!</v>
      </c>
      <c r="AL94" s="123" t="e">
        <f t="shared" si="26"/>
        <v>#REF!</v>
      </c>
      <c r="AM94" s="123"/>
      <c r="AN94" s="66">
        <f t="shared" si="27"/>
        <v>0</v>
      </c>
      <c r="AO94" s="274" t="e">
        <f>100*#REF!/#REF!</f>
        <v>#REF!</v>
      </c>
      <c r="AP94" s="123" t="e">
        <f>#REF!</f>
        <v>#REF!</v>
      </c>
      <c r="AQ94" s="62">
        <v>993.43899999999996</v>
      </c>
      <c r="AR94" s="13">
        <f t="shared" si="28"/>
        <v>1</v>
      </c>
      <c r="AS94" s="292">
        <f>H$26</f>
        <v>1159.3821799999998</v>
      </c>
      <c r="AT94" s="48">
        <v>24910</v>
      </c>
      <c r="AU94" s="14">
        <f t="shared" si="29"/>
        <v>1</v>
      </c>
      <c r="AV94" s="121">
        <f>SUMPRODUCT(AV89:AV93,$AS$89:$AS$93)/$AS$94</f>
        <v>104.26343365049826</v>
      </c>
      <c r="AW94" s="281">
        <f>SUMPRODUCT(AW89:AW93,$AS$89:$AS$93)/$AS$94</f>
        <v>-21.483252399135516</v>
      </c>
      <c r="AX94" s="281">
        <f>SUMPRODUCT(AX89:AX93,$AS$89:$AS$93)/$AS$94</f>
        <v>-10.442803252342191</v>
      </c>
      <c r="AY94" s="281">
        <f>SUMPRODUCT(AY89:AY93,$AS$89:$AS$93)/$AS$94</f>
        <v>-8.4119802496958567</v>
      </c>
      <c r="AZ94" s="281" t="e">
        <f ca="1">SOMM
                                                                                                                                                                                                                                                                EPROD(AZ89:AZ93,$AS$89:$AS$93)/$AS$94</f>
        <v>#NAME?</v>
      </c>
      <c r="BA94" s="281">
        <f>SUMPRODUCT(BA89:BA93,$AS$89:$AS$93)/$AS$94</f>
        <v>81.705690870622519</v>
      </c>
      <c r="BB94" s="281">
        <f>SUMPRODUCT(BB89:BB93,$AS$89:$AS$93)/$AS$94</f>
        <v>22.557742779875742</v>
      </c>
      <c r="BC94" s="281">
        <f>SUMPRODUCT(BC89:BC93,$AS$89:$AS$93)/$AS$94</f>
        <v>10.031980998697437</v>
      </c>
      <c r="BD94" s="281">
        <f>SUMPRODUCT(BD89:BD93,$AS$89:$AS$93)/$AS$94</f>
        <v>8.5563422740485908</v>
      </c>
      <c r="BE94" s="281">
        <f t="shared" ref="BE94:BJ94" si="31">SUMPRODUCT(BE89:BE93,$AS$89:$AS$93)/$AS$94</f>
        <v>-13.588012884576516</v>
      </c>
      <c r="BF94" s="281">
        <f t="shared" si="31"/>
        <v>-32.278168284067419</v>
      </c>
      <c r="BG94" s="281">
        <f t="shared" si="31"/>
        <v>30.620877750606439</v>
      </c>
      <c r="BH94" s="281">
        <f t="shared" si="31"/>
        <v>19.222765581234604</v>
      </c>
      <c r="BI94" s="281">
        <f t="shared" si="31"/>
        <v>3.00620969629836</v>
      </c>
      <c r="BJ94" s="281">
        <f t="shared" si="31"/>
        <v>7.5207465868517387</v>
      </c>
      <c r="BK94" s="281">
        <f>SUMPRODUCT(BK89:BK93,$AS$89:$AS$93)/$AS$94</f>
        <v>1.6207799136435117</v>
      </c>
      <c r="BL94" s="44">
        <f>G120</f>
        <v>4.0616760671494845</v>
      </c>
      <c r="BM94" s="280" t="e">
        <f>SUMPRODUCT(BM89:BM93,AP89:AP93)/SUM(AP89:AP93)</f>
        <v>#REF!</v>
      </c>
      <c r="BN94" s="163" t="e">
        <f t="shared" si="30"/>
        <v>#REF!</v>
      </c>
    </row>
    <row r="95" spans="1:68" s="120" customFormat="1" x14ac:dyDescent="0.35">
      <c r="A95" s="18" t="s">
        <v>38</v>
      </c>
      <c r="B95" s="18"/>
      <c r="C95" s="18"/>
      <c r="D95" s="18"/>
      <c r="E95" s="18"/>
      <c r="F95" s="18"/>
      <c r="G95"/>
      <c r="H95"/>
      <c r="I95"/>
      <c r="J95"/>
      <c r="K95"/>
      <c r="L95"/>
      <c r="M95"/>
      <c r="N95"/>
      <c r="O95"/>
      <c r="P95"/>
      <c r="Q95"/>
      <c r="R95"/>
      <c r="S95"/>
      <c r="T95"/>
      <c r="U95" s="116">
        <f>'EL 2006-ANAH'!C16+'EL 2006-ANAH'!C17</f>
        <v>25</v>
      </c>
      <c r="V95" s="130">
        <f>SUM(V89:V93)</f>
        <v>2626.6859999999992</v>
      </c>
      <c r="W95" s="115">
        <f>'EL 2006-ANAH'!C18</f>
        <v>18</v>
      </c>
      <c r="X95" s="130">
        <f>SUM(X89:X93)</f>
        <v>1891.2138149325604</v>
      </c>
      <c r="Y95" s="128">
        <f>SUM(Y89:Y93)</f>
        <v>13209.751000000002</v>
      </c>
      <c r="Z95" s="128">
        <f>SUM(Z89:Z93)</f>
        <v>6794.34918506744</v>
      </c>
      <c r="AA95" s="119">
        <f>SUM(AA89:AA93)</f>
        <v>1757.9999999999986</v>
      </c>
      <c r="AB95" s="128">
        <f>SUM(AB89:AB93)</f>
        <v>4517.8998149325589</v>
      </c>
      <c r="AC95" s="128">
        <f t="shared" si="24"/>
        <v>26280.000000000004</v>
      </c>
      <c r="AD95"/>
      <c r="AE95"/>
      <c r="AF95"/>
      <c r="AG95"/>
      <c r="AH95"/>
      <c r="AI95" s="278"/>
      <c r="AJ95" s="123">
        <f>SUM(AJ89:AJ93)</f>
        <v>10506.744000000001</v>
      </c>
      <c r="AK95" s="116" t="e">
        <f>SUMPRODUCT(AK89:AK93,AP89:AP93)/SUM(AP89:AP93)</f>
        <v>#REF!</v>
      </c>
      <c r="AL95" s="123">
        <f>SUM(AL89:AL93)</f>
        <v>15105.096696482395</v>
      </c>
      <c r="AM95" s="278"/>
      <c r="AN95" s="123">
        <f>SUM(AN89:AN93)</f>
        <v>1366.56</v>
      </c>
      <c r="AO95" s="116" t="e">
        <f>SUMPRODUCT(AO89:AO93,$AP$89:$AP$93)/SUM($AP$89:$AP$93)</f>
        <v>#REF!</v>
      </c>
      <c r="AP95" s="123"/>
      <c r="AQ95"/>
      <c r="AR95"/>
      <c r="AS95" s="316" t="s">
        <v>653</v>
      </c>
      <c r="AT95" s="317"/>
      <c r="AU95" s="317"/>
      <c r="AV95" s="320">
        <f>100*J27/J26</f>
        <v>104.26343365049824</v>
      </c>
      <c r="AW95" s="318">
        <f>100*J31/J26</f>
        <v>-21.483252399135548</v>
      </c>
      <c r="AX95" s="319">
        <f>100*J32/J26</f>
        <v>-10.442803252332206</v>
      </c>
      <c r="AY95" s="319">
        <f>100*J33/J26</f>
        <v>-8.4119802496878133</v>
      </c>
      <c r="AZ95" s="319">
        <f>100*J34/J26</f>
        <v>-2.0308230026443916</v>
      </c>
      <c r="BA95" s="319">
        <f>100*J28/J26</f>
        <v>81.705690870632509</v>
      </c>
      <c r="BB95" s="319">
        <f>100*J30/J26</f>
        <v>22.557742779865741</v>
      </c>
      <c r="BC95" s="317">
        <f>100*J35/J26</f>
        <v>10.031980998707436</v>
      </c>
      <c r="BD95" s="317"/>
      <c r="BE95" s="317">
        <f>100*J37/J26</f>
        <v>-13.588012884586515</v>
      </c>
      <c r="BF95" s="317"/>
      <c r="BG95" s="317">
        <f>100*J38/J26</f>
        <v>30.620877750596442</v>
      </c>
      <c r="BI95" s="317"/>
      <c r="BJ95" s="317"/>
      <c r="BK95" s="317"/>
      <c r="BL95" s="317"/>
      <c r="BM95" s="320" t="e">
        <f>#REF!</f>
        <v>#REF!</v>
      </c>
      <c r="BN95" s="317" t="e">
        <f>SUM(BN89:BN93)</f>
        <v>#REF!</v>
      </c>
    </row>
    <row r="96" spans="1:68" s="120" customFormat="1" x14ac:dyDescent="0.35">
      <c r="A96" s="24"/>
      <c r="B96" s="24"/>
      <c r="C96" s="24"/>
      <c r="D96" s="24"/>
      <c r="E96" s="24"/>
      <c r="F96" s="24"/>
      <c r="G96"/>
      <c r="H96"/>
      <c r="I96"/>
      <c r="J96"/>
      <c r="K96"/>
      <c r="L96"/>
      <c r="M96" s="24">
        <v>12</v>
      </c>
      <c r="N96"/>
      <c r="O96"/>
      <c r="P96"/>
      <c r="Q96"/>
      <c r="R96"/>
      <c r="S96"/>
      <c r="T96"/>
      <c r="U96" s="117">
        <f>U94-U95</f>
        <v>0</v>
      </c>
      <c r="V96" s="130" t="e">
        <f>V95/AJ94</f>
        <v>#DIV/0!</v>
      </c>
      <c r="W96" s="117">
        <f>W94-W95</f>
        <v>-9.9999999747524271E-7</v>
      </c>
      <c r="X96" s="130" t="e">
        <f>X95/AJ94</f>
        <v>#DIV/0!</v>
      </c>
      <c r="Y96"/>
      <c r="Z96"/>
      <c r="AA96"/>
      <c r="AB96"/>
      <c r="AC96"/>
      <c r="AD96"/>
      <c r="AE96"/>
      <c r="AF96"/>
      <c r="AG96"/>
      <c r="AH96"/>
      <c r="AI96" s="276"/>
      <c r="AJ96"/>
      <c r="AK96"/>
      <c r="AL96"/>
      <c r="AM96"/>
      <c r="AN96"/>
      <c r="AO96" s="276" t="e">
        <f>AO95-AO94</f>
        <v>#REF!</v>
      </c>
      <c r="AP96"/>
      <c r="AQ96"/>
      <c r="AR96"/>
      <c r="AS96" s="312"/>
      <c r="AT96" s="312"/>
      <c r="AU96" s="312"/>
      <c r="AV96" s="313">
        <f t="shared" ref="AV96:BN96" si="32">AV94-AV95</f>
        <v>0</v>
      </c>
      <c r="AW96" s="313">
        <f t="shared" si="32"/>
        <v>3.1974423109204508E-14</v>
      </c>
      <c r="AX96" s="313">
        <f t="shared" si="32"/>
        <v>-9.9849017942688079E-12</v>
      </c>
      <c r="AY96" s="313">
        <f t="shared" si="32"/>
        <v>-8.0433437688043341E-12</v>
      </c>
      <c r="AZ96" s="313" t="e">
        <f t="shared" ca="1" si="32"/>
        <v>#NAME?</v>
      </c>
      <c r="BA96" s="313">
        <f t="shared" si="32"/>
        <v>-9.9902308647870086E-12</v>
      </c>
      <c r="BB96" s="313">
        <f t="shared" si="32"/>
        <v>1.000088900582341E-11</v>
      </c>
      <c r="BC96" s="313">
        <f t="shared" si="32"/>
        <v>-9.9991126489840099E-12</v>
      </c>
      <c r="BD96" s="313">
        <f t="shared" si="32"/>
        <v>8.5563422740485908</v>
      </c>
      <c r="BE96" s="313">
        <f t="shared" si="32"/>
        <v>9.9991126489840099E-12</v>
      </c>
      <c r="BF96" s="313">
        <f t="shared" si="32"/>
        <v>-32.278168284067419</v>
      </c>
      <c r="BG96" s="313">
        <f t="shared" si="32"/>
        <v>9.9973362921446096E-12</v>
      </c>
      <c r="BH96" s="313">
        <f t="shared" si="32"/>
        <v>19.222765581234604</v>
      </c>
      <c r="BI96" s="313">
        <f t="shared" si="32"/>
        <v>3.00620969629836</v>
      </c>
      <c r="BJ96" s="313">
        <f t="shared" si="32"/>
        <v>7.5207465868517387</v>
      </c>
      <c r="BK96" s="313">
        <f t="shared" si="32"/>
        <v>1.6207799136435117</v>
      </c>
      <c r="BL96" s="313">
        <f t="shared" si="32"/>
        <v>4.0616760671494845</v>
      </c>
      <c r="BM96" s="313" t="e">
        <f t="shared" si="32"/>
        <v>#REF!</v>
      </c>
      <c r="BN96" s="313" t="e">
        <f t="shared" si="32"/>
        <v>#REF!</v>
      </c>
    </row>
    <row r="97" spans="1:61" s="120" customFormat="1" x14ac:dyDescent="0.35">
      <c r="A97" s="24"/>
      <c r="B97" s="24">
        <v>1</v>
      </c>
      <c r="C97" s="24">
        <v>2</v>
      </c>
      <c r="D97" s="24">
        <v>3</v>
      </c>
      <c r="E97" s="24">
        <v>4</v>
      </c>
      <c r="F97" s="24">
        <v>5</v>
      </c>
      <c r="G97" s="24">
        <v>6</v>
      </c>
      <c r="H97" s="24">
        <v>7</v>
      </c>
      <c r="I97" s="24">
        <v>8</v>
      </c>
      <c r="J97" s="24">
        <v>9</v>
      </c>
      <c r="K97" s="24">
        <v>10</v>
      </c>
      <c r="L97" s="24">
        <v>11</v>
      </c>
      <c r="M97"/>
      <c r="N97" s="24">
        <v>13</v>
      </c>
      <c r="O97" s="24">
        <v>14</v>
      </c>
      <c r="P97" s="24">
        <v>15</v>
      </c>
      <c r="Q97" s="24">
        <v>16</v>
      </c>
      <c r="R97" s="24">
        <v>17</v>
      </c>
      <c r="S97" s="24">
        <v>18</v>
      </c>
      <c r="T97" s="24">
        <v>19</v>
      </c>
      <c r="U97" s="24">
        <v>20</v>
      </c>
      <c r="V97" s="24">
        <v>21</v>
      </c>
      <c r="W97" s="24">
        <v>22</v>
      </c>
      <c r="X97" s="24">
        <v>23</v>
      </c>
      <c r="Y97" s="24">
        <v>24</v>
      </c>
      <c r="Z97" s="24">
        <v>25</v>
      </c>
      <c r="AA97" s="24">
        <v>26</v>
      </c>
      <c r="AB97" s="24">
        <v>27</v>
      </c>
      <c r="AC97" s="24">
        <v>28</v>
      </c>
      <c r="AD97" s="24">
        <v>29</v>
      </c>
      <c r="AE97" s="24">
        <v>30</v>
      </c>
      <c r="AF97" s="24">
        <v>31</v>
      </c>
      <c r="AG97" s="24">
        <v>32</v>
      </c>
      <c r="AH97" s="24">
        <v>33</v>
      </c>
      <c r="AI97" s="24">
        <v>34</v>
      </c>
      <c r="AJ97" s="24">
        <v>35</v>
      </c>
      <c r="AK97" s="24">
        <v>36</v>
      </c>
      <c r="AL97" s="24">
        <v>37</v>
      </c>
      <c r="AM97" s="24">
        <v>38</v>
      </c>
      <c r="AN97" s="24">
        <v>39</v>
      </c>
      <c r="AO97" s="24">
        <v>40</v>
      </c>
      <c r="AP97" s="24">
        <v>41</v>
      </c>
      <c r="AQ97" s="24">
        <v>42</v>
      </c>
      <c r="AR97" s="24">
        <v>43</v>
      </c>
      <c r="AS97" s="24"/>
      <c r="AT97" s="24">
        <v>44</v>
      </c>
      <c r="AU97" s="24">
        <v>45</v>
      </c>
      <c r="AV97" s="24">
        <v>46</v>
      </c>
      <c r="AW97" s="24">
        <v>47</v>
      </c>
      <c r="AX97" s="24">
        <v>48</v>
      </c>
      <c r="AY97" s="24"/>
      <c r="AZ97" s="24"/>
      <c r="BA97" s="24">
        <v>49</v>
      </c>
      <c r="BB97" s="24">
        <v>50</v>
      </c>
      <c r="BC97" s="24">
        <v>51</v>
      </c>
      <c r="BD97" s="24">
        <v>52</v>
      </c>
      <c r="BE97" s="24">
        <v>53</v>
      </c>
      <c r="BF97" s="24">
        <v>54</v>
      </c>
      <c r="BG97" s="24">
        <v>55</v>
      </c>
      <c r="BH97" s="24">
        <v>56</v>
      </c>
      <c r="BI97" s="243">
        <v>57</v>
      </c>
    </row>
    <row r="98" spans="1:61" s="120" customFormat="1" x14ac:dyDescent="0.35">
      <c r="A98" s="24"/>
      <c r="B98" s="24"/>
      <c r="C98" s="24"/>
      <c r="D98" s="24"/>
      <c r="E98" s="24"/>
      <c r="F98" s="24"/>
      <c r="G98"/>
      <c r="H98"/>
      <c r="I98"/>
      <c r="J98"/>
      <c r="K98"/>
      <c r="L98"/>
      <c r="M98" s="134"/>
      <c r="N98"/>
      <c r="O98"/>
      <c r="P98"/>
      <c r="Q98"/>
      <c r="R98"/>
      <c r="S98"/>
      <c r="T98"/>
      <c r="U98" s="161"/>
      <c r="V98" s="162"/>
      <c r="W98" s="161"/>
      <c r="X98"/>
      <c r="Y98"/>
      <c r="Z98"/>
      <c r="AA98"/>
      <c r="AB98"/>
      <c r="AC98"/>
      <c r="AD98"/>
      <c r="AE98"/>
      <c r="AF98"/>
      <c r="AG98"/>
      <c r="AH98"/>
      <c r="AI98"/>
      <c r="AJ98"/>
      <c r="AK98"/>
      <c r="AL98"/>
      <c r="AM98"/>
      <c r="AN98"/>
      <c r="AO98"/>
      <c r="AP98"/>
      <c r="AQ98"/>
      <c r="AR98"/>
      <c r="AS98" s="163"/>
      <c r="AT98"/>
      <c r="AU98"/>
      <c r="AV98" s="276"/>
      <c r="AW98"/>
      <c r="AX98"/>
      <c r="AY98" s="163"/>
      <c r="AZ98" s="163"/>
      <c r="BA98"/>
      <c r="BB98"/>
      <c r="BC98"/>
      <c r="BD98"/>
      <c r="BE98"/>
      <c r="BF98"/>
      <c r="BG98"/>
      <c r="BH98"/>
      <c r="BI98"/>
    </row>
    <row r="99" spans="1:61" s="120" customFormat="1" ht="55.25" customHeight="1" x14ac:dyDescent="0.35">
      <c r="A99" s="138">
        <v>2006</v>
      </c>
      <c r="B99" s="134" t="s">
        <v>108</v>
      </c>
      <c r="C99" s="134"/>
      <c r="D99" s="134"/>
      <c r="E99" s="134"/>
      <c r="F99" s="134"/>
      <c r="G99" s="139" t="s">
        <v>473</v>
      </c>
      <c r="H99" s="139" t="s">
        <v>474</v>
      </c>
      <c r="I99" s="139" t="s">
        <v>476</v>
      </c>
      <c r="J99" s="134"/>
      <c r="K99" s="134"/>
      <c r="L99" s="139" t="s">
        <v>472</v>
      </c>
      <c r="M99" s="134"/>
      <c r="N99" s="134"/>
      <c r="O99" s="134"/>
      <c r="P99" s="134"/>
      <c r="Q99" s="134"/>
      <c r="R99" s="134"/>
      <c r="S99" s="140" t="s">
        <v>76</v>
      </c>
      <c r="T99" s="141" t="s">
        <v>21</v>
      </c>
      <c r="U99" s="142" t="s">
        <v>22</v>
      </c>
      <c r="V99" s="143"/>
      <c r="W99" s="143"/>
      <c r="X99" s="143"/>
      <c r="Y99" s="143"/>
      <c r="Z99" s="144" t="s">
        <v>24</v>
      </c>
      <c r="AA99" s="134"/>
      <c r="AB99" s="144" t="s">
        <v>23</v>
      </c>
      <c r="AC99" s="134"/>
      <c r="AD99" s="134"/>
      <c r="AE99" s="134"/>
      <c r="AF99" s="134"/>
      <c r="AG99" s="143" t="s">
        <v>48</v>
      </c>
      <c r="AH99" s="143" t="s">
        <v>49</v>
      </c>
      <c r="AI99"/>
      <c r="AJ99"/>
      <c r="AK99"/>
      <c r="AL99"/>
      <c r="AM99"/>
      <c r="AN99"/>
      <c r="AO99"/>
      <c r="AP99"/>
      <c r="AQ99"/>
      <c r="AR99"/>
      <c r="AS99"/>
      <c r="AT99"/>
      <c r="AU99"/>
      <c r="AV99"/>
      <c r="AW99"/>
      <c r="AX99"/>
      <c r="AZ99"/>
      <c r="BA99"/>
      <c r="BB99"/>
      <c r="BC99"/>
      <c r="BD99"/>
      <c r="BE99"/>
      <c r="BF99"/>
    </row>
    <row r="100" spans="1:61" s="120" customFormat="1" x14ac:dyDescent="0.35">
      <c r="A100" s="145" t="s">
        <v>25</v>
      </c>
      <c r="B100" s="134">
        <f t="shared" ref="B100:B109" si="33">$B$110/10</f>
        <v>2628</v>
      </c>
      <c r="C100" s="134"/>
      <c r="D100" s="134"/>
      <c r="E100" s="134"/>
      <c r="F100" s="134"/>
      <c r="G100" s="146"/>
      <c r="H100" s="134"/>
      <c r="I100" s="134"/>
      <c r="J100" s="134"/>
      <c r="K100" s="134"/>
      <c r="L100" s="134"/>
      <c r="M100" s="134"/>
      <c r="N100" s="134"/>
      <c r="O100" s="134">
        <f>AJ94*43/100</f>
        <v>0</v>
      </c>
      <c r="P100" s="134"/>
      <c r="Q100" s="134"/>
      <c r="R100" s="134"/>
      <c r="S100" s="147">
        <f>'depense EBF 2006'!C$8</f>
        <v>16197.23</v>
      </c>
      <c r="T100" s="148">
        <f t="shared" ref="T100:T110" si="34">100*S100/$S$110</f>
        <v>59.401925685017666</v>
      </c>
      <c r="U100" s="145">
        <v>60.3</v>
      </c>
      <c r="V100" s="134"/>
      <c r="W100" s="134"/>
      <c r="X100" s="134"/>
      <c r="Y100" s="134"/>
      <c r="Z100" s="145">
        <v>-2.2000000000000002</v>
      </c>
      <c r="AA100" s="134"/>
      <c r="AB100" s="145">
        <v>41.9</v>
      </c>
      <c r="AC100" s="134"/>
      <c r="AD100" s="134"/>
      <c r="AE100" s="134"/>
      <c r="AF100" s="134"/>
      <c r="AG100" s="143">
        <v>6.46906909391297</v>
      </c>
      <c r="AH100" s="134">
        <v>13530</v>
      </c>
      <c r="AI100"/>
      <c r="AJ100"/>
      <c r="AK100"/>
      <c r="AL100"/>
      <c r="AM100"/>
      <c r="AN100"/>
      <c r="AO100"/>
      <c r="AP100"/>
      <c r="AQ100"/>
      <c r="AR100"/>
      <c r="AS100"/>
      <c r="AT100"/>
      <c r="AU100"/>
      <c r="AV100"/>
      <c r="AW100"/>
      <c r="AX100"/>
      <c r="AY100"/>
      <c r="AZ100"/>
      <c r="BA100"/>
      <c r="BB100" s="163"/>
      <c r="BC100"/>
      <c r="BD100"/>
      <c r="BE100"/>
      <c r="BF100"/>
    </row>
    <row r="101" spans="1:61" s="120" customFormat="1" x14ac:dyDescent="0.35">
      <c r="A101" s="145" t="s">
        <v>26</v>
      </c>
      <c r="B101" s="134">
        <f t="shared" si="33"/>
        <v>2628</v>
      </c>
      <c r="C101" s="134"/>
      <c r="D101" s="134"/>
      <c r="E101" s="134"/>
      <c r="F101" s="134"/>
      <c r="G101" s="146"/>
      <c r="H101" s="134"/>
      <c r="I101" s="134"/>
      <c r="J101" s="134"/>
      <c r="K101" s="134"/>
      <c r="L101" s="134"/>
      <c r="M101" s="134"/>
      <c r="N101" s="134"/>
      <c r="O101" s="134"/>
      <c r="P101" s="134"/>
      <c r="Q101" s="134"/>
      <c r="R101" s="134"/>
      <c r="S101" s="147">
        <f>'depense EBF 2006'!D$8</f>
        <v>18179.87</v>
      </c>
      <c r="T101" s="148">
        <f t="shared" si="34"/>
        <v>66.673084638748861</v>
      </c>
      <c r="U101" s="145">
        <v>79.8</v>
      </c>
      <c r="V101" s="134"/>
      <c r="W101" s="134"/>
      <c r="X101" s="134"/>
      <c r="Y101" s="134"/>
      <c r="Z101" s="145">
        <v>-2.9</v>
      </c>
      <c r="AA101" s="134"/>
      <c r="AB101" s="145">
        <v>23.1</v>
      </c>
      <c r="AC101" s="134"/>
      <c r="AD101" s="134"/>
      <c r="AE101" s="134"/>
      <c r="AF101" s="134"/>
      <c r="AG101" s="143">
        <v>6.7163846606163853</v>
      </c>
      <c r="AH101" s="134">
        <v>15080</v>
      </c>
      <c r="AI101"/>
      <c r="AJ101"/>
      <c r="AK101"/>
      <c r="AL101"/>
      <c r="AM101"/>
      <c r="AN101"/>
      <c r="AO101"/>
      <c r="AP101"/>
      <c r="AQ101"/>
      <c r="AR101"/>
      <c r="AS101"/>
      <c r="AT101"/>
      <c r="AU101"/>
      <c r="AV101"/>
      <c r="AW101"/>
      <c r="AX101"/>
      <c r="AY101"/>
      <c r="AZ101"/>
      <c r="BA101"/>
      <c r="BB101" s="163"/>
      <c r="BC101"/>
      <c r="BD101"/>
      <c r="BE101"/>
      <c r="BF101"/>
    </row>
    <row r="102" spans="1:61" s="120" customFormat="1" x14ac:dyDescent="0.35">
      <c r="A102" s="145" t="s">
        <v>27</v>
      </c>
      <c r="B102" s="134">
        <f t="shared" si="33"/>
        <v>2628</v>
      </c>
      <c r="C102" s="134"/>
      <c r="D102" s="134"/>
      <c r="E102" s="134"/>
      <c r="F102" s="134"/>
      <c r="G102" s="134"/>
      <c r="H102" s="134"/>
      <c r="I102" s="134"/>
      <c r="J102" s="134"/>
      <c r="K102" s="134"/>
      <c r="L102" s="134"/>
      <c r="M102" s="134"/>
      <c r="N102" s="134"/>
      <c r="O102" s="134"/>
      <c r="P102" s="134"/>
      <c r="Q102" s="134"/>
      <c r="R102" s="134"/>
      <c r="S102" s="147">
        <f>'depense EBF 2006'!E$8</f>
        <v>21263.32</v>
      </c>
      <c r="T102" s="148">
        <f t="shared" si="34"/>
        <v>77.981368076933521</v>
      </c>
      <c r="U102" s="145">
        <v>87.9</v>
      </c>
      <c r="V102" s="134"/>
      <c r="W102" s="134"/>
      <c r="X102" s="134"/>
      <c r="Y102" s="134"/>
      <c r="Z102" s="145">
        <v>-3.8</v>
      </c>
      <c r="AA102" s="134"/>
      <c r="AB102" s="145">
        <v>15.9</v>
      </c>
      <c r="AC102" s="134"/>
      <c r="AD102" s="134"/>
      <c r="AE102" s="134"/>
      <c r="AF102" s="134"/>
      <c r="AG102" s="143">
        <v>6.3216374489026173</v>
      </c>
      <c r="AH102" s="134">
        <v>16470</v>
      </c>
      <c r="AI102"/>
      <c r="AJ102"/>
      <c r="AK102"/>
      <c r="AL102"/>
      <c r="AM102"/>
      <c r="AN102"/>
      <c r="AO102"/>
      <c r="AP102"/>
      <c r="AQ102"/>
      <c r="AR102"/>
      <c r="AS102"/>
      <c r="AT102"/>
      <c r="AU102"/>
      <c r="AV102"/>
      <c r="AW102"/>
      <c r="AX102"/>
      <c r="AY102"/>
      <c r="AZ102"/>
      <c r="BA102"/>
      <c r="BB102" s="163"/>
      <c r="BC102"/>
      <c r="BD102"/>
      <c r="BE102"/>
      <c r="BF102"/>
    </row>
    <row r="103" spans="1:61" s="120" customFormat="1" x14ac:dyDescent="0.35">
      <c r="A103" s="145" t="s">
        <v>28</v>
      </c>
      <c r="B103" s="134">
        <f t="shared" si="33"/>
        <v>2628</v>
      </c>
      <c r="C103" s="134"/>
      <c r="D103" s="134"/>
      <c r="E103" s="134"/>
      <c r="F103" s="134"/>
      <c r="G103" s="134"/>
      <c r="H103" s="134"/>
      <c r="I103" s="134"/>
      <c r="J103" s="134"/>
      <c r="K103" s="134"/>
      <c r="L103" s="134"/>
      <c r="M103" s="134"/>
      <c r="N103" s="134"/>
      <c r="O103" s="134"/>
      <c r="P103" s="134"/>
      <c r="Q103" s="134"/>
      <c r="R103" s="134"/>
      <c r="S103" s="147">
        <f>'depense EBF 2006'!F8</f>
        <v>23138.26</v>
      </c>
      <c r="T103" s="148">
        <f t="shared" si="34"/>
        <v>84.857546691663757</v>
      </c>
      <c r="U103" s="145">
        <v>94.4</v>
      </c>
      <c r="V103" s="134"/>
      <c r="W103" s="134"/>
      <c r="X103" s="134"/>
      <c r="Y103" s="134"/>
      <c r="Z103" s="145">
        <v>-4.9000000000000004</v>
      </c>
      <c r="AA103" s="134"/>
      <c r="AB103" s="145">
        <v>10.5</v>
      </c>
      <c r="AC103" s="134"/>
      <c r="AD103" s="134"/>
      <c r="AE103" s="134"/>
      <c r="AF103" s="134"/>
      <c r="AG103" s="143">
        <v>5.7106281976259234</v>
      </c>
      <c r="AH103" s="134">
        <v>17990</v>
      </c>
      <c r="AI103"/>
      <c r="AJ103"/>
      <c r="AK103"/>
      <c r="AL103"/>
      <c r="AM103"/>
      <c r="AN103"/>
      <c r="AO103"/>
      <c r="AP103"/>
      <c r="AQ103"/>
      <c r="AR103"/>
      <c r="AS103"/>
      <c r="AT103"/>
      <c r="AU103"/>
      <c r="AV103"/>
      <c r="AW103"/>
      <c r="AX103"/>
      <c r="AY103"/>
      <c r="AZ103"/>
      <c r="BA103"/>
      <c r="BB103" s="163"/>
      <c r="BC103"/>
      <c r="BD103"/>
      <c r="BE103"/>
      <c r="BF103"/>
    </row>
    <row r="104" spans="1:61" s="120" customFormat="1" x14ac:dyDescent="0.35">
      <c r="A104" s="145" t="s">
        <v>29</v>
      </c>
      <c r="B104" s="134">
        <f t="shared" si="33"/>
        <v>2628</v>
      </c>
      <c r="C104" s="134"/>
      <c r="D104" s="134"/>
      <c r="E104" s="134"/>
      <c r="F104" s="134"/>
      <c r="G104" s="134"/>
      <c r="H104" s="134"/>
      <c r="I104" s="134"/>
      <c r="J104" s="134"/>
      <c r="K104" s="134"/>
      <c r="L104" s="134"/>
      <c r="M104" s="134"/>
      <c r="N104" s="134"/>
      <c r="O104" s="134"/>
      <c r="P104" s="134"/>
      <c r="Q104" s="134"/>
      <c r="R104" s="134"/>
      <c r="S104" s="147">
        <f>'depense EBF 2006'!G$8</f>
        <v>24853.34</v>
      </c>
      <c r="T104" s="148">
        <f t="shared" si="34"/>
        <v>91.147452725217647</v>
      </c>
      <c r="U104" s="145">
        <v>98.6</v>
      </c>
      <c r="V104" s="134"/>
      <c r="W104" s="134"/>
      <c r="X104" s="134"/>
      <c r="Y104" s="134"/>
      <c r="Z104" s="145">
        <v>-5.7</v>
      </c>
      <c r="AA104" s="134"/>
      <c r="AB104" s="145">
        <v>7.1</v>
      </c>
      <c r="AC104" s="134"/>
      <c r="AD104" s="134"/>
      <c r="AE104" s="134"/>
      <c r="AF104" s="134"/>
      <c r="AG104" s="143">
        <v>5.3884508078189892</v>
      </c>
      <c r="AH104" s="134">
        <v>19730</v>
      </c>
      <c r="AI104"/>
      <c r="AJ104"/>
      <c r="AK104"/>
      <c r="AL104"/>
      <c r="AM104"/>
      <c r="AN104"/>
      <c r="AO104"/>
      <c r="AP104"/>
      <c r="AQ104"/>
      <c r="AR104"/>
      <c r="AS104"/>
      <c r="AT104"/>
      <c r="AU104"/>
      <c r="AV104"/>
      <c r="AW104"/>
      <c r="AX104"/>
      <c r="AY104"/>
      <c r="AZ104"/>
      <c r="BA104"/>
      <c r="BB104" s="163"/>
      <c r="BC104"/>
      <c r="BD104"/>
      <c r="BE104"/>
      <c r="BF104"/>
      <c r="BG104"/>
      <c r="BH104"/>
    </row>
    <row r="105" spans="1:61" s="120" customFormat="1" x14ac:dyDescent="0.35">
      <c r="A105" s="145" t="s">
        <v>30</v>
      </c>
      <c r="B105" s="134">
        <f t="shared" si="33"/>
        <v>2628</v>
      </c>
      <c r="C105" s="134"/>
      <c r="D105" s="134"/>
      <c r="E105" s="134"/>
      <c r="F105" s="134"/>
      <c r="G105" s="134"/>
      <c r="H105" s="134"/>
      <c r="I105" s="134"/>
      <c r="J105" s="134"/>
      <c r="K105" s="134"/>
      <c r="L105" s="134"/>
      <c r="M105" s="134"/>
      <c r="N105" s="134"/>
      <c r="O105" s="134"/>
      <c r="P105" s="134"/>
      <c r="Q105" s="134"/>
      <c r="R105" s="134"/>
      <c r="S105" s="147">
        <f>'depense EBF 2006'!H$8</f>
        <v>26430.83</v>
      </c>
      <c r="T105" s="148">
        <f t="shared" si="34"/>
        <v>96.932759456606803</v>
      </c>
      <c r="U105" s="145">
        <v>101.5</v>
      </c>
      <c r="V105" s="134"/>
      <c r="W105" s="134"/>
      <c r="X105" s="134"/>
      <c r="Y105" s="134"/>
      <c r="Z105" s="145">
        <v>-6.8</v>
      </c>
      <c r="AA105" s="134"/>
      <c r="AB105" s="145">
        <v>5.3</v>
      </c>
      <c r="AC105" s="134"/>
      <c r="AD105" s="134"/>
      <c r="AE105" s="134"/>
      <c r="AF105" s="134"/>
      <c r="AG105" s="143">
        <v>5.3941174000211118</v>
      </c>
      <c r="AH105" s="134">
        <v>21920</v>
      </c>
      <c r="AI105"/>
      <c r="AJ105"/>
      <c r="AK105"/>
      <c r="AL105"/>
      <c r="AM105"/>
      <c r="AN105"/>
      <c r="AO105"/>
      <c r="AP105"/>
      <c r="AQ105"/>
      <c r="AR105"/>
      <c r="AS105"/>
      <c r="AT105"/>
      <c r="AU105"/>
      <c r="AV105"/>
      <c r="AW105"/>
      <c r="AX105"/>
      <c r="AY105"/>
      <c r="AZ105"/>
      <c r="BA105"/>
      <c r="BB105" s="163"/>
      <c r="BC105"/>
      <c r="BD105"/>
      <c r="BE105"/>
      <c r="BF105"/>
      <c r="BG105"/>
      <c r="BH105"/>
    </row>
    <row r="106" spans="1:61" ht="21.65" customHeight="1" x14ac:dyDescent="0.35">
      <c r="A106" s="145" t="s">
        <v>31</v>
      </c>
      <c r="B106" s="134">
        <f t="shared" si="33"/>
        <v>2628</v>
      </c>
      <c r="C106" s="134"/>
      <c r="D106" s="134"/>
      <c r="E106" s="134"/>
      <c r="F106" s="134"/>
      <c r="G106" s="134"/>
      <c r="H106" s="134"/>
      <c r="I106" s="134"/>
      <c r="J106" s="134"/>
      <c r="K106" s="134"/>
      <c r="L106" s="134"/>
      <c r="M106" s="134"/>
      <c r="N106" s="134"/>
      <c r="O106" s="134"/>
      <c r="P106" s="134"/>
      <c r="Q106" s="134"/>
      <c r="R106" s="134"/>
      <c r="S106" s="147">
        <f>'depense EBF 2006'!I$8</f>
        <v>29863.02</v>
      </c>
      <c r="T106" s="148">
        <f t="shared" si="34"/>
        <v>109.52001637132993</v>
      </c>
      <c r="U106" s="145">
        <v>103.8</v>
      </c>
      <c r="V106" s="134"/>
      <c r="W106" s="134"/>
      <c r="X106" s="134"/>
      <c r="Y106" s="134"/>
      <c r="Z106" s="145">
        <v>-7.8</v>
      </c>
      <c r="AA106" s="134"/>
      <c r="AB106" s="145">
        <v>4</v>
      </c>
      <c r="AC106" s="134"/>
      <c r="AD106" s="134"/>
      <c r="AE106" s="134"/>
      <c r="AF106" s="134"/>
      <c r="AG106" s="143">
        <v>5.2798410877399542</v>
      </c>
      <c r="AH106" s="134">
        <v>24860</v>
      </c>
    </row>
    <row r="107" spans="1:61" ht="81.650000000000006" customHeight="1" x14ac:dyDescent="0.35">
      <c r="A107" s="145" t="s">
        <v>32</v>
      </c>
      <c r="B107" s="134">
        <f t="shared" si="33"/>
        <v>2628</v>
      </c>
      <c r="C107" s="134"/>
      <c r="D107" s="134"/>
      <c r="E107" s="134"/>
      <c r="F107" s="134"/>
      <c r="G107" s="134"/>
      <c r="H107" s="134"/>
      <c r="I107" s="134"/>
      <c r="J107" s="134"/>
      <c r="K107" s="134"/>
      <c r="L107" s="134"/>
      <c r="M107" s="134"/>
      <c r="N107" s="134"/>
      <c r="O107" s="134"/>
      <c r="P107" s="134"/>
      <c r="Q107" s="134"/>
      <c r="R107" s="134"/>
      <c r="S107" s="147">
        <f>'depense EBF 2006'!J$8</f>
        <v>32073.14</v>
      </c>
      <c r="T107" s="148">
        <f t="shared" si="34"/>
        <v>117.62543834749322</v>
      </c>
      <c r="U107" s="145">
        <v>106.6</v>
      </c>
      <c r="V107" s="134"/>
      <c r="W107" s="134"/>
      <c r="X107" s="134"/>
      <c r="Y107" s="134"/>
      <c r="Z107" s="145">
        <v>-9.3000000000000007</v>
      </c>
      <c r="AA107" s="134"/>
      <c r="AB107" s="145">
        <v>2.7</v>
      </c>
      <c r="AC107" s="134"/>
      <c r="AD107" s="134"/>
      <c r="AE107" s="134"/>
      <c r="AF107" s="134"/>
      <c r="AG107" s="143">
        <v>4.6962037393282978</v>
      </c>
      <c r="AH107" s="134">
        <v>29530</v>
      </c>
    </row>
    <row r="108" spans="1:61" x14ac:dyDescent="0.35">
      <c r="A108" s="145" t="s">
        <v>33</v>
      </c>
      <c r="B108" s="134">
        <f t="shared" si="33"/>
        <v>2628</v>
      </c>
      <c r="C108" s="134"/>
      <c r="D108" s="134"/>
      <c r="E108" s="134"/>
      <c r="F108" s="134"/>
      <c r="G108" s="134"/>
      <c r="H108" s="134"/>
      <c r="I108" s="134"/>
      <c r="J108" s="134"/>
      <c r="K108" s="134"/>
      <c r="L108" s="134"/>
      <c r="M108" s="134"/>
      <c r="N108" s="134"/>
      <c r="O108" s="134"/>
      <c r="P108" s="134"/>
      <c r="Q108" s="134"/>
      <c r="R108" s="134"/>
      <c r="S108" s="147">
        <f>'depense EBF 2006'!K$8</f>
        <v>35968.06</v>
      </c>
      <c r="T108" s="148">
        <f t="shared" si="34"/>
        <v>131.90971710312544</v>
      </c>
      <c r="U108" s="145">
        <v>109</v>
      </c>
      <c r="V108" s="134"/>
      <c r="W108" s="134"/>
      <c r="X108" s="134"/>
      <c r="Y108" s="134"/>
      <c r="Z108" s="145">
        <v>-10.8</v>
      </c>
      <c r="AA108" s="134"/>
      <c r="AB108" s="145">
        <v>1.8</v>
      </c>
      <c r="AC108" s="134"/>
      <c r="AD108" s="134"/>
      <c r="AE108" s="134"/>
      <c r="AF108" s="134"/>
      <c r="AG108" s="143">
        <v>4.419726835420092</v>
      </c>
      <c r="AH108" s="134">
        <v>38980</v>
      </c>
    </row>
    <row r="109" spans="1:61" x14ac:dyDescent="0.35">
      <c r="A109" s="145" t="s">
        <v>34</v>
      </c>
      <c r="B109" s="134">
        <f t="shared" si="33"/>
        <v>2628</v>
      </c>
      <c r="C109" s="134"/>
      <c r="D109" s="134"/>
      <c r="E109" s="134"/>
      <c r="F109" s="134"/>
      <c r="G109" s="134"/>
      <c r="H109" s="134"/>
      <c r="I109" s="134"/>
      <c r="J109" s="134"/>
      <c r="K109" s="134"/>
      <c r="L109" s="134"/>
      <c r="M109" s="37"/>
      <c r="N109" s="134"/>
      <c r="O109" s="134"/>
      <c r="P109" s="134"/>
      <c r="Q109" s="134"/>
      <c r="R109" s="134"/>
      <c r="S109" s="147">
        <f>'depense EBF 2006'!L$8</f>
        <v>44715.12</v>
      </c>
      <c r="T109" s="148">
        <f t="shared" si="34"/>
        <v>163.98879532096828</v>
      </c>
      <c r="U109" s="145">
        <v>117.8</v>
      </c>
      <c r="V109" s="134"/>
      <c r="W109" s="134"/>
      <c r="X109" s="134"/>
      <c r="Y109" s="134"/>
      <c r="Z109" s="145">
        <v>-18.8</v>
      </c>
      <c r="AA109" s="134"/>
      <c r="AB109" s="145">
        <v>1</v>
      </c>
      <c r="AC109" s="134"/>
      <c r="AD109" s="134"/>
      <c r="AE109" s="134"/>
      <c r="AF109" s="134"/>
      <c r="AG109" s="143">
        <v>4.0645535559336521</v>
      </c>
      <c r="AH109" s="134"/>
    </row>
    <row r="110" spans="1:61" x14ac:dyDescent="0.35">
      <c r="A110" s="137" t="s">
        <v>7</v>
      </c>
      <c r="B110" s="40">
        <f>'évolution men'!E52</f>
        <v>26280</v>
      </c>
      <c r="C110" s="37"/>
      <c r="G110" s="37">
        <f>H94</f>
        <v>13.299999999999999</v>
      </c>
      <c r="H110" s="58">
        <f>B110*G110/100</f>
        <v>3495.24</v>
      </c>
      <c r="I110" s="107">
        <f>B110+H110</f>
        <v>29775.239999999998</v>
      </c>
      <c r="J110" s="37"/>
      <c r="K110" s="37"/>
      <c r="L110" s="37"/>
      <c r="M110" s="37"/>
      <c r="N110" s="37"/>
      <c r="O110" s="37"/>
      <c r="P110" s="37"/>
      <c r="Q110" s="37">
        <f>RDB!AY12</f>
        <v>1159.3820000000001</v>
      </c>
      <c r="S110" s="103">
        <f>'depense EBF 2006'!M$8</f>
        <v>27267.18</v>
      </c>
      <c r="T110" s="38">
        <f t="shared" si="34"/>
        <v>100</v>
      </c>
      <c r="U110" s="37"/>
    </row>
    <row r="111" spans="1:61" x14ac:dyDescent="0.35">
      <c r="B111" s="36"/>
      <c r="C111" s="36"/>
      <c r="D111" s="36"/>
      <c r="E111" s="36"/>
      <c r="F111" s="36"/>
      <c r="G111" s="36"/>
      <c r="H111" s="36"/>
      <c r="I111" s="36"/>
      <c r="J111" s="36"/>
      <c r="K111" s="36"/>
      <c r="L111" s="36"/>
      <c r="N111" s="37"/>
      <c r="O111" s="37"/>
      <c r="P111" s="37"/>
      <c r="Q111" s="37"/>
    </row>
    <row r="112" spans="1:61" x14ac:dyDescent="0.35">
      <c r="A112" s="23"/>
      <c r="B112" s="22"/>
      <c r="C112" s="21"/>
      <c r="M112" s="134"/>
    </row>
    <row r="113" spans="1:23" x14ac:dyDescent="0.35">
      <c r="A113" s="134"/>
      <c r="B113" s="134" t="s">
        <v>0</v>
      </c>
      <c r="C113" s="134" t="s">
        <v>1</v>
      </c>
      <c r="D113" s="134" t="s">
        <v>2</v>
      </c>
      <c r="E113" s="134" t="s">
        <v>3</v>
      </c>
      <c r="F113" s="134" t="s">
        <v>4</v>
      </c>
      <c r="G113" s="134" t="s">
        <v>46</v>
      </c>
      <c r="J113" s="134"/>
      <c r="K113" s="134"/>
      <c r="L113" s="134"/>
      <c r="M113" s="134" t="s">
        <v>79</v>
      </c>
      <c r="N113" s="134" t="s">
        <v>107</v>
      </c>
      <c r="O113" s="134"/>
      <c r="P113" s="134"/>
      <c r="Q113" s="134"/>
      <c r="R113" s="134"/>
      <c r="S113" s="134"/>
      <c r="T113" s="134"/>
      <c r="U113" s="134"/>
      <c r="V113" s="134"/>
      <c r="W113" s="134"/>
    </row>
    <row r="114" spans="1:23" ht="26" customHeight="1" x14ac:dyDescent="0.35">
      <c r="A114" s="134" t="s">
        <v>39</v>
      </c>
      <c r="B114" s="134">
        <v>199</v>
      </c>
      <c r="C114" s="134">
        <v>228</v>
      </c>
      <c r="D114" s="134">
        <v>253</v>
      </c>
      <c r="E114" s="134">
        <v>270</v>
      </c>
      <c r="F114" s="134">
        <v>327</v>
      </c>
      <c r="G114" s="134">
        <v>255</v>
      </c>
      <c r="J114" s="134"/>
      <c r="K114" s="134" t="s">
        <v>78</v>
      </c>
      <c r="L114" s="134" t="s">
        <v>5</v>
      </c>
      <c r="M114" s="134">
        <v>37956.342206666988</v>
      </c>
      <c r="N114" s="134" t="s">
        <v>80</v>
      </c>
      <c r="O114" s="134" t="s">
        <v>81</v>
      </c>
      <c r="P114" s="134" t="s">
        <v>82</v>
      </c>
      <c r="Q114" s="134" t="s">
        <v>83</v>
      </c>
      <c r="R114" s="134" t="s">
        <v>84</v>
      </c>
      <c r="S114" s="134" t="s">
        <v>85</v>
      </c>
      <c r="T114" s="134" t="s">
        <v>86</v>
      </c>
      <c r="U114" s="134" t="s">
        <v>87</v>
      </c>
      <c r="V114" s="134" t="s">
        <v>88</v>
      </c>
      <c r="W114" s="134"/>
    </row>
    <row r="115" spans="1:23" ht="26" customHeight="1" x14ac:dyDescent="0.35">
      <c r="A115" s="134" t="s">
        <v>40</v>
      </c>
      <c r="B115" s="134">
        <v>372</v>
      </c>
      <c r="C115" s="134">
        <v>413</v>
      </c>
      <c r="D115" s="134">
        <v>447</v>
      </c>
      <c r="E115" s="134">
        <v>491</v>
      </c>
      <c r="F115" s="134">
        <v>587</v>
      </c>
      <c r="G115" s="134">
        <v>462</v>
      </c>
      <c r="J115" s="134" t="s">
        <v>89</v>
      </c>
      <c r="K115" s="134">
        <v>15380103.825873807</v>
      </c>
      <c r="L115" s="149">
        <f>100*K115/$K$119</f>
        <v>49.469650909210948</v>
      </c>
      <c r="M115" s="134">
        <v>0</v>
      </c>
      <c r="N115" s="134">
        <v>756964.32955110027</v>
      </c>
      <c r="O115" s="134">
        <v>1953240.7156047989</v>
      </c>
      <c r="P115" s="134">
        <v>2595827.2500646254</v>
      </c>
      <c r="Q115" s="134">
        <v>3088774.203139937</v>
      </c>
      <c r="R115" s="134">
        <v>2391677.3225839669</v>
      </c>
      <c r="S115" s="134">
        <v>2160127.6936041177</v>
      </c>
      <c r="T115" s="134">
        <v>1549701.9378285024</v>
      </c>
      <c r="U115" s="134">
        <v>845834.03129009064</v>
      </c>
      <c r="V115" s="134">
        <v>364.73816504008192</v>
      </c>
      <c r="W115" s="134"/>
    </row>
    <row r="116" spans="1:23" ht="26" customHeight="1" x14ac:dyDescent="0.35">
      <c r="A116" s="134" t="s">
        <v>41</v>
      </c>
      <c r="B116" s="134">
        <v>83</v>
      </c>
      <c r="C116" s="134">
        <v>118</v>
      </c>
      <c r="D116" s="134">
        <v>142</v>
      </c>
      <c r="E116" s="134">
        <v>159</v>
      </c>
      <c r="F116" s="134">
        <v>169</v>
      </c>
      <c r="G116" s="134">
        <v>134</v>
      </c>
      <c r="J116" s="134" t="s">
        <v>90</v>
      </c>
      <c r="K116" s="134">
        <f>SUM(M116:U116)</f>
        <v>8003834.9194221841</v>
      </c>
      <c r="L116" s="149">
        <f>100*K116/$K$119</f>
        <v>25.744099251961494</v>
      </c>
      <c r="M116" s="134">
        <v>0</v>
      </c>
      <c r="N116" s="134">
        <v>56937.425560687785</v>
      </c>
      <c r="O116" s="134">
        <v>1479158.5876839105</v>
      </c>
      <c r="P116" s="134">
        <v>3830006.0109775392</v>
      </c>
      <c r="Q116" s="134">
        <v>2277983.3442486422</v>
      </c>
      <c r="R116" s="134">
        <v>357851.46047053521</v>
      </c>
      <c r="S116" s="134">
        <v>1311.2267376825807</v>
      </c>
      <c r="T116" s="134">
        <v>586.86374318695061</v>
      </c>
      <c r="U116" s="134">
        <v>0</v>
      </c>
      <c r="V116" s="134">
        <v>208.46662783939831</v>
      </c>
      <c r="W116" s="134"/>
    </row>
    <row r="117" spans="1:23" ht="26" customHeight="1" x14ac:dyDescent="0.35">
      <c r="A117" s="134" t="s">
        <v>42</v>
      </c>
      <c r="B117" s="134">
        <v>241</v>
      </c>
      <c r="C117" s="134">
        <v>307</v>
      </c>
      <c r="D117" s="134">
        <v>298</v>
      </c>
      <c r="E117" s="134">
        <v>298</v>
      </c>
      <c r="F117" s="134">
        <v>364</v>
      </c>
      <c r="G117" s="134">
        <v>302</v>
      </c>
      <c r="J117" s="134" t="s">
        <v>91</v>
      </c>
      <c r="K117" s="134">
        <v>3179109.5</v>
      </c>
      <c r="L117" s="149">
        <f>100*K117/$K$119</f>
        <v>10.225512060756262</v>
      </c>
      <c r="M117" s="134">
        <v>0</v>
      </c>
      <c r="N117" s="134">
        <v>210421.59999999998</v>
      </c>
      <c r="O117" s="134">
        <v>1488587.3</v>
      </c>
      <c r="P117" s="134">
        <v>817975.25</v>
      </c>
      <c r="Q117" s="134">
        <v>662125.35</v>
      </c>
      <c r="R117" s="134">
        <v>0</v>
      </c>
      <c r="S117" s="134">
        <v>0</v>
      </c>
      <c r="T117" s="134">
        <v>0</v>
      </c>
      <c r="U117" s="134">
        <v>0</v>
      </c>
      <c r="V117" s="134">
        <v>166.73867548443991</v>
      </c>
      <c r="W117" s="134"/>
    </row>
    <row r="118" spans="1:23" ht="81.650000000000006" customHeight="1" x14ac:dyDescent="0.35">
      <c r="A118" s="134" t="s">
        <v>43</v>
      </c>
      <c r="B118" s="134">
        <v>95</v>
      </c>
      <c r="C118" s="134">
        <v>68</v>
      </c>
      <c r="D118" s="134">
        <v>64</v>
      </c>
      <c r="E118" s="134">
        <v>54</v>
      </c>
      <c r="F118" s="134">
        <v>41</v>
      </c>
      <c r="G118" s="134">
        <v>64</v>
      </c>
      <c r="J118" s="134" t="s">
        <v>92</v>
      </c>
      <c r="K118" s="134">
        <v>4526930.2429292528</v>
      </c>
      <c r="L118" s="149">
        <f>100*K118/$K$119</f>
        <v>14.560737778071298</v>
      </c>
      <c r="M118" s="134">
        <f>SUM(M114:M117)</f>
        <v>37956.342206666988</v>
      </c>
      <c r="N118" s="134">
        <v>26324.2</v>
      </c>
      <c r="O118" s="134">
        <v>860113.01249717001</v>
      </c>
      <c r="P118" s="134">
        <v>2529990.48175136</v>
      </c>
      <c r="Q118" s="134">
        <v>963508.04733329301</v>
      </c>
      <c r="R118" s="134">
        <v>114267.45969742999</v>
      </c>
      <c r="S118" s="134">
        <v>32727.041649999999</v>
      </c>
      <c r="T118" s="134">
        <v>0</v>
      </c>
      <c r="U118" s="134">
        <v>0</v>
      </c>
      <c r="V118" s="134">
        <v>199.83359704696238</v>
      </c>
      <c r="W118" s="134"/>
    </row>
    <row r="119" spans="1:23" ht="13.25" customHeight="1" x14ac:dyDescent="0.35">
      <c r="A119" s="134" t="s">
        <v>44</v>
      </c>
      <c r="B119" s="134">
        <f t="shared" ref="B119:G119" si="35">SUM(B114:B118)</f>
        <v>990</v>
      </c>
      <c r="C119" s="134">
        <f t="shared" si="35"/>
        <v>1134</v>
      </c>
      <c r="D119" s="134">
        <f t="shared" si="35"/>
        <v>1204</v>
      </c>
      <c r="E119" s="134">
        <f t="shared" si="35"/>
        <v>1272</v>
      </c>
      <c r="F119" s="134">
        <f t="shared" si="35"/>
        <v>1488</v>
      </c>
      <c r="G119" s="134">
        <f t="shared" si="35"/>
        <v>1217</v>
      </c>
      <c r="J119" s="134"/>
      <c r="K119" s="134">
        <f>SUM(K115:K118)</f>
        <v>31089978.488225244</v>
      </c>
      <c r="L119" s="149">
        <f>100*K119/$K$119</f>
        <v>100</v>
      </c>
      <c r="M119" s="134"/>
      <c r="N119" s="134">
        <f t="shared" ref="N119:U119" si="36">SUM(N115:N118)</f>
        <v>1050647.555111788</v>
      </c>
      <c r="O119" s="134">
        <f t="shared" si="36"/>
        <v>5781099.6157858791</v>
      </c>
      <c r="P119" s="134">
        <f t="shared" si="36"/>
        <v>9773798.9927935246</v>
      </c>
      <c r="Q119" s="134">
        <f t="shared" si="36"/>
        <v>6992390.944721872</v>
      </c>
      <c r="R119" s="134">
        <f t="shared" si="36"/>
        <v>2863796.2427519322</v>
      </c>
      <c r="S119" s="134">
        <f t="shared" si="36"/>
        <v>2194165.9619918005</v>
      </c>
      <c r="T119" s="134">
        <f t="shared" si="36"/>
        <v>1550288.8015716893</v>
      </c>
      <c r="U119" s="134">
        <f t="shared" si="36"/>
        <v>845834.03129009064</v>
      </c>
      <c r="V119" s="134"/>
      <c r="W119" s="134"/>
    </row>
    <row r="120" spans="1:23" ht="20.399999999999999" customHeight="1" x14ac:dyDescent="0.35">
      <c r="A120" s="134" t="s">
        <v>5</v>
      </c>
      <c r="B120" s="150">
        <f t="shared" ref="B120:G120" si="37">100*B119/B121</f>
        <v>6.3258785942492013</v>
      </c>
      <c r="C120" s="150">
        <f t="shared" si="37"/>
        <v>5.1037400423061348</v>
      </c>
      <c r="D120" s="150">
        <f t="shared" si="37"/>
        <v>4.4483854282125179</v>
      </c>
      <c r="E120" s="150">
        <f t="shared" si="37"/>
        <v>3.6785332138002835</v>
      </c>
      <c r="F120" s="150">
        <f t="shared" si="37"/>
        <v>2.9581916860499793</v>
      </c>
      <c r="G120" s="150">
        <f t="shared" si="37"/>
        <v>4.0616760671494845</v>
      </c>
      <c r="J120" s="134"/>
      <c r="K120" s="134"/>
      <c r="L120" s="134"/>
      <c r="M120" s="134"/>
      <c r="N120" s="134"/>
      <c r="O120" s="134"/>
      <c r="P120" s="134"/>
      <c r="Q120" s="134"/>
      <c r="R120" s="134"/>
      <c r="S120" s="134"/>
      <c r="T120" s="134"/>
      <c r="U120" s="134"/>
      <c r="V120" s="134"/>
      <c r="W120" s="134"/>
    </row>
    <row r="121" spans="1:23" x14ac:dyDescent="0.35">
      <c r="A121" s="134" t="s">
        <v>45</v>
      </c>
      <c r="B121" s="134">
        <v>15650</v>
      </c>
      <c r="C121" s="134">
        <v>22219</v>
      </c>
      <c r="D121" s="134">
        <v>27066</v>
      </c>
      <c r="E121" s="134">
        <v>34579</v>
      </c>
      <c r="F121" s="134">
        <v>50301</v>
      </c>
      <c r="G121" s="134">
        <v>29963</v>
      </c>
      <c r="J121" s="134"/>
      <c r="K121" s="134"/>
      <c r="L121" s="134"/>
      <c r="M121" s="134" t="s">
        <v>79</v>
      </c>
      <c r="N121" s="134" t="s">
        <v>107</v>
      </c>
      <c r="O121" s="134"/>
      <c r="P121" s="134"/>
      <c r="Q121" s="134"/>
      <c r="R121" s="134"/>
      <c r="S121" s="134"/>
      <c r="T121" s="134"/>
      <c r="U121" s="134"/>
      <c r="V121" s="134"/>
      <c r="W121" s="134"/>
    </row>
    <row r="122" spans="1:23" x14ac:dyDescent="0.35">
      <c r="J122" s="134"/>
      <c r="K122" s="134" t="s">
        <v>78</v>
      </c>
      <c r="L122" s="134" t="s">
        <v>5</v>
      </c>
      <c r="M122" s="134">
        <f>M114/$K123</f>
        <v>2.4678859542426107E-3</v>
      </c>
      <c r="N122" s="134" t="s">
        <v>80</v>
      </c>
      <c r="O122" s="134" t="s">
        <v>81</v>
      </c>
      <c r="P122" s="134" t="s">
        <v>82</v>
      </c>
      <c r="Q122" s="134" t="s">
        <v>83</v>
      </c>
      <c r="R122" s="134" t="s">
        <v>84</v>
      </c>
      <c r="S122" s="134" t="s">
        <v>85</v>
      </c>
      <c r="T122" s="134" t="s">
        <v>86</v>
      </c>
      <c r="U122" s="134" t="s">
        <v>87</v>
      </c>
      <c r="V122" s="134" t="s">
        <v>88</v>
      </c>
      <c r="W122" s="134"/>
    </row>
    <row r="123" spans="1:23" x14ac:dyDescent="0.35">
      <c r="J123" s="134" t="s">
        <v>89</v>
      </c>
      <c r="K123" s="134">
        <v>15380103.8258738</v>
      </c>
      <c r="L123" s="149">
        <f>100*K123/$K$119</f>
        <v>49.46965090921092</v>
      </c>
      <c r="M123" s="134">
        <f>M115/$K124</f>
        <v>0</v>
      </c>
      <c r="N123" s="134">
        <f>N115/$K123</f>
        <v>4.9217114404498788E-2</v>
      </c>
      <c r="O123" s="134">
        <f t="shared" ref="O123:U127" si="38">O115/$K123</f>
        <v>0.12699788881261523</v>
      </c>
      <c r="P123" s="134">
        <f t="shared" si="38"/>
        <v>0.16877826570310211</v>
      </c>
      <c r="Q123" s="134">
        <f t="shared" si="38"/>
        <v>0.20082921663660827</v>
      </c>
      <c r="R123" s="134">
        <f t="shared" si="38"/>
        <v>0.15550462790507769</v>
      </c>
      <c r="S123" s="134">
        <f t="shared" si="38"/>
        <v>0.14044948708149524</v>
      </c>
      <c r="T123" s="134">
        <f t="shared" si="38"/>
        <v>0.10076017401270425</v>
      </c>
      <c r="U123" s="134">
        <f t="shared" si="38"/>
        <v>5.4995339489656257E-2</v>
      </c>
      <c r="V123" s="134">
        <v>364.73816504008192</v>
      </c>
      <c r="W123" s="134"/>
    </row>
    <row r="124" spans="1:23" x14ac:dyDescent="0.35">
      <c r="B124" s="40"/>
      <c r="J124" s="134" t="s">
        <v>90</v>
      </c>
      <c r="K124" s="134">
        <f>K116</f>
        <v>8003834.9194221841</v>
      </c>
      <c r="L124" s="149">
        <f>100*K124/$K$119</f>
        <v>25.744099251961494</v>
      </c>
      <c r="M124" s="134">
        <f>M116/$K125</f>
        <v>0</v>
      </c>
      <c r="N124" s="134">
        <f>N116/$K124</f>
        <v>7.1137681041525324E-3</v>
      </c>
      <c r="O124" s="134">
        <f t="shared" si="38"/>
        <v>0.18480623383355518</v>
      </c>
      <c r="P124" s="134">
        <f t="shared" si="38"/>
        <v>0.47852136501261527</v>
      </c>
      <c r="Q124" s="134">
        <f t="shared" si="38"/>
        <v>0.28461148526700186</v>
      </c>
      <c r="R124" s="134">
        <f t="shared" si="38"/>
        <v>4.4710000152822914E-2</v>
      </c>
      <c r="S124" s="134">
        <f t="shared" si="38"/>
        <v>1.6382481034194559E-4</v>
      </c>
      <c r="T124" s="134">
        <f t="shared" si="38"/>
        <v>7.3322819510290168E-5</v>
      </c>
      <c r="U124" s="134">
        <f t="shared" si="38"/>
        <v>0</v>
      </c>
      <c r="V124" s="134">
        <v>208.46662783939831</v>
      </c>
      <c r="W124" s="134"/>
    </row>
    <row r="125" spans="1:23" x14ac:dyDescent="0.35">
      <c r="A125" s="134"/>
      <c r="B125" s="134" t="s">
        <v>732</v>
      </c>
      <c r="C125" s="134"/>
      <c r="D125" s="134"/>
      <c r="I125" s="40"/>
      <c r="J125" s="134" t="s">
        <v>91</v>
      </c>
      <c r="K125" s="134">
        <v>3179109.5</v>
      </c>
      <c r="L125" s="149">
        <f>100*K125/$K$119</f>
        <v>10.225512060756262</v>
      </c>
      <c r="M125" s="134">
        <f>M117/$K126</f>
        <v>0</v>
      </c>
      <c r="N125" s="134">
        <f>N117/$K125</f>
        <v>6.6188849424658067E-2</v>
      </c>
      <c r="O125" s="134">
        <f t="shared" si="38"/>
        <v>0.46824033585505626</v>
      </c>
      <c r="P125" s="134">
        <f t="shared" si="38"/>
        <v>0.25729697262708318</v>
      </c>
      <c r="Q125" s="134">
        <f t="shared" si="38"/>
        <v>0.20827384209320252</v>
      </c>
      <c r="R125" s="134">
        <f t="shared" si="38"/>
        <v>0</v>
      </c>
      <c r="S125" s="134">
        <f t="shared" si="38"/>
        <v>0</v>
      </c>
      <c r="T125" s="134">
        <f t="shared" si="38"/>
        <v>0</v>
      </c>
      <c r="U125" s="134">
        <f t="shared" si="38"/>
        <v>0</v>
      </c>
      <c r="V125" s="134">
        <v>166.73867548443991</v>
      </c>
      <c r="W125" s="134"/>
    </row>
    <row r="126" spans="1:23" x14ac:dyDescent="0.35">
      <c r="A126" s="349" t="s">
        <v>733</v>
      </c>
      <c r="B126" s="134" t="s">
        <v>734</v>
      </c>
      <c r="C126" s="134" t="s">
        <v>735</v>
      </c>
      <c r="D126" s="350" t="s">
        <v>550</v>
      </c>
      <c r="J126" s="134" t="s">
        <v>92</v>
      </c>
      <c r="K126" s="134">
        <v>4526930.2429292528</v>
      </c>
      <c r="L126" s="149">
        <f>100*K126/$K$119</f>
        <v>14.560737778071298</v>
      </c>
      <c r="M126" s="120">
        <f>M118/$K127</f>
        <v>1.2208545664012685E-3</v>
      </c>
      <c r="N126" s="134">
        <f>N118/$K126</f>
        <v>5.8150222308188983E-3</v>
      </c>
      <c r="O126" s="134">
        <f t="shared" si="38"/>
        <v>0.18999917523372625</v>
      </c>
      <c r="P126" s="134">
        <f t="shared" si="38"/>
        <v>0.55887551740012509</v>
      </c>
      <c r="Q126" s="134">
        <f t="shared" si="38"/>
        <v>0.21283916376626852</v>
      </c>
      <c r="R126" s="134">
        <f t="shared" si="38"/>
        <v>2.5241709848723148E-2</v>
      </c>
      <c r="S126" s="134">
        <f t="shared" si="38"/>
        <v>7.2294115203381673E-3</v>
      </c>
      <c r="T126" s="134">
        <f t="shared" si="38"/>
        <v>0</v>
      </c>
      <c r="U126" s="134">
        <f t="shared" si="38"/>
        <v>0</v>
      </c>
      <c r="V126" s="134">
        <v>199.83359704696238</v>
      </c>
      <c r="W126" s="134"/>
    </row>
    <row r="127" spans="1:23" x14ac:dyDescent="0.35">
      <c r="A127" s="349" t="s">
        <v>79</v>
      </c>
      <c r="B127" s="134">
        <v>100</v>
      </c>
      <c r="C127" s="351">
        <v>2076.1772000000001</v>
      </c>
      <c r="D127" s="352">
        <v>6.8087081585498666E-5</v>
      </c>
      <c r="J127" s="120"/>
      <c r="K127" s="120">
        <f>SUM(K123:K126)</f>
        <v>31089978.488225237</v>
      </c>
      <c r="L127" s="121">
        <f>100*K127/$K$119</f>
        <v>99.999999999999972</v>
      </c>
      <c r="N127" s="120">
        <f>N119/$K127</f>
        <v>3.3793769124340234E-2</v>
      </c>
      <c r="O127" s="120">
        <f t="shared" si="38"/>
        <v>0.18594736622205657</v>
      </c>
      <c r="P127" s="120">
        <f t="shared" si="38"/>
        <v>0.31437136556704831</v>
      </c>
      <c r="Q127" s="120">
        <f t="shared" si="38"/>
        <v>0.22490819501113882</v>
      </c>
      <c r="R127" s="120">
        <f t="shared" si="38"/>
        <v>9.2113162568978391E-2</v>
      </c>
      <c r="S127" s="120">
        <f t="shared" si="38"/>
        <v>7.0574701839140899E-2</v>
      </c>
      <c r="T127" s="120">
        <f t="shared" si="38"/>
        <v>4.9864582639027329E-2</v>
      </c>
      <c r="U127" s="120">
        <f t="shared" si="38"/>
        <v>2.7206002461868377E-2</v>
      </c>
      <c r="V127" s="120"/>
      <c r="W127" s="120"/>
    </row>
    <row r="128" spans="1:23" x14ac:dyDescent="0.35">
      <c r="A128" s="349" t="s">
        <v>80</v>
      </c>
      <c r="B128" s="134">
        <v>120</v>
      </c>
      <c r="C128" s="351">
        <v>1547171.3665000002</v>
      </c>
      <c r="D128" s="352">
        <v>5.0738628214216479E-2</v>
      </c>
    </row>
    <row r="129" spans="1:4" x14ac:dyDescent="0.35">
      <c r="A129" s="349" t="s">
        <v>81</v>
      </c>
      <c r="B129" s="134">
        <v>140</v>
      </c>
      <c r="C129" s="351">
        <v>3662052.6360903136</v>
      </c>
      <c r="D129" s="352">
        <v>0.1200949883294507</v>
      </c>
    </row>
    <row r="130" spans="1:4" x14ac:dyDescent="0.35">
      <c r="A130" s="349" t="s">
        <v>82</v>
      </c>
      <c r="B130" s="134">
        <v>160</v>
      </c>
      <c r="C130" s="351">
        <v>5126864.9007096859</v>
      </c>
      <c r="D130" s="352">
        <v>0.16813269540405795</v>
      </c>
    </row>
    <row r="131" spans="1:4" x14ac:dyDescent="0.35">
      <c r="A131" s="349" t="s">
        <v>83</v>
      </c>
      <c r="B131" s="134">
        <v>200</v>
      </c>
      <c r="C131" s="351">
        <v>13309296.5231</v>
      </c>
      <c r="D131" s="352">
        <v>0.43647100941764672</v>
      </c>
    </row>
    <row r="132" spans="1:4" x14ac:dyDescent="0.35">
      <c r="A132" s="349" t="s">
        <v>84</v>
      </c>
      <c r="B132" s="134">
        <v>250</v>
      </c>
      <c r="C132" s="351">
        <v>4694550.9084999999</v>
      </c>
      <c r="D132" s="352">
        <v>0.15395519742453406</v>
      </c>
    </row>
    <row r="133" spans="1:4" x14ac:dyDescent="0.35">
      <c r="A133" s="349" t="s">
        <v>85</v>
      </c>
      <c r="B133" s="353">
        <v>475</v>
      </c>
      <c r="C133" s="351">
        <v>2150955.4879000001</v>
      </c>
      <c r="D133" s="352">
        <v>7.0539394128508584E-2</v>
      </c>
    </row>
    <row r="134" spans="1:4" x14ac:dyDescent="0.35">
      <c r="A134" s="134"/>
      <c r="B134" s="134"/>
      <c r="C134" s="351">
        <v>30492968</v>
      </c>
      <c r="D134" s="352">
        <v>1</v>
      </c>
    </row>
    <row r="135" spans="1:4" x14ac:dyDescent="0.35">
      <c r="A135" s="354" t="s">
        <v>736</v>
      </c>
    </row>
  </sheetData>
  <dataConsolidate/>
  <pageMargins left="0.7" right="0.7" top="0.75" bottom="0.75" header="0.3" footer="0.3"/>
  <pageSetup paperSize="9" scale="47"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9" r:id="rId4" name="Button 35">
              <controlPr defaultSize="0" print="0" autoFill="0" autoPict="0" macro="[0]!EquilibreMatrice">
                <anchor moveWithCells="1" sizeWithCells="1">
                  <from>
                    <xdr:col>1</xdr:col>
                    <xdr:colOff>158750</xdr:colOff>
                    <xdr:row>0</xdr:row>
                    <xdr:rowOff>38100</xdr:rowOff>
                  </from>
                  <to>
                    <xdr:col>2</xdr:col>
                    <xdr:colOff>0</xdr:colOff>
                    <xdr:row>1</xdr:row>
                    <xdr:rowOff>425450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AF44"/>
  <sheetViews>
    <sheetView zoomScale="90" zoomScaleNormal="90" workbookViewId="0">
      <selection activeCell="K13" sqref="K13"/>
    </sheetView>
  </sheetViews>
  <sheetFormatPr baseColWidth="10" defaultColWidth="11.453125" defaultRowHeight="14.5" x14ac:dyDescent="0.35"/>
  <cols>
    <col min="1" max="1" width="14.08984375" customWidth="1"/>
    <col min="11" max="12" width="11.54296875" style="163"/>
  </cols>
  <sheetData>
    <row r="1" spans="1:32" ht="43.25" x14ac:dyDescent="0.3">
      <c r="A1" s="133"/>
      <c r="B1" s="133"/>
      <c r="C1" s="133" t="s">
        <v>0</v>
      </c>
      <c r="D1" s="133" t="s">
        <v>1</v>
      </c>
      <c r="E1" s="133" t="s">
        <v>2</v>
      </c>
      <c r="F1" s="133" t="s">
        <v>3</v>
      </c>
      <c r="G1" s="133" t="s">
        <v>4</v>
      </c>
      <c r="H1" s="133" t="s">
        <v>46</v>
      </c>
      <c r="I1" s="133"/>
      <c r="J1" s="172" t="s">
        <v>723</v>
      </c>
      <c r="K1" s="172" t="s">
        <v>724</v>
      </c>
      <c r="L1" s="172"/>
      <c r="M1" s="133"/>
      <c r="N1" s="172" t="s">
        <v>533</v>
      </c>
      <c r="O1" s="133"/>
      <c r="P1" s="133" t="s">
        <v>653</v>
      </c>
      <c r="Q1" s="133"/>
      <c r="R1" s="133"/>
      <c r="S1" s="133"/>
      <c r="T1" s="133"/>
      <c r="U1" s="133"/>
      <c r="V1" s="133"/>
      <c r="W1" s="133"/>
      <c r="X1" s="133"/>
      <c r="Y1" s="133"/>
      <c r="Z1" s="133"/>
      <c r="AA1" s="133"/>
      <c r="AB1" s="133"/>
      <c r="AC1" s="133"/>
      <c r="AD1" s="133"/>
      <c r="AE1" s="133"/>
      <c r="AF1" s="163"/>
    </row>
    <row r="2" spans="1:32" ht="14.4" x14ac:dyDescent="0.3">
      <c r="A2" s="182" t="s">
        <v>538</v>
      </c>
      <c r="B2" s="134"/>
      <c r="C2" s="134"/>
      <c r="D2" s="134"/>
      <c r="E2" s="134"/>
      <c r="F2" s="134"/>
      <c r="G2" s="134"/>
      <c r="H2" s="134"/>
      <c r="I2" s="250"/>
      <c r="J2" s="134"/>
      <c r="K2" s="134"/>
      <c r="L2" s="132"/>
      <c r="M2" s="163"/>
      <c r="N2" s="163"/>
      <c r="O2" s="163"/>
      <c r="P2" s="163"/>
      <c r="Q2" s="163"/>
      <c r="R2" s="163"/>
      <c r="S2" s="163"/>
      <c r="T2" s="163"/>
      <c r="U2" s="163"/>
      <c r="V2" s="163"/>
      <c r="W2" s="163"/>
      <c r="X2" s="163"/>
      <c r="Y2" s="163"/>
      <c r="Z2" s="163"/>
      <c r="AA2" s="163"/>
      <c r="AB2" s="163"/>
      <c r="AC2" s="163"/>
      <c r="AD2" s="163"/>
      <c r="AE2" s="163"/>
      <c r="AF2" s="163"/>
    </row>
    <row r="3" spans="1:32" ht="14.4" x14ac:dyDescent="0.3">
      <c r="A3" s="133"/>
      <c r="B3" s="342" t="s">
        <v>79</v>
      </c>
      <c r="C3" s="343">
        <f t="shared" ref="C3:G9" si="0">$J3*R3*C$15*$L3</f>
        <v>0</v>
      </c>
      <c r="D3" s="343">
        <f t="shared" si="0"/>
        <v>162.60867107749732</v>
      </c>
      <c r="E3" s="343">
        <f t="shared" si="0"/>
        <v>381.45209943322044</v>
      </c>
      <c r="F3" s="343">
        <f t="shared" si="0"/>
        <v>702.87833572311229</v>
      </c>
      <c r="G3" s="343">
        <f t="shared" si="0"/>
        <v>1613.6698937661695</v>
      </c>
      <c r="H3" s="343">
        <f>SUM(C3:G3)</f>
        <v>2860.6089999999995</v>
      </c>
      <c r="I3" s="344">
        <f>J3-H3</f>
        <v>0</v>
      </c>
      <c r="J3" s="345">
        <v>2860.6089999999999</v>
      </c>
      <c r="K3" s="337">
        <v>26050.980154225901</v>
      </c>
      <c r="L3" s="347">
        <v>0.80871469388437511</v>
      </c>
      <c r="M3" s="163"/>
      <c r="N3" s="163"/>
      <c r="O3" s="163"/>
      <c r="P3" s="173"/>
      <c r="Q3" s="135" t="s">
        <v>79</v>
      </c>
      <c r="R3" s="346">
        <v>0</v>
      </c>
      <c r="S3" s="346">
        <v>0.1</v>
      </c>
      <c r="T3" s="346">
        <v>0.2</v>
      </c>
      <c r="U3" s="346">
        <v>0.3</v>
      </c>
      <c r="V3" s="346">
        <v>0.4</v>
      </c>
      <c r="W3" s="262">
        <f>SUM(R3:V3)</f>
        <v>1</v>
      </c>
      <c r="X3" s="163"/>
      <c r="Y3" s="135" t="s">
        <v>79</v>
      </c>
      <c r="Z3" s="246">
        <f t="shared" ref="Z3:AD9" si="1">C3/$J3</f>
        <v>0</v>
      </c>
      <c r="AA3" s="246">
        <f t="shared" si="1"/>
        <v>5.6844074488158751E-2</v>
      </c>
      <c r="AB3" s="246">
        <f t="shared" si="1"/>
        <v>0.133346465536961</v>
      </c>
      <c r="AC3" s="246">
        <f t="shared" si="1"/>
        <v>0.24570933522306346</v>
      </c>
      <c r="AD3" s="246">
        <f t="shared" si="1"/>
        <v>0.5641001247518167</v>
      </c>
      <c r="AE3" s="262">
        <f>SUM(Z3:AD3)</f>
        <v>0.99999999999999989</v>
      </c>
      <c r="AF3" s="163"/>
    </row>
    <row r="4" spans="1:32" ht="14.4" x14ac:dyDescent="0.3">
      <c r="A4" s="133"/>
      <c r="B4" s="135" t="s">
        <v>80</v>
      </c>
      <c r="C4" s="343">
        <f t="shared" si="0"/>
        <v>135.39166330293153</v>
      </c>
      <c r="D4" s="343">
        <f t="shared" si="0"/>
        <v>391.58531803641205</v>
      </c>
      <c r="E4" s="343">
        <f t="shared" si="0"/>
        <v>688.94407974572107</v>
      </c>
      <c r="F4" s="343">
        <f t="shared" si="0"/>
        <v>1128.4221389147792</v>
      </c>
      <c r="G4" s="343">
        <f t="shared" si="0"/>
        <v>2428.7198000001563</v>
      </c>
      <c r="H4" s="343">
        <f t="shared" ref="H4:H9" si="2">SUM(C4:G4)</f>
        <v>4773.0630000000001</v>
      </c>
      <c r="I4" s="344">
        <f t="shared" ref="I4:I9" si="3">J4-H4</f>
        <v>0</v>
      </c>
      <c r="J4" s="270">
        <v>4773.0630000000001</v>
      </c>
      <c r="K4" s="338">
        <v>27671.110614295267</v>
      </c>
      <c r="L4" s="347">
        <v>0.87538808491322329</v>
      </c>
      <c r="M4" s="163"/>
      <c r="N4" s="163"/>
      <c r="O4" s="163"/>
      <c r="P4" s="173"/>
      <c r="Q4" s="135" t="s">
        <v>80</v>
      </c>
      <c r="R4" s="346">
        <v>6.6666666666666666E-2</v>
      </c>
      <c r="S4" s="346">
        <v>0.13333333333333333</v>
      </c>
      <c r="T4" s="346">
        <v>0.2</v>
      </c>
      <c r="U4" s="346">
        <v>0.26666666666666666</v>
      </c>
      <c r="V4" s="346">
        <v>0.33333333333333337</v>
      </c>
      <c r="W4" s="262">
        <f t="shared" ref="W4:W9" si="4">SUM(R4:V4)</f>
        <v>1</v>
      </c>
      <c r="X4" s="163"/>
      <c r="Y4" s="135" t="s">
        <v>80</v>
      </c>
      <c r="Z4" s="246">
        <f t="shared" si="1"/>
        <v>2.8365781742862296E-2</v>
      </c>
      <c r="AA4" s="246">
        <f t="shared" si="1"/>
        <v>8.2040676612986682E-2</v>
      </c>
      <c r="AB4" s="246">
        <f t="shared" si="1"/>
        <v>0.14434003484674748</v>
      </c>
      <c r="AC4" s="246">
        <f t="shared" si="1"/>
        <v>0.23641467521270496</v>
      </c>
      <c r="AD4" s="246">
        <f t="shared" si="1"/>
        <v>0.50883883158469856</v>
      </c>
      <c r="AE4" s="262">
        <f t="shared" ref="AE4:AE9" si="5">SUM(Z4:AD4)</f>
        <v>1</v>
      </c>
      <c r="AF4" s="163"/>
    </row>
    <row r="5" spans="1:32" ht="14.4" x14ac:dyDescent="0.3">
      <c r="A5" s="133"/>
      <c r="B5" s="135" t="s">
        <v>81</v>
      </c>
      <c r="C5" s="343">
        <f t="shared" si="0"/>
        <v>347.64203643257429</v>
      </c>
      <c r="D5" s="343">
        <f t="shared" si="0"/>
        <v>628.41534182337637</v>
      </c>
      <c r="E5" s="343">
        <f t="shared" si="0"/>
        <v>884.49287433261929</v>
      </c>
      <c r="F5" s="343">
        <f t="shared" si="0"/>
        <v>1267.622727512171</v>
      </c>
      <c r="G5" s="343">
        <f t="shared" si="0"/>
        <v>2494.4670198992594</v>
      </c>
      <c r="H5" s="343">
        <f t="shared" si="2"/>
        <v>5622.64</v>
      </c>
      <c r="I5" s="344">
        <f t="shared" si="3"/>
        <v>0</v>
      </c>
      <c r="J5" s="269">
        <v>5622.64</v>
      </c>
      <c r="K5" s="337">
        <v>32204.637050033438</v>
      </c>
      <c r="L5" s="347">
        <v>0.95404286041266373</v>
      </c>
      <c r="M5" s="163" t="s">
        <v>656</v>
      </c>
      <c r="N5" s="163">
        <f>SUM(I3:I9,C11:G11)</f>
        <v>166444.77367058396</v>
      </c>
      <c r="O5" s="163"/>
      <c r="P5" s="173"/>
      <c r="Q5" s="135" t="s">
        <v>81</v>
      </c>
      <c r="R5" s="346">
        <v>0.13333333333333333</v>
      </c>
      <c r="S5" s="346">
        <v>0.16666666666666666</v>
      </c>
      <c r="T5" s="346">
        <v>0.2</v>
      </c>
      <c r="U5" s="346">
        <v>0.23333333333333334</v>
      </c>
      <c r="V5" s="346">
        <v>0.26666666666666672</v>
      </c>
      <c r="W5" s="262">
        <f t="shared" si="4"/>
        <v>1</v>
      </c>
      <c r="X5" s="163"/>
      <c r="Y5" s="135" t="s">
        <v>81</v>
      </c>
      <c r="Z5" s="246">
        <f t="shared" si="1"/>
        <v>6.1828969386724789E-2</v>
      </c>
      <c r="AA5" s="246">
        <f t="shared" si="1"/>
        <v>0.11176517469078161</v>
      </c>
      <c r="AB5" s="246">
        <f t="shared" si="1"/>
        <v>0.15730917759853366</v>
      </c>
      <c r="AC5" s="246">
        <f t="shared" si="1"/>
        <v>0.22544974024873918</v>
      </c>
      <c r="AD5" s="246">
        <f t="shared" si="1"/>
        <v>0.44364693807522076</v>
      </c>
      <c r="AE5" s="262">
        <f t="shared" si="5"/>
        <v>1</v>
      </c>
      <c r="AF5" s="163"/>
    </row>
    <row r="6" spans="1:32" ht="14.4" x14ac:dyDescent="0.3">
      <c r="A6" s="133"/>
      <c r="B6" s="135" t="s">
        <v>82</v>
      </c>
      <c r="C6" s="343">
        <f t="shared" si="0"/>
        <v>790.63738644609748</v>
      </c>
      <c r="D6" s="343">
        <f t="shared" si="0"/>
        <v>1143.3569278569794</v>
      </c>
      <c r="E6" s="343">
        <f t="shared" si="0"/>
        <v>1341.0597898703229</v>
      </c>
      <c r="F6" s="343">
        <f t="shared" si="0"/>
        <v>1647.3922931342306</v>
      </c>
      <c r="G6" s="343">
        <f t="shared" si="0"/>
        <v>2836.5656026923698</v>
      </c>
      <c r="H6" s="343">
        <f t="shared" si="2"/>
        <v>7759.0119999999997</v>
      </c>
      <c r="I6" s="344">
        <f t="shared" si="3"/>
        <v>0</v>
      </c>
      <c r="J6" s="270">
        <v>7759.0119999999997</v>
      </c>
      <c r="K6" s="338">
        <v>33293.991820865849</v>
      </c>
      <c r="L6" s="347">
        <v>1.0482274841957648</v>
      </c>
      <c r="M6" s="163" t="s">
        <v>655</v>
      </c>
      <c r="N6" s="163">
        <f>STDEVPA(I3:I9,C11:G11)</f>
        <v>19984.07608893171</v>
      </c>
      <c r="O6" s="163"/>
      <c r="P6" s="173"/>
      <c r="Q6" s="135" t="s">
        <v>82</v>
      </c>
      <c r="R6" s="346">
        <v>0.2</v>
      </c>
      <c r="S6" s="346">
        <v>0.2</v>
      </c>
      <c r="T6" s="346">
        <v>0.2</v>
      </c>
      <c r="U6" s="346">
        <v>0.2</v>
      </c>
      <c r="V6" s="346">
        <v>0.2</v>
      </c>
      <c r="W6" s="262">
        <f t="shared" si="4"/>
        <v>1</v>
      </c>
      <c r="X6" s="163"/>
      <c r="Y6" s="135" t="s">
        <v>82</v>
      </c>
      <c r="Z6" s="246">
        <f t="shared" si="1"/>
        <v>0.10189923490852927</v>
      </c>
      <c r="AA6" s="246">
        <f t="shared" si="1"/>
        <v>0.14735857192345875</v>
      </c>
      <c r="AB6" s="246">
        <f t="shared" si="1"/>
        <v>0.17283898901951988</v>
      </c>
      <c r="AC6" s="246">
        <f t="shared" si="1"/>
        <v>0.21231985375641005</v>
      </c>
      <c r="AD6" s="246">
        <f t="shared" si="1"/>
        <v>0.36558335039208212</v>
      </c>
      <c r="AE6" s="262">
        <f t="shared" si="5"/>
        <v>1</v>
      </c>
      <c r="AF6" s="163"/>
    </row>
    <row r="7" spans="1:32" ht="14.4" x14ac:dyDescent="0.3">
      <c r="A7" s="133" t="s">
        <v>727</v>
      </c>
      <c r="B7" s="135" t="s">
        <v>83</v>
      </c>
      <c r="C7" s="343">
        <f t="shared" si="0"/>
        <v>499.72409753040887</v>
      </c>
      <c r="D7" s="343">
        <f t="shared" si="0"/>
        <v>632.32860143338939</v>
      </c>
      <c r="E7" s="343">
        <f t="shared" si="0"/>
        <v>635.71484037672269</v>
      </c>
      <c r="F7" s="343">
        <f t="shared" si="0"/>
        <v>650.77369938948254</v>
      </c>
      <c r="G7" s="343">
        <f t="shared" si="0"/>
        <v>896.42876126999624</v>
      </c>
      <c r="H7" s="343">
        <f t="shared" si="2"/>
        <v>3314.9700000000003</v>
      </c>
      <c r="I7" s="344">
        <f t="shared" si="3"/>
        <v>0</v>
      </c>
      <c r="J7" s="269">
        <v>3314.97</v>
      </c>
      <c r="K7" s="337">
        <v>32289.114559407779</v>
      </c>
      <c r="L7" s="347">
        <v>1.1630451448662844</v>
      </c>
      <c r="M7" s="163"/>
      <c r="N7" s="163"/>
      <c r="O7" s="163"/>
      <c r="P7" s="173"/>
      <c r="Q7" s="135" t="s">
        <v>83</v>
      </c>
      <c r="R7" s="346">
        <v>0.26666666666666666</v>
      </c>
      <c r="S7" s="346">
        <v>0.23333333333333334</v>
      </c>
      <c r="T7" s="346">
        <v>0.2</v>
      </c>
      <c r="U7" s="346">
        <v>0.16666666666666669</v>
      </c>
      <c r="V7" s="346">
        <v>0.13333333333333336</v>
      </c>
      <c r="W7" s="262">
        <f t="shared" si="4"/>
        <v>1</v>
      </c>
      <c r="X7" s="163"/>
      <c r="Y7" s="135" t="s">
        <v>83</v>
      </c>
      <c r="Z7" s="246">
        <f t="shared" si="1"/>
        <v>0.15074769832921833</v>
      </c>
      <c r="AA7" s="246">
        <f t="shared" si="1"/>
        <v>0.19074941897917311</v>
      </c>
      <c r="AB7" s="246">
        <f t="shared" si="1"/>
        <v>0.19177091810083433</v>
      </c>
      <c r="AC7" s="246">
        <f t="shared" si="1"/>
        <v>0.19631360144721749</v>
      </c>
      <c r="AD7" s="246">
        <f t="shared" si="1"/>
        <v>0.27041836314355672</v>
      </c>
      <c r="AE7" s="262">
        <f t="shared" si="5"/>
        <v>0.99999999999999989</v>
      </c>
      <c r="AF7" s="163"/>
    </row>
    <row r="8" spans="1:32" ht="14.4" x14ac:dyDescent="0.3">
      <c r="A8" s="133"/>
      <c r="B8" s="135" t="s">
        <v>84</v>
      </c>
      <c r="C8" s="343">
        <f t="shared" si="0"/>
        <v>243.9840908418617</v>
      </c>
      <c r="D8" s="343">
        <f t="shared" si="0"/>
        <v>282.2643151797858</v>
      </c>
      <c r="E8" s="343">
        <f t="shared" si="0"/>
        <v>248.30390710474899</v>
      </c>
      <c r="F8" s="343">
        <f t="shared" si="0"/>
        <v>203.34859837931413</v>
      </c>
      <c r="G8" s="343">
        <f t="shared" si="0"/>
        <v>175.0680884942895</v>
      </c>
      <c r="H8" s="343">
        <f t="shared" si="2"/>
        <v>1152.9690000000001</v>
      </c>
      <c r="I8" s="344">
        <f t="shared" si="3"/>
        <v>0</v>
      </c>
      <c r="J8" s="270">
        <v>1152.9690000000001</v>
      </c>
      <c r="K8" s="338">
        <v>30065.802818636061</v>
      </c>
      <c r="L8" s="347">
        <v>1.3061099802923932</v>
      </c>
      <c r="M8" s="163"/>
      <c r="N8" s="163"/>
      <c r="O8" s="163"/>
      <c r="P8" s="173"/>
      <c r="Q8" s="135" t="s">
        <v>84</v>
      </c>
      <c r="R8" s="346">
        <v>0.33333333333333331</v>
      </c>
      <c r="S8" s="346">
        <v>0.26666666666666666</v>
      </c>
      <c r="T8" s="346">
        <v>0.2</v>
      </c>
      <c r="U8" s="346">
        <v>0.13333333333333336</v>
      </c>
      <c r="V8" s="346">
        <v>6.6666666666666693E-2</v>
      </c>
      <c r="W8" s="262">
        <f t="shared" si="4"/>
        <v>1</v>
      </c>
      <c r="X8" s="163"/>
      <c r="Y8" s="135" t="s">
        <v>84</v>
      </c>
      <c r="Z8" s="246">
        <f t="shared" si="1"/>
        <v>0.21161374750046333</v>
      </c>
      <c r="AA8" s="246">
        <f t="shared" si="1"/>
        <v>0.24481518165690994</v>
      </c>
      <c r="AB8" s="246">
        <f t="shared" si="1"/>
        <v>0.21536043649460565</v>
      </c>
      <c r="AC8" s="246">
        <f t="shared" si="1"/>
        <v>0.17636952804395792</v>
      </c>
      <c r="AD8" s="246">
        <f t="shared" si="1"/>
        <v>0.15184110630406325</v>
      </c>
      <c r="AE8" s="262">
        <f t="shared" si="5"/>
        <v>1</v>
      </c>
      <c r="AF8" s="163"/>
    </row>
    <row r="9" spans="1:32" ht="14.4" x14ac:dyDescent="0.3">
      <c r="A9" s="133"/>
      <c r="B9" s="135" t="s">
        <v>85</v>
      </c>
      <c r="C9" s="343">
        <f t="shared" si="0"/>
        <v>206.87607115924882</v>
      </c>
      <c r="D9" s="343">
        <f t="shared" si="0"/>
        <v>224.37579466514998</v>
      </c>
      <c r="E9" s="343">
        <f t="shared" si="0"/>
        <v>175.44906506703276</v>
      </c>
      <c r="F9" s="343">
        <f t="shared" si="0"/>
        <v>107.76306910856852</v>
      </c>
      <c r="G9" s="343">
        <f t="shared" si="0"/>
        <v>0</v>
      </c>
      <c r="H9" s="343">
        <f t="shared" si="2"/>
        <v>714.46400000000006</v>
      </c>
      <c r="I9" s="344">
        <f t="shared" si="3"/>
        <v>0</v>
      </c>
      <c r="J9" s="269">
        <v>714.46400000000006</v>
      </c>
      <c r="K9" s="337">
        <v>28993.682079153044</v>
      </c>
      <c r="L9" s="347">
        <v>1.489308035832787</v>
      </c>
      <c r="M9" s="163"/>
      <c r="N9" s="163"/>
      <c r="O9" s="163"/>
      <c r="P9" s="173"/>
      <c r="Q9" s="135" t="s">
        <v>85</v>
      </c>
      <c r="R9" s="346">
        <v>0.4</v>
      </c>
      <c r="S9" s="346">
        <v>0.3</v>
      </c>
      <c r="T9" s="346">
        <v>0.2</v>
      </c>
      <c r="U9" s="346">
        <v>0.1</v>
      </c>
      <c r="V9" s="346">
        <v>0</v>
      </c>
      <c r="W9" s="262">
        <f t="shared" si="4"/>
        <v>0.99999999999999989</v>
      </c>
      <c r="X9" s="163"/>
      <c r="Y9" s="135" t="s">
        <v>85</v>
      </c>
      <c r="Z9" s="246">
        <f t="shared" si="1"/>
        <v>0.2895542268879171</v>
      </c>
      <c r="AA9" s="246">
        <f t="shared" si="1"/>
        <v>0.31404772621874577</v>
      </c>
      <c r="AB9" s="246">
        <f t="shared" si="1"/>
        <v>0.24556739747143697</v>
      </c>
      <c r="AC9" s="246">
        <f t="shared" si="1"/>
        <v>0.15083064942190019</v>
      </c>
      <c r="AD9" s="246">
        <f t="shared" si="1"/>
        <v>0</v>
      </c>
      <c r="AE9" s="262">
        <f t="shared" si="5"/>
        <v>1</v>
      </c>
      <c r="AF9" s="163"/>
    </row>
    <row r="10" spans="1:32" s="163" customFormat="1" ht="14.4" x14ac:dyDescent="0.3">
      <c r="A10" s="133" t="s">
        <v>727</v>
      </c>
      <c r="B10" s="166"/>
      <c r="C10" s="339">
        <f>SUMPRODUCT(C3:C9,$K$3:$K$9)</f>
        <v>70734923.212128669</v>
      </c>
      <c r="D10" s="339">
        <f>SUMPRODUCT(D3:D9,$K$3:$K$9)</f>
        <v>108785834.46854386</v>
      </c>
      <c r="E10" s="339">
        <f>SUMPRODUCT(E3:E9,$K$3:$K$9)</f>
        <v>135214094.60807389</v>
      </c>
      <c r="F10" s="339">
        <f>SUMPRODUCT(F3:F9,$K$3:$K$9)</f>
        <v>175458152.3493228</v>
      </c>
      <c r="G10" s="339">
        <f>SUMPRODUCT(G3:G9,$K$3:$K$9)</f>
        <v>318225507.19493079</v>
      </c>
      <c r="H10" s="132"/>
      <c r="I10" s="252"/>
      <c r="J10" s="337"/>
      <c r="K10" s="337"/>
      <c r="L10" s="337"/>
      <c r="P10" s="173"/>
      <c r="Q10" s="166"/>
      <c r="R10" s="340"/>
      <c r="S10" s="340"/>
      <c r="T10" s="340"/>
      <c r="U10" s="340"/>
      <c r="V10" s="340"/>
      <c r="W10" s="341"/>
      <c r="Y10" s="166"/>
      <c r="Z10" s="249"/>
      <c r="AA10" s="249"/>
      <c r="AB10" s="249"/>
      <c r="AC10" s="249"/>
      <c r="AD10" s="249"/>
      <c r="AE10" s="341"/>
    </row>
    <row r="11" spans="1:32" s="163" customFormat="1" ht="14.4" x14ac:dyDescent="0.3">
      <c r="A11" s="133"/>
      <c r="B11" s="166"/>
      <c r="C11" s="249">
        <f>C14-C10</f>
        <v>14487.072655156255</v>
      </c>
      <c r="D11" s="249">
        <f>D14-D10</f>
        <v>22329.897113397717</v>
      </c>
      <c r="E11" s="249">
        <f>E14-E10</f>
        <v>27809.496984302998</v>
      </c>
      <c r="F11" s="249">
        <f>F14-F10</f>
        <v>36150.032964527607</v>
      </c>
      <c r="G11" s="249">
        <f>G14-G10</f>
        <v>65668.273953199387</v>
      </c>
      <c r="H11" s="132"/>
      <c r="I11" s="252"/>
      <c r="J11" s="337"/>
      <c r="K11" s="337"/>
      <c r="L11" s="337"/>
      <c r="P11" s="173"/>
      <c r="Q11" s="166"/>
      <c r="R11" s="340"/>
      <c r="S11" s="340"/>
      <c r="T11" s="340"/>
      <c r="U11" s="340"/>
      <c r="V11" s="340"/>
      <c r="W11" s="341"/>
      <c r="Y11" s="166"/>
      <c r="Z11" s="249"/>
      <c r="AA11" s="249"/>
      <c r="AB11" s="249"/>
      <c r="AC11" s="249"/>
      <c r="AD11" s="249"/>
      <c r="AE11" s="341"/>
    </row>
    <row r="12" spans="1:32" ht="28.75" x14ac:dyDescent="0.3">
      <c r="A12" s="172" t="s">
        <v>725</v>
      </c>
      <c r="B12" s="166"/>
      <c r="C12" s="271">
        <v>5187.1499352372502</v>
      </c>
      <c r="D12" s="271">
        <v>5291.9408498258863</v>
      </c>
      <c r="E12" s="271">
        <v>5134.7544930349677</v>
      </c>
      <c r="F12" s="271">
        <v>5187.149951122954</v>
      </c>
      <c r="G12" s="271">
        <v>5396.7317707789198</v>
      </c>
      <c r="H12" s="271">
        <v>26197.726999999999</v>
      </c>
      <c r="I12" s="251">
        <f>J12-H12</f>
        <v>0</v>
      </c>
      <c r="J12" s="271">
        <f>SUM(J3:J9)</f>
        <v>26197.727000000003</v>
      </c>
      <c r="K12" s="271">
        <v>30858.345528717051</v>
      </c>
      <c r="L12" s="271"/>
      <c r="M12" s="163"/>
      <c r="N12" s="163"/>
      <c r="O12" s="163"/>
      <c r="P12" s="163"/>
      <c r="Q12" s="163"/>
      <c r="R12" s="163"/>
      <c r="S12" s="163"/>
      <c r="T12" s="163"/>
      <c r="U12" s="163"/>
      <c r="V12" s="163"/>
      <c r="W12" s="163"/>
      <c r="X12" s="163"/>
      <c r="Y12" s="163"/>
      <c r="Z12" s="163"/>
      <c r="AA12" s="163"/>
      <c r="AB12" s="163"/>
      <c r="AC12" s="163"/>
      <c r="AD12" s="163"/>
      <c r="AE12" s="163"/>
      <c r="AF12" s="163"/>
    </row>
    <row r="13" spans="1:32" ht="33" customHeight="1" x14ac:dyDescent="0.3">
      <c r="A13" s="172" t="s">
        <v>726</v>
      </c>
      <c r="C13" s="268">
        <v>13639.360953145051</v>
      </c>
      <c r="D13" s="268">
        <v>20561.107437404033</v>
      </c>
      <c r="E13" s="268">
        <v>26338.533670598456</v>
      </c>
      <c r="F13" s="268">
        <v>33832.509959403615</v>
      </c>
      <c r="G13" s="268">
        <v>58978.505693445732</v>
      </c>
      <c r="H13" s="268">
        <v>30858.345528717098</v>
      </c>
    </row>
    <row r="14" spans="1:32" s="163" customFormat="1" ht="33" customHeight="1" x14ac:dyDescent="0.3">
      <c r="A14" s="172"/>
      <c r="C14" s="268">
        <f t="shared" ref="C14:H14" si="6">C12*C13</f>
        <v>70749410.284783825</v>
      </c>
      <c r="D14" s="268">
        <f t="shared" si="6"/>
        <v>108808164.36565726</v>
      </c>
      <c r="E14" s="268">
        <f t="shared" si="6"/>
        <v>135241904.10505819</v>
      </c>
      <c r="F14" s="268">
        <f t="shared" si="6"/>
        <v>175494302.38228732</v>
      </c>
      <c r="G14" s="268">
        <f t="shared" si="6"/>
        <v>318291175.46888399</v>
      </c>
      <c r="H14" s="268">
        <f t="shared" si="6"/>
        <v>808418511.83300114</v>
      </c>
    </row>
    <row r="15" spans="1:32" x14ac:dyDescent="0.35">
      <c r="C15" s="312">
        <v>0.48605496633543133</v>
      </c>
      <c r="D15" s="312">
        <v>0.70289404802487676</v>
      </c>
      <c r="E15" s="312">
        <v>0.82443454128722693</v>
      </c>
      <c r="F15" s="312">
        <v>1.0127565674320633</v>
      </c>
      <c r="G15" s="312">
        <v>1.7438168522769171</v>
      </c>
      <c r="H15" s="163"/>
    </row>
    <row r="17" spans="3:8" customFormat="1" x14ac:dyDescent="0.35">
      <c r="C17">
        <f t="shared" ref="C17:H17" si="7">SUM(C3:C9)</f>
        <v>2224.2553457131226</v>
      </c>
      <c r="D17" s="163">
        <f t="shared" si="7"/>
        <v>3464.9349700725897</v>
      </c>
      <c r="E17" s="163">
        <f t="shared" si="7"/>
        <v>4355.4166559303885</v>
      </c>
      <c r="F17" s="163">
        <f t="shared" si="7"/>
        <v>5708.2008621616587</v>
      </c>
      <c r="G17" s="163">
        <f t="shared" si="7"/>
        <v>10444.919166122241</v>
      </c>
      <c r="H17" s="163">
        <f t="shared" si="7"/>
        <v>26197.727000000003</v>
      </c>
    </row>
    <row r="18" spans="3:8" customFormat="1" x14ac:dyDescent="0.35">
      <c r="C18">
        <f>C17/$H17</f>
        <v>8.4902607990117701E-2</v>
      </c>
      <c r="D18" s="163">
        <f>D17/$H17</f>
        <v>0.13226090072900559</v>
      </c>
      <c r="E18" s="163">
        <f>E17/$H17</f>
        <v>0.16625170023072566</v>
      </c>
      <c r="F18" s="163">
        <f>F17/$H17</f>
        <v>0.21788916504709199</v>
      </c>
      <c r="G18" s="163">
        <f>G17/$H17</f>
        <v>0.39869562600305897</v>
      </c>
      <c r="H18">
        <f>SUMPRODUCT(C18:G18,C13:G13)</f>
        <v>39142.483504893913</v>
      </c>
    </row>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log_revmoy">
                <anchor moveWithCells="1" sizeWithCells="1">
                  <from>
                    <xdr:col>1</xdr:col>
                    <xdr:colOff>158750</xdr:colOff>
                    <xdr:row>0</xdr:row>
                    <xdr:rowOff>38100</xdr:rowOff>
                  </from>
                  <to>
                    <xdr:col>2</xdr:col>
                    <xdr:colOff>0</xdr:colOff>
                    <xdr:row>0</xdr:row>
                    <xdr:rowOff>425450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D32"/>
  <sheetViews>
    <sheetView workbookViewId="0">
      <pane xSplit="1" ySplit="2" topLeftCell="AS3" activePane="bottomRight" state="frozen"/>
      <selection pane="topRight" activeCell="B1" sqref="B1"/>
      <selection pane="bottomLeft" activeCell="A3" sqref="A3"/>
      <selection pane="bottomRight" activeCell="BD8" sqref="BD8"/>
    </sheetView>
  </sheetViews>
  <sheetFormatPr baseColWidth="10" defaultColWidth="11.453125" defaultRowHeight="14.5" x14ac:dyDescent="0.35"/>
  <cols>
    <col min="1" max="1" width="41.36328125" style="309" customWidth="1"/>
    <col min="2" max="40" width="5.54296875" style="309" bestFit="1" customWidth="1"/>
    <col min="41" max="48" width="7.08984375" style="309" bestFit="1" customWidth="1"/>
    <col min="49" max="53" width="7.36328125" style="309" customWidth="1"/>
    <col min="54" max="256" width="11.54296875" style="309"/>
    <col min="257" max="257" width="41.36328125" style="309" customWidth="1"/>
    <col min="258" max="296" width="5.54296875" style="309" bestFit="1" customWidth="1"/>
    <col min="297" max="304" width="7.08984375" style="309" bestFit="1" customWidth="1"/>
    <col min="305" max="309" width="7.36328125" style="309" customWidth="1"/>
    <col min="310" max="512" width="11.54296875" style="309"/>
    <col min="513" max="513" width="41.36328125" style="309" customWidth="1"/>
    <col min="514" max="552" width="5.54296875" style="309" bestFit="1" customWidth="1"/>
    <col min="553" max="560" width="7.08984375" style="309" bestFit="1" customWidth="1"/>
    <col min="561" max="565" width="7.36328125" style="309" customWidth="1"/>
    <col min="566" max="768" width="11.54296875" style="309"/>
    <col min="769" max="769" width="41.36328125" style="309" customWidth="1"/>
    <col min="770" max="808" width="5.54296875" style="309" bestFit="1" customWidth="1"/>
    <col min="809" max="816" width="7.08984375" style="309" bestFit="1" customWidth="1"/>
    <col min="817" max="821" width="7.36328125" style="309" customWidth="1"/>
    <col min="822" max="1024" width="11.54296875" style="309"/>
    <col min="1025" max="1025" width="41.36328125" style="309" customWidth="1"/>
    <col min="1026" max="1064" width="5.54296875" style="309" bestFit="1" customWidth="1"/>
    <col min="1065" max="1072" width="7.08984375" style="309" bestFit="1" customWidth="1"/>
    <col min="1073" max="1077" width="7.36328125" style="309" customWidth="1"/>
    <col min="1078" max="1280" width="11.54296875" style="309"/>
    <col min="1281" max="1281" width="41.36328125" style="309" customWidth="1"/>
    <col min="1282" max="1320" width="5.54296875" style="309" bestFit="1" customWidth="1"/>
    <col min="1321" max="1328" width="7.08984375" style="309" bestFit="1" customWidth="1"/>
    <col min="1329" max="1333" width="7.36328125" style="309" customWidth="1"/>
    <col min="1334" max="1536" width="11.54296875" style="309"/>
    <col min="1537" max="1537" width="41.36328125" style="309" customWidth="1"/>
    <col min="1538" max="1576" width="5.54296875" style="309" bestFit="1" customWidth="1"/>
    <col min="1577" max="1584" width="7.08984375" style="309" bestFit="1" customWidth="1"/>
    <col min="1585" max="1589" width="7.36328125" style="309" customWidth="1"/>
    <col min="1590" max="1792" width="11.54296875" style="309"/>
    <col min="1793" max="1793" width="41.36328125" style="309" customWidth="1"/>
    <col min="1794" max="1832" width="5.54296875" style="309" bestFit="1" customWidth="1"/>
    <col min="1833" max="1840" width="7.08984375" style="309" bestFit="1" customWidth="1"/>
    <col min="1841" max="1845" width="7.36328125" style="309" customWidth="1"/>
    <col min="1846" max="2048" width="11.54296875" style="309"/>
    <col min="2049" max="2049" width="41.36328125" style="309" customWidth="1"/>
    <col min="2050" max="2088" width="5.54296875" style="309" bestFit="1" customWidth="1"/>
    <col min="2089" max="2096" width="7.08984375" style="309" bestFit="1" customWidth="1"/>
    <col min="2097" max="2101" width="7.36328125" style="309" customWidth="1"/>
    <col min="2102" max="2304" width="11.54296875" style="309"/>
    <col min="2305" max="2305" width="41.36328125" style="309" customWidth="1"/>
    <col min="2306" max="2344" width="5.54296875" style="309" bestFit="1" customWidth="1"/>
    <col min="2345" max="2352" width="7.08984375" style="309" bestFit="1" customWidth="1"/>
    <col min="2353" max="2357" width="7.36328125" style="309" customWidth="1"/>
    <col min="2358" max="2560" width="11.54296875" style="309"/>
    <col min="2561" max="2561" width="41.36328125" style="309" customWidth="1"/>
    <col min="2562" max="2600" width="5.54296875" style="309" bestFit="1" customWidth="1"/>
    <col min="2601" max="2608" width="7.08984375" style="309" bestFit="1" customWidth="1"/>
    <col min="2609" max="2613" width="7.36328125" style="309" customWidth="1"/>
    <col min="2614" max="2816" width="11.54296875" style="309"/>
    <col min="2817" max="2817" width="41.36328125" style="309" customWidth="1"/>
    <col min="2818" max="2856" width="5.54296875" style="309" bestFit="1" customWidth="1"/>
    <col min="2857" max="2864" width="7.08984375" style="309" bestFit="1" customWidth="1"/>
    <col min="2865" max="2869" width="7.36328125" style="309" customWidth="1"/>
    <col min="2870" max="3072" width="11.54296875" style="309"/>
    <col min="3073" max="3073" width="41.36328125" style="309" customWidth="1"/>
    <col min="3074" max="3112" width="5.54296875" style="309" bestFit="1" customWidth="1"/>
    <col min="3113" max="3120" width="7.08984375" style="309" bestFit="1" customWidth="1"/>
    <col min="3121" max="3125" width="7.36328125" style="309" customWidth="1"/>
    <col min="3126" max="3328" width="11.54296875" style="309"/>
    <col min="3329" max="3329" width="41.36328125" style="309" customWidth="1"/>
    <col min="3330" max="3368" width="5.54296875" style="309" bestFit="1" customWidth="1"/>
    <col min="3369" max="3376" width="7.08984375" style="309" bestFit="1" customWidth="1"/>
    <col min="3377" max="3381" width="7.36328125" style="309" customWidth="1"/>
    <col min="3382" max="3584" width="11.54296875" style="309"/>
    <col min="3585" max="3585" width="41.36328125" style="309" customWidth="1"/>
    <col min="3586" max="3624" width="5.54296875" style="309" bestFit="1" customWidth="1"/>
    <col min="3625" max="3632" width="7.08984375" style="309" bestFit="1" customWidth="1"/>
    <col min="3633" max="3637" width="7.36328125" style="309" customWidth="1"/>
    <col min="3638" max="3840" width="11.54296875" style="309"/>
    <col min="3841" max="3841" width="41.36328125" style="309" customWidth="1"/>
    <col min="3842" max="3880" width="5.54296875" style="309" bestFit="1" customWidth="1"/>
    <col min="3881" max="3888" width="7.08984375" style="309" bestFit="1" customWidth="1"/>
    <col min="3889" max="3893" width="7.36328125" style="309" customWidth="1"/>
    <col min="3894" max="4096" width="11.54296875" style="309"/>
    <col min="4097" max="4097" width="41.36328125" style="309" customWidth="1"/>
    <col min="4098" max="4136" width="5.54296875" style="309" bestFit="1" customWidth="1"/>
    <col min="4137" max="4144" width="7.08984375" style="309" bestFit="1" customWidth="1"/>
    <col min="4145" max="4149" width="7.36328125" style="309" customWidth="1"/>
    <col min="4150" max="4352" width="11.54296875" style="309"/>
    <col min="4353" max="4353" width="41.36328125" style="309" customWidth="1"/>
    <col min="4354" max="4392" width="5.54296875" style="309" bestFit="1" customWidth="1"/>
    <col min="4393" max="4400" width="7.08984375" style="309" bestFit="1" customWidth="1"/>
    <col min="4401" max="4405" width="7.36328125" style="309" customWidth="1"/>
    <col min="4406" max="4608" width="11.54296875" style="309"/>
    <col min="4609" max="4609" width="41.36328125" style="309" customWidth="1"/>
    <col min="4610" max="4648" width="5.54296875" style="309" bestFit="1" customWidth="1"/>
    <col min="4649" max="4656" width="7.08984375" style="309" bestFit="1" customWidth="1"/>
    <col min="4657" max="4661" width="7.36328125" style="309" customWidth="1"/>
    <col min="4662" max="4864" width="11.54296875" style="309"/>
    <col min="4865" max="4865" width="41.36328125" style="309" customWidth="1"/>
    <col min="4866" max="4904" width="5.54296875" style="309" bestFit="1" customWidth="1"/>
    <col min="4905" max="4912" width="7.08984375" style="309" bestFit="1" customWidth="1"/>
    <col min="4913" max="4917" width="7.36328125" style="309" customWidth="1"/>
    <col min="4918" max="5120" width="11.54296875" style="309"/>
    <col min="5121" max="5121" width="41.36328125" style="309" customWidth="1"/>
    <col min="5122" max="5160" width="5.54296875" style="309" bestFit="1" customWidth="1"/>
    <col min="5161" max="5168" width="7.08984375" style="309" bestFit="1" customWidth="1"/>
    <col min="5169" max="5173" width="7.36328125" style="309" customWidth="1"/>
    <col min="5174" max="5376" width="11.54296875" style="309"/>
    <col min="5377" max="5377" width="41.36328125" style="309" customWidth="1"/>
    <col min="5378" max="5416" width="5.54296875" style="309" bestFit="1" customWidth="1"/>
    <col min="5417" max="5424" width="7.08984375" style="309" bestFit="1" customWidth="1"/>
    <col min="5425" max="5429" width="7.36328125" style="309" customWidth="1"/>
    <col min="5430" max="5632" width="11.54296875" style="309"/>
    <col min="5633" max="5633" width="41.36328125" style="309" customWidth="1"/>
    <col min="5634" max="5672" width="5.54296875" style="309" bestFit="1" customWidth="1"/>
    <col min="5673" max="5680" width="7.08984375" style="309" bestFit="1" customWidth="1"/>
    <col min="5681" max="5685" width="7.36328125" style="309" customWidth="1"/>
    <col min="5686" max="5888" width="11.54296875" style="309"/>
    <col min="5889" max="5889" width="41.36328125" style="309" customWidth="1"/>
    <col min="5890" max="5928" width="5.54296875" style="309" bestFit="1" customWidth="1"/>
    <col min="5929" max="5936" width="7.08984375" style="309" bestFit="1" customWidth="1"/>
    <col min="5937" max="5941" width="7.36328125" style="309" customWidth="1"/>
    <col min="5942" max="6144" width="11.54296875" style="309"/>
    <col min="6145" max="6145" width="41.36328125" style="309" customWidth="1"/>
    <col min="6146" max="6184" width="5.54296875" style="309" bestFit="1" customWidth="1"/>
    <col min="6185" max="6192" width="7.08984375" style="309" bestFit="1" customWidth="1"/>
    <col min="6193" max="6197" width="7.36328125" style="309" customWidth="1"/>
    <col min="6198" max="6400" width="11.54296875" style="309"/>
    <col min="6401" max="6401" width="41.36328125" style="309" customWidth="1"/>
    <col min="6402" max="6440" width="5.54296875" style="309" bestFit="1" customWidth="1"/>
    <col min="6441" max="6448" width="7.08984375" style="309" bestFit="1" customWidth="1"/>
    <col min="6449" max="6453" width="7.36328125" style="309" customWidth="1"/>
    <col min="6454" max="6656" width="11.54296875" style="309"/>
    <col min="6657" max="6657" width="41.36328125" style="309" customWidth="1"/>
    <col min="6658" max="6696" width="5.54296875" style="309" bestFit="1" customWidth="1"/>
    <col min="6697" max="6704" width="7.08984375" style="309" bestFit="1" customWidth="1"/>
    <col min="6705" max="6709" width="7.36328125" style="309" customWidth="1"/>
    <col min="6710" max="6912" width="11.54296875" style="309"/>
    <col min="6913" max="6913" width="41.36328125" style="309" customWidth="1"/>
    <col min="6914" max="6952" width="5.54296875" style="309" bestFit="1" customWidth="1"/>
    <col min="6953" max="6960" width="7.08984375" style="309" bestFit="1" customWidth="1"/>
    <col min="6961" max="6965" width="7.36328125" style="309" customWidth="1"/>
    <col min="6966" max="7168" width="11.54296875" style="309"/>
    <col min="7169" max="7169" width="41.36328125" style="309" customWidth="1"/>
    <col min="7170" max="7208" width="5.54296875" style="309" bestFit="1" customWidth="1"/>
    <col min="7209" max="7216" width="7.08984375" style="309" bestFit="1" customWidth="1"/>
    <col min="7217" max="7221" width="7.36328125" style="309" customWidth="1"/>
    <col min="7222" max="7424" width="11.54296875" style="309"/>
    <col min="7425" max="7425" width="41.36328125" style="309" customWidth="1"/>
    <col min="7426" max="7464" width="5.54296875" style="309" bestFit="1" customWidth="1"/>
    <col min="7465" max="7472" width="7.08984375" style="309" bestFit="1" customWidth="1"/>
    <col min="7473" max="7477" width="7.36328125" style="309" customWidth="1"/>
    <col min="7478" max="7680" width="11.54296875" style="309"/>
    <col min="7681" max="7681" width="41.36328125" style="309" customWidth="1"/>
    <col min="7682" max="7720" width="5.54296875" style="309" bestFit="1" customWidth="1"/>
    <col min="7721" max="7728" width="7.08984375" style="309" bestFit="1" customWidth="1"/>
    <col min="7729" max="7733" width="7.36328125" style="309" customWidth="1"/>
    <col min="7734" max="7936" width="11.54296875" style="309"/>
    <col min="7937" max="7937" width="41.36328125" style="309" customWidth="1"/>
    <col min="7938" max="7976" width="5.54296875" style="309" bestFit="1" customWidth="1"/>
    <col min="7977" max="7984" width="7.08984375" style="309" bestFit="1" customWidth="1"/>
    <col min="7985" max="7989" width="7.36328125" style="309" customWidth="1"/>
    <col min="7990" max="8192" width="11.54296875" style="309"/>
    <col min="8193" max="8193" width="41.36328125" style="309" customWidth="1"/>
    <col min="8194" max="8232" width="5.54296875" style="309" bestFit="1" customWidth="1"/>
    <col min="8233" max="8240" width="7.08984375" style="309" bestFit="1" customWidth="1"/>
    <col min="8241" max="8245" width="7.36328125" style="309" customWidth="1"/>
    <col min="8246" max="8448" width="11.54296875" style="309"/>
    <col min="8449" max="8449" width="41.36328125" style="309" customWidth="1"/>
    <col min="8450" max="8488" width="5.54296875" style="309" bestFit="1" customWidth="1"/>
    <col min="8489" max="8496" width="7.08984375" style="309" bestFit="1" customWidth="1"/>
    <col min="8497" max="8501" width="7.36328125" style="309" customWidth="1"/>
    <col min="8502" max="8704" width="11.54296875" style="309"/>
    <col min="8705" max="8705" width="41.36328125" style="309" customWidth="1"/>
    <col min="8706" max="8744" width="5.54296875" style="309" bestFit="1" customWidth="1"/>
    <col min="8745" max="8752" width="7.08984375" style="309" bestFit="1" customWidth="1"/>
    <col min="8753" max="8757" width="7.36328125" style="309" customWidth="1"/>
    <col min="8758" max="8960" width="11.54296875" style="309"/>
    <col min="8961" max="8961" width="41.36328125" style="309" customWidth="1"/>
    <col min="8962" max="9000" width="5.54296875" style="309" bestFit="1" customWidth="1"/>
    <col min="9001" max="9008" width="7.08984375" style="309" bestFit="1" customWidth="1"/>
    <col min="9009" max="9013" width="7.36328125" style="309" customWidth="1"/>
    <col min="9014" max="9216" width="11.54296875" style="309"/>
    <col min="9217" max="9217" width="41.36328125" style="309" customWidth="1"/>
    <col min="9218" max="9256" width="5.54296875" style="309" bestFit="1" customWidth="1"/>
    <col min="9257" max="9264" width="7.08984375" style="309" bestFit="1" customWidth="1"/>
    <col min="9265" max="9269" width="7.36328125" style="309" customWidth="1"/>
    <col min="9270" max="9472" width="11.54296875" style="309"/>
    <col min="9473" max="9473" width="41.36328125" style="309" customWidth="1"/>
    <col min="9474" max="9512" width="5.54296875" style="309" bestFit="1" customWidth="1"/>
    <col min="9513" max="9520" width="7.08984375" style="309" bestFit="1" customWidth="1"/>
    <col min="9521" max="9525" width="7.36328125" style="309" customWidth="1"/>
    <col min="9526" max="9728" width="11.54296875" style="309"/>
    <col min="9729" max="9729" width="41.36328125" style="309" customWidth="1"/>
    <col min="9730" max="9768" width="5.54296875" style="309" bestFit="1" customWidth="1"/>
    <col min="9769" max="9776" width="7.08984375" style="309" bestFit="1" customWidth="1"/>
    <col min="9777" max="9781" width="7.36328125" style="309" customWidth="1"/>
    <col min="9782" max="9984" width="11.54296875" style="309"/>
    <col min="9985" max="9985" width="41.36328125" style="309" customWidth="1"/>
    <col min="9986" max="10024" width="5.54296875" style="309" bestFit="1" customWidth="1"/>
    <col min="10025" max="10032" width="7.08984375" style="309" bestFit="1" customWidth="1"/>
    <col min="10033" max="10037" width="7.36328125" style="309" customWidth="1"/>
    <col min="10038" max="10240" width="11.54296875" style="309"/>
    <col min="10241" max="10241" width="41.36328125" style="309" customWidth="1"/>
    <col min="10242" max="10280" width="5.54296875" style="309" bestFit="1" customWidth="1"/>
    <col min="10281" max="10288" width="7.08984375" style="309" bestFit="1" customWidth="1"/>
    <col min="10289" max="10293" width="7.36328125" style="309" customWidth="1"/>
    <col min="10294" max="10496" width="11.54296875" style="309"/>
    <col min="10497" max="10497" width="41.36328125" style="309" customWidth="1"/>
    <col min="10498" max="10536" width="5.54296875" style="309" bestFit="1" customWidth="1"/>
    <col min="10537" max="10544" width="7.08984375" style="309" bestFit="1" customWidth="1"/>
    <col min="10545" max="10549" width="7.36328125" style="309" customWidth="1"/>
    <col min="10550" max="10752" width="11.54296875" style="309"/>
    <col min="10753" max="10753" width="41.36328125" style="309" customWidth="1"/>
    <col min="10754" max="10792" width="5.54296875" style="309" bestFit="1" customWidth="1"/>
    <col min="10793" max="10800" width="7.08984375" style="309" bestFit="1" customWidth="1"/>
    <col min="10801" max="10805" width="7.36328125" style="309" customWidth="1"/>
    <col min="10806" max="11008" width="11.54296875" style="309"/>
    <col min="11009" max="11009" width="41.36328125" style="309" customWidth="1"/>
    <col min="11010" max="11048" width="5.54296875" style="309" bestFit="1" customWidth="1"/>
    <col min="11049" max="11056" width="7.08984375" style="309" bestFit="1" customWidth="1"/>
    <col min="11057" max="11061" width="7.36328125" style="309" customWidth="1"/>
    <col min="11062" max="11264" width="11.54296875" style="309"/>
    <col min="11265" max="11265" width="41.36328125" style="309" customWidth="1"/>
    <col min="11266" max="11304" width="5.54296875" style="309" bestFit="1" customWidth="1"/>
    <col min="11305" max="11312" width="7.08984375" style="309" bestFit="1" customWidth="1"/>
    <col min="11313" max="11317" width="7.36328125" style="309" customWidth="1"/>
    <col min="11318" max="11520" width="11.54296875" style="309"/>
    <col min="11521" max="11521" width="41.36328125" style="309" customWidth="1"/>
    <col min="11522" max="11560" width="5.54296875" style="309" bestFit="1" customWidth="1"/>
    <col min="11561" max="11568" width="7.08984375" style="309" bestFit="1" customWidth="1"/>
    <col min="11569" max="11573" width="7.36328125" style="309" customWidth="1"/>
    <col min="11574" max="11776" width="11.54296875" style="309"/>
    <col min="11777" max="11777" width="41.36328125" style="309" customWidth="1"/>
    <col min="11778" max="11816" width="5.54296875" style="309" bestFit="1" customWidth="1"/>
    <col min="11817" max="11824" width="7.08984375" style="309" bestFit="1" customWidth="1"/>
    <col min="11825" max="11829" width="7.36328125" style="309" customWidth="1"/>
    <col min="11830" max="12032" width="11.54296875" style="309"/>
    <col min="12033" max="12033" width="41.36328125" style="309" customWidth="1"/>
    <col min="12034" max="12072" width="5.54296875" style="309" bestFit="1" customWidth="1"/>
    <col min="12073" max="12080" width="7.08984375" style="309" bestFit="1" customWidth="1"/>
    <col min="12081" max="12085" width="7.36328125" style="309" customWidth="1"/>
    <col min="12086" max="12288" width="11.54296875" style="309"/>
    <col min="12289" max="12289" width="41.36328125" style="309" customWidth="1"/>
    <col min="12290" max="12328" width="5.54296875" style="309" bestFit="1" customWidth="1"/>
    <col min="12329" max="12336" width="7.08984375" style="309" bestFit="1" customWidth="1"/>
    <col min="12337" max="12341" width="7.36328125" style="309" customWidth="1"/>
    <col min="12342" max="12544" width="11.54296875" style="309"/>
    <col min="12545" max="12545" width="41.36328125" style="309" customWidth="1"/>
    <col min="12546" max="12584" width="5.54296875" style="309" bestFit="1" customWidth="1"/>
    <col min="12585" max="12592" width="7.08984375" style="309" bestFit="1" customWidth="1"/>
    <col min="12593" max="12597" width="7.36328125" style="309" customWidth="1"/>
    <col min="12598" max="12800" width="11.54296875" style="309"/>
    <col min="12801" max="12801" width="41.36328125" style="309" customWidth="1"/>
    <col min="12802" max="12840" width="5.54296875" style="309" bestFit="1" customWidth="1"/>
    <col min="12841" max="12848" width="7.08984375" style="309" bestFit="1" customWidth="1"/>
    <col min="12849" max="12853" width="7.36328125" style="309" customWidth="1"/>
    <col min="12854" max="13056" width="11.54296875" style="309"/>
    <col min="13057" max="13057" width="41.36328125" style="309" customWidth="1"/>
    <col min="13058" max="13096" width="5.54296875" style="309" bestFit="1" customWidth="1"/>
    <col min="13097" max="13104" width="7.08984375" style="309" bestFit="1" customWidth="1"/>
    <col min="13105" max="13109" width="7.36328125" style="309" customWidth="1"/>
    <col min="13110" max="13312" width="11.54296875" style="309"/>
    <col min="13313" max="13313" width="41.36328125" style="309" customWidth="1"/>
    <col min="13314" max="13352" width="5.54296875" style="309" bestFit="1" customWidth="1"/>
    <col min="13353" max="13360" width="7.08984375" style="309" bestFit="1" customWidth="1"/>
    <col min="13361" max="13365" width="7.36328125" style="309" customWidth="1"/>
    <col min="13366" max="13568" width="11.54296875" style="309"/>
    <col min="13569" max="13569" width="41.36328125" style="309" customWidth="1"/>
    <col min="13570" max="13608" width="5.54296875" style="309" bestFit="1" customWidth="1"/>
    <col min="13609" max="13616" width="7.08984375" style="309" bestFit="1" customWidth="1"/>
    <col min="13617" max="13621" width="7.36328125" style="309" customWidth="1"/>
    <col min="13622" max="13824" width="11.54296875" style="309"/>
    <col min="13825" max="13825" width="41.36328125" style="309" customWidth="1"/>
    <col min="13826" max="13864" width="5.54296875" style="309" bestFit="1" customWidth="1"/>
    <col min="13865" max="13872" width="7.08984375" style="309" bestFit="1" customWidth="1"/>
    <col min="13873" max="13877" width="7.36328125" style="309" customWidth="1"/>
    <col min="13878" max="14080" width="11.54296875" style="309"/>
    <col min="14081" max="14081" width="41.36328125" style="309" customWidth="1"/>
    <col min="14082" max="14120" width="5.54296875" style="309" bestFit="1" customWidth="1"/>
    <col min="14121" max="14128" width="7.08984375" style="309" bestFit="1" customWidth="1"/>
    <col min="14129" max="14133" width="7.36328125" style="309" customWidth="1"/>
    <col min="14134" max="14336" width="11.54296875" style="309"/>
    <col min="14337" max="14337" width="41.36328125" style="309" customWidth="1"/>
    <col min="14338" max="14376" width="5.54296875" style="309" bestFit="1" customWidth="1"/>
    <col min="14377" max="14384" width="7.08984375" style="309" bestFit="1" customWidth="1"/>
    <col min="14385" max="14389" width="7.36328125" style="309" customWidth="1"/>
    <col min="14390" max="14592" width="11.54296875" style="309"/>
    <col min="14593" max="14593" width="41.36328125" style="309" customWidth="1"/>
    <col min="14594" max="14632" width="5.54296875" style="309" bestFit="1" customWidth="1"/>
    <col min="14633" max="14640" width="7.08984375" style="309" bestFit="1" customWidth="1"/>
    <col min="14641" max="14645" width="7.36328125" style="309" customWidth="1"/>
    <col min="14646" max="14848" width="11.54296875" style="309"/>
    <col min="14849" max="14849" width="41.36328125" style="309" customWidth="1"/>
    <col min="14850" max="14888" width="5.54296875" style="309" bestFit="1" customWidth="1"/>
    <col min="14889" max="14896" width="7.08984375" style="309" bestFit="1" customWidth="1"/>
    <col min="14897" max="14901" width="7.36328125" style="309" customWidth="1"/>
    <col min="14902" max="15104" width="11.54296875" style="309"/>
    <col min="15105" max="15105" width="41.36328125" style="309" customWidth="1"/>
    <col min="15106" max="15144" width="5.54296875" style="309" bestFit="1" customWidth="1"/>
    <col min="15145" max="15152" width="7.08984375" style="309" bestFit="1" customWidth="1"/>
    <col min="15153" max="15157" width="7.36328125" style="309" customWidth="1"/>
    <col min="15158" max="15360" width="11.54296875" style="309"/>
    <col min="15361" max="15361" width="41.36328125" style="309" customWidth="1"/>
    <col min="15362" max="15400" width="5.54296875" style="309" bestFit="1" customWidth="1"/>
    <col min="15401" max="15408" width="7.08984375" style="309" bestFit="1" customWidth="1"/>
    <col min="15409" max="15413" width="7.36328125" style="309" customWidth="1"/>
    <col min="15414" max="15616" width="11.54296875" style="309"/>
    <col min="15617" max="15617" width="41.36328125" style="309" customWidth="1"/>
    <col min="15618" max="15656" width="5.54296875" style="309" bestFit="1" customWidth="1"/>
    <col min="15657" max="15664" width="7.08984375" style="309" bestFit="1" customWidth="1"/>
    <col min="15665" max="15669" width="7.36328125" style="309" customWidth="1"/>
    <col min="15670" max="15872" width="11.54296875" style="309"/>
    <col min="15873" max="15873" width="41.36328125" style="309" customWidth="1"/>
    <col min="15874" max="15912" width="5.54296875" style="309" bestFit="1" customWidth="1"/>
    <col min="15913" max="15920" width="7.08984375" style="309" bestFit="1" customWidth="1"/>
    <col min="15921" max="15925" width="7.36328125" style="309" customWidth="1"/>
    <col min="15926" max="16128" width="11.54296875" style="309"/>
    <col min="16129" max="16129" width="41.36328125" style="309" customWidth="1"/>
    <col min="16130" max="16168" width="5.54296875" style="309" bestFit="1" customWidth="1"/>
    <col min="16169" max="16176" width="7.08984375" style="309" bestFit="1" customWidth="1"/>
    <col min="16177" max="16181" width="7.36328125" style="309" customWidth="1"/>
    <col min="16182" max="16384" width="11.54296875" style="309"/>
  </cols>
  <sheetData>
    <row r="1" spans="1:56" s="294" customFormat="1" ht="13" x14ac:dyDescent="0.35">
      <c r="A1" s="293" t="s">
        <v>675</v>
      </c>
    </row>
    <row r="2" spans="1:56" s="294" customFormat="1" ht="13.25" x14ac:dyDescent="0.3">
      <c r="A2" s="293"/>
    </row>
    <row r="3" spans="1:56" s="294" customFormat="1" ht="13.25" x14ac:dyDescent="0.3">
      <c r="BA3" s="295" t="s">
        <v>676</v>
      </c>
    </row>
    <row r="4" spans="1:56" s="295" customFormat="1" ht="12.75" x14ac:dyDescent="0.25">
      <c r="B4" s="296">
        <v>1960</v>
      </c>
      <c r="C4" s="296">
        <v>1961</v>
      </c>
      <c r="D4" s="296">
        <v>1962</v>
      </c>
      <c r="E4" s="296">
        <v>1963</v>
      </c>
      <c r="F4" s="296">
        <v>1964</v>
      </c>
      <c r="G4" s="296">
        <v>1965</v>
      </c>
      <c r="H4" s="296">
        <v>1966</v>
      </c>
      <c r="I4" s="296">
        <v>1967</v>
      </c>
      <c r="J4" s="296">
        <v>1968</v>
      </c>
      <c r="K4" s="296">
        <v>1969</v>
      </c>
      <c r="L4" s="296">
        <v>1970</v>
      </c>
      <c r="M4" s="296">
        <v>1971</v>
      </c>
      <c r="N4" s="296">
        <v>1972</v>
      </c>
      <c r="O4" s="296">
        <v>1973</v>
      </c>
      <c r="P4" s="296">
        <v>1974</v>
      </c>
      <c r="Q4" s="296">
        <v>1975</v>
      </c>
      <c r="R4" s="296">
        <v>1976</v>
      </c>
      <c r="S4" s="296">
        <v>1977</v>
      </c>
      <c r="T4" s="296">
        <v>1978</v>
      </c>
      <c r="U4" s="296">
        <v>1979</v>
      </c>
      <c r="V4" s="296">
        <v>1980</v>
      </c>
      <c r="W4" s="296">
        <v>1981</v>
      </c>
      <c r="X4" s="296">
        <v>1982</v>
      </c>
      <c r="Y4" s="296">
        <v>1983</v>
      </c>
      <c r="Z4" s="296">
        <v>1984</v>
      </c>
      <c r="AA4" s="296">
        <v>1985</v>
      </c>
      <c r="AB4" s="296">
        <v>1986</v>
      </c>
      <c r="AC4" s="296">
        <v>1987</v>
      </c>
      <c r="AD4" s="296">
        <v>1988</v>
      </c>
      <c r="AE4" s="296">
        <v>1989</v>
      </c>
      <c r="AF4" s="296">
        <v>1990</v>
      </c>
      <c r="AG4" s="296">
        <v>1991</v>
      </c>
      <c r="AH4" s="296">
        <v>1992</v>
      </c>
      <c r="AI4" s="296">
        <v>1993</v>
      </c>
      <c r="AJ4" s="296">
        <v>1994</v>
      </c>
      <c r="AK4" s="296">
        <v>1995</v>
      </c>
      <c r="AL4" s="296">
        <v>1996</v>
      </c>
      <c r="AM4" s="296">
        <v>1997</v>
      </c>
      <c r="AN4" s="296">
        <v>1998</v>
      </c>
      <c r="AO4" s="296">
        <v>1999</v>
      </c>
      <c r="AP4" s="296">
        <v>2000</v>
      </c>
      <c r="AQ4" s="296">
        <v>2001</v>
      </c>
      <c r="AR4" s="296">
        <v>2002</v>
      </c>
      <c r="AS4" s="296">
        <v>2003</v>
      </c>
      <c r="AT4" s="296">
        <v>2004</v>
      </c>
      <c r="AU4" s="296">
        <v>2005</v>
      </c>
      <c r="AV4" s="296">
        <v>2006</v>
      </c>
      <c r="AW4" s="296">
        <v>2007</v>
      </c>
      <c r="AX4" s="296">
        <v>2008</v>
      </c>
      <c r="AY4" s="296" t="s">
        <v>677</v>
      </c>
      <c r="AZ4" s="296" t="s">
        <v>678</v>
      </c>
      <c r="BA4" s="296">
        <v>2011</v>
      </c>
      <c r="BC4" s="295">
        <v>2006</v>
      </c>
      <c r="BD4" s="295">
        <v>2006</v>
      </c>
    </row>
    <row r="5" spans="1:56" s="293" customFormat="1" ht="13.25" x14ac:dyDescent="0.3">
      <c r="A5" s="297" t="s">
        <v>679</v>
      </c>
      <c r="B5" s="297">
        <v>34.3125</v>
      </c>
      <c r="C5" s="297">
        <v>37.339199999999998</v>
      </c>
      <c r="D5" s="297">
        <v>42.573099999999997</v>
      </c>
      <c r="E5" s="297">
        <v>47.522199999999998</v>
      </c>
      <c r="F5" s="297">
        <v>52.031100000000002</v>
      </c>
      <c r="G5" s="298">
        <v>56.096299999999999</v>
      </c>
      <c r="H5" s="298">
        <v>60.669499999999999</v>
      </c>
      <c r="I5" s="297">
        <v>65.968499999999992</v>
      </c>
      <c r="J5" s="297">
        <v>72.992899999999992</v>
      </c>
      <c r="K5" s="297">
        <v>82.465400000000002</v>
      </c>
      <c r="L5" s="297">
        <v>92.859500000000011</v>
      </c>
      <c r="M5" s="297">
        <v>103.38539999999999</v>
      </c>
      <c r="N5" s="297">
        <v>115.764</v>
      </c>
      <c r="O5" s="297">
        <v>131.7467</v>
      </c>
      <c r="P5" s="297">
        <v>156.249</v>
      </c>
      <c r="Q5" s="297">
        <v>178.99080000000001</v>
      </c>
      <c r="R5" s="297">
        <v>204.99900000000002</v>
      </c>
      <c r="S5" s="297">
        <v>231.91969999999998</v>
      </c>
      <c r="T5" s="297">
        <v>262.74949999999995</v>
      </c>
      <c r="U5" s="297">
        <v>298.50119999999998</v>
      </c>
      <c r="V5" s="297">
        <v>340.61760000000004</v>
      </c>
      <c r="W5" s="297">
        <v>389.58660000000003</v>
      </c>
      <c r="X5" s="297">
        <v>445.161</v>
      </c>
      <c r="Y5" s="297">
        <v>491.17309999999998</v>
      </c>
      <c r="Z5" s="297">
        <v>527.63490000000002</v>
      </c>
      <c r="AA5" s="297">
        <v>561.66740000000004</v>
      </c>
      <c r="AB5" s="297">
        <v>589.43060000000003</v>
      </c>
      <c r="AC5" s="297">
        <v>618.26900000000001</v>
      </c>
      <c r="AD5" s="297">
        <v>654.66069999999991</v>
      </c>
      <c r="AE5" s="297">
        <v>707.74069999999995</v>
      </c>
      <c r="AF5" s="297">
        <v>753.93489999999997</v>
      </c>
      <c r="AG5" s="297">
        <v>788.74609999999996</v>
      </c>
      <c r="AH5" s="297">
        <v>820.77569999999992</v>
      </c>
      <c r="AI5" s="297">
        <v>836.44650000000001</v>
      </c>
      <c r="AJ5" s="297">
        <v>854.67430000000002</v>
      </c>
      <c r="AK5" s="297">
        <v>888.08510000000012</v>
      </c>
      <c r="AL5" s="297">
        <v>911.37420000000009</v>
      </c>
      <c r="AM5" s="297">
        <v>933.39189999999996</v>
      </c>
      <c r="AN5" s="297">
        <v>967.10489999999982</v>
      </c>
      <c r="AO5" s="297">
        <v>1001.4458000000001</v>
      </c>
      <c r="AP5" s="297">
        <v>1058.3466000000001</v>
      </c>
      <c r="AQ5" s="297">
        <v>1110.7218</v>
      </c>
      <c r="AR5" s="297">
        <v>1149.6261999999999</v>
      </c>
      <c r="AS5" s="297">
        <v>1180.1528000000001</v>
      </c>
      <c r="AT5" s="297">
        <v>1226.7991</v>
      </c>
      <c r="AU5" s="297">
        <v>1266.8371999999999</v>
      </c>
      <c r="AV5" s="297">
        <v>1325.12067</v>
      </c>
      <c r="AW5" s="297">
        <v>1385.0563399999999</v>
      </c>
      <c r="AX5" s="297">
        <v>1429.3688999999999</v>
      </c>
      <c r="AY5" s="297">
        <v>1412.9466</v>
      </c>
      <c r="AZ5" s="297">
        <v>1436.4572700000001</v>
      </c>
      <c r="BA5" s="297">
        <v>1484.5550000000001</v>
      </c>
    </row>
    <row r="6" spans="1:56" s="293" customFormat="1" ht="13.25" x14ac:dyDescent="0.3">
      <c r="A6" s="297" t="s">
        <v>680</v>
      </c>
      <c r="B6" s="297">
        <v>100</v>
      </c>
      <c r="C6" s="297">
        <v>100</v>
      </c>
      <c r="D6" s="297">
        <v>100</v>
      </c>
      <c r="E6" s="297">
        <v>100</v>
      </c>
      <c r="F6" s="297">
        <v>100</v>
      </c>
      <c r="G6" s="297">
        <v>100</v>
      </c>
      <c r="H6" s="297">
        <v>100</v>
      </c>
      <c r="I6" s="297">
        <v>100</v>
      </c>
      <c r="J6" s="297">
        <v>100</v>
      </c>
      <c r="K6" s="297">
        <v>100</v>
      </c>
      <c r="L6" s="297">
        <v>100</v>
      </c>
      <c r="M6" s="297">
        <v>100</v>
      </c>
      <c r="N6" s="297">
        <v>100</v>
      </c>
      <c r="O6" s="297">
        <v>100</v>
      </c>
      <c r="P6" s="297">
        <v>100</v>
      </c>
      <c r="Q6" s="297">
        <v>100</v>
      </c>
      <c r="R6" s="297">
        <v>100</v>
      </c>
      <c r="S6" s="297">
        <v>100</v>
      </c>
      <c r="T6" s="297">
        <v>100</v>
      </c>
      <c r="U6" s="297">
        <v>100</v>
      </c>
      <c r="V6" s="297">
        <v>100</v>
      </c>
      <c r="W6" s="297">
        <v>100</v>
      </c>
      <c r="X6" s="297">
        <v>100</v>
      </c>
      <c r="Y6" s="297">
        <v>100</v>
      </c>
      <c r="Z6" s="297">
        <v>100</v>
      </c>
      <c r="AA6" s="297">
        <v>100</v>
      </c>
      <c r="AB6" s="297">
        <v>100</v>
      </c>
      <c r="AC6" s="297">
        <v>100</v>
      </c>
      <c r="AD6" s="297">
        <v>100</v>
      </c>
      <c r="AE6" s="297">
        <v>100</v>
      </c>
      <c r="AF6" s="297">
        <v>100</v>
      </c>
      <c r="AG6" s="297">
        <v>100</v>
      </c>
      <c r="AH6" s="297">
        <v>100</v>
      </c>
      <c r="AI6" s="297">
        <v>100</v>
      </c>
      <c r="AJ6" s="297">
        <v>100</v>
      </c>
      <c r="AK6" s="297">
        <v>100</v>
      </c>
      <c r="AL6" s="297">
        <v>100</v>
      </c>
      <c r="AM6" s="297">
        <v>100</v>
      </c>
      <c r="AN6" s="297">
        <v>100</v>
      </c>
      <c r="AO6" s="297">
        <v>100</v>
      </c>
      <c r="AP6" s="297">
        <v>100</v>
      </c>
      <c r="AQ6" s="297">
        <v>100</v>
      </c>
      <c r="AR6" s="297">
        <v>100</v>
      </c>
      <c r="AS6" s="297">
        <v>100</v>
      </c>
      <c r="AT6" s="297">
        <v>100</v>
      </c>
      <c r="AU6" s="297">
        <v>100</v>
      </c>
      <c r="AV6" s="297">
        <v>100</v>
      </c>
      <c r="AW6" s="297">
        <v>100</v>
      </c>
      <c r="AX6" s="297">
        <v>100</v>
      </c>
      <c r="AY6" s="297">
        <v>100</v>
      </c>
      <c r="AZ6" s="297">
        <v>100</v>
      </c>
      <c r="BA6" s="297">
        <v>100</v>
      </c>
    </row>
    <row r="7" spans="1:56" s="294" customFormat="1" x14ac:dyDescent="0.35">
      <c r="A7" s="299" t="s">
        <v>56</v>
      </c>
      <c r="B7" s="300">
        <v>33.727941712204007</v>
      </c>
      <c r="C7" s="300">
        <v>32.107811629601066</v>
      </c>
      <c r="D7" s="300">
        <v>32.353058621523921</v>
      </c>
      <c r="E7" s="300">
        <v>31.134922204780079</v>
      </c>
      <c r="F7" s="300">
        <v>30.149660491513728</v>
      </c>
      <c r="G7" s="300">
        <v>30.072571631284056</v>
      </c>
      <c r="H7" s="300">
        <v>30.310947016210783</v>
      </c>
      <c r="I7" s="301">
        <v>30.497585969060996</v>
      </c>
      <c r="J7" s="301">
        <v>29.346141885032655</v>
      </c>
      <c r="K7" s="301">
        <v>28.246149294128202</v>
      </c>
      <c r="L7" s="301">
        <v>27.557977374420489</v>
      </c>
      <c r="M7" s="301">
        <v>26.33524656286091</v>
      </c>
      <c r="N7" s="301">
        <v>26.576655955219238</v>
      </c>
      <c r="O7" s="301">
        <v>25.788881239530099</v>
      </c>
      <c r="P7" s="301">
        <v>24.19868287157038</v>
      </c>
      <c r="Q7" s="301">
        <v>22.357517816558168</v>
      </c>
      <c r="R7" s="301">
        <v>21.473665725198654</v>
      </c>
      <c r="S7" s="301">
        <v>21.350320822250115</v>
      </c>
      <c r="T7" s="301">
        <v>21.799851189060306</v>
      </c>
      <c r="U7" s="301">
        <v>21.447350965423258</v>
      </c>
      <c r="V7" s="301">
        <v>20.884005993818285</v>
      </c>
      <c r="W7" s="301">
        <v>20.238683774031241</v>
      </c>
      <c r="X7" s="301">
        <v>20.245888566159209</v>
      </c>
      <c r="Y7" s="301">
        <v>20.37709312663906</v>
      </c>
      <c r="Z7" s="301">
        <v>20.241951394799699</v>
      </c>
      <c r="AA7" s="301">
        <v>20.256970584370752</v>
      </c>
      <c r="AB7" s="301">
        <v>20.211115608860482</v>
      </c>
      <c r="AC7" s="301">
        <v>20.197131022257302</v>
      </c>
      <c r="AD7" s="301">
        <v>20.279543280969826</v>
      </c>
      <c r="AE7" s="301">
        <v>20.57562889911517</v>
      </c>
      <c r="AF7" s="301">
        <v>20.33401027064804</v>
      </c>
      <c r="AG7" s="301">
        <v>20.020701211708055</v>
      </c>
      <c r="AH7" s="301">
        <v>20.191216674665203</v>
      </c>
      <c r="AI7" s="301">
        <v>19.991296514481199</v>
      </c>
      <c r="AJ7" s="301">
        <v>20.410933147281956</v>
      </c>
      <c r="AK7" s="301">
        <v>20.235054050563395</v>
      </c>
      <c r="AL7" s="301">
        <v>20.226938616432193</v>
      </c>
      <c r="AM7" s="301">
        <v>20.056216472416359</v>
      </c>
      <c r="AN7" s="301">
        <v>20.011293500839468</v>
      </c>
      <c r="AO7" s="301">
        <v>19.863042013856365</v>
      </c>
      <c r="AP7" s="301">
        <v>19.791021202316898</v>
      </c>
      <c r="AQ7" s="301">
        <v>20.119979638465725</v>
      </c>
      <c r="AR7" s="301">
        <v>19.831385192856601</v>
      </c>
      <c r="AS7" s="301">
        <v>19.639804269413247</v>
      </c>
      <c r="AT7" s="301">
        <v>19.63764075144822</v>
      </c>
      <c r="AU7" s="301">
        <v>19.629396737007728</v>
      </c>
      <c r="AV7" s="301">
        <v>19.73634974692531</v>
      </c>
      <c r="AW7" s="301">
        <v>19.955870531591515</v>
      </c>
      <c r="AX7" s="301">
        <v>19.967896321236598</v>
      </c>
      <c r="AY7" s="301">
        <v>19.087246467771674</v>
      </c>
      <c r="AZ7" s="301">
        <v>18.879034946859221</v>
      </c>
      <c r="BA7" s="301">
        <v>18.813920669830352</v>
      </c>
      <c r="BC7" s="314">
        <f t="shared" ref="BC7:BC16" si="0">$AV$5*AV7/100</f>
        <v>261.53044999999997</v>
      </c>
      <c r="BD7" s="311">
        <f>100*BC7/$BC$15</f>
        <v>22.557742779865738</v>
      </c>
    </row>
    <row r="8" spans="1:56" s="294" customFormat="1" x14ac:dyDescent="0.35">
      <c r="A8" s="299" t="s">
        <v>681</v>
      </c>
      <c r="B8" s="300">
        <v>61.185865209471771</v>
      </c>
      <c r="C8" s="300">
        <v>62.876012340917853</v>
      </c>
      <c r="D8" s="300">
        <v>62.38610765953149</v>
      </c>
      <c r="E8" s="300">
        <v>63.97746737314349</v>
      </c>
      <c r="F8" s="300">
        <v>65.105100603293025</v>
      </c>
      <c r="G8" s="300">
        <v>65.210539732567028</v>
      </c>
      <c r="H8" s="300">
        <v>65.039929453844195</v>
      </c>
      <c r="I8" s="301">
        <v>64.640548140400341</v>
      </c>
      <c r="J8" s="301">
        <v>65.697211646612217</v>
      </c>
      <c r="K8" s="301">
        <v>66.578589323522351</v>
      </c>
      <c r="L8" s="301">
        <v>67.128834421895448</v>
      </c>
      <c r="M8" s="301">
        <v>68.038523814774621</v>
      </c>
      <c r="N8" s="301">
        <v>67.883020628174563</v>
      </c>
      <c r="O8" s="301">
        <v>68.640580750789198</v>
      </c>
      <c r="P8" s="301">
        <v>69.23436309992384</v>
      </c>
      <c r="Q8" s="301">
        <v>71.315900035085605</v>
      </c>
      <c r="R8" s="301">
        <v>72.424743535334315</v>
      </c>
      <c r="S8" s="301">
        <v>72.853190134343919</v>
      </c>
      <c r="T8" s="301">
        <v>72.816123341814162</v>
      </c>
      <c r="U8" s="301">
        <v>72.836424108177795</v>
      </c>
      <c r="V8" s="301">
        <v>73.311332121417081</v>
      </c>
      <c r="W8" s="301">
        <v>72.872526929827671</v>
      </c>
      <c r="X8" s="301">
        <v>73.24311878174413</v>
      </c>
      <c r="Y8" s="301">
        <v>72.88556722670684</v>
      </c>
      <c r="Z8" s="301">
        <v>72.841049748604576</v>
      </c>
      <c r="AA8" s="301">
        <v>72.535596689428658</v>
      </c>
      <c r="AB8" s="301">
        <v>72.624546469083896</v>
      </c>
      <c r="AC8" s="301">
        <v>72.238896014517948</v>
      </c>
      <c r="AD8" s="301">
        <v>72.283382827165283</v>
      </c>
      <c r="AE8" s="301">
        <v>71.118617312809619</v>
      </c>
      <c r="AF8" s="301">
        <v>71.196054195130102</v>
      </c>
      <c r="AG8" s="301">
        <v>71.202063629855033</v>
      </c>
      <c r="AH8" s="301">
        <v>70.965441593848354</v>
      </c>
      <c r="AI8" s="301">
        <v>70.814535059923131</v>
      </c>
      <c r="AJ8" s="301">
        <v>70.797156296848982</v>
      </c>
      <c r="AK8" s="301">
        <v>70.559600650883567</v>
      </c>
      <c r="AL8" s="301">
        <v>70.672156398546278</v>
      </c>
      <c r="AM8" s="301">
        <v>70.792825607335999</v>
      </c>
      <c r="AN8" s="301">
        <v>70.7483128252168</v>
      </c>
      <c r="AO8" s="301">
        <v>71.587408924177424</v>
      </c>
      <c r="AP8" s="301">
        <v>71.452764151176922</v>
      </c>
      <c r="AQ8" s="301">
        <v>71.212035272918911</v>
      </c>
      <c r="AR8" s="301">
        <v>71.676454485814617</v>
      </c>
      <c r="AS8" s="301">
        <v>71.789873311320363</v>
      </c>
      <c r="AT8" s="301">
        <v>71.480179599088387</v>
      </c>
      <c r="AU8" s="301">
        <v>71.698376081788567</v>
      </c>
      <c r="AV8" s="301">
        <v>71.486411875229436</v>
      </c>
      <c r="AW8" s="301">
        <v>71.134022605896305</v>
      </c>
      <c r="AX8" s="301">
        <v>71.100329662972257</v>
      </c>
      <c r="AY8" s="301">
        <v>72.118365973632677</v>
      </c>
      <c r="AZ8" s="301">
        <v>72.549738983882193</v>
      </c>
      <c r="BA8" s="301">
        <v>72.5858590621432</v>
      </c>
      <c r="BC8" s="314">
        <f t="shared" si="0"/>
        <v>947.28121999999985</v>
      </c>
      <c r="BD8" s="311">
        <f t="shared" ref="BD8:BD14" si="1">100*BC8/$BC$15</f>
        <v>81.70569087063248</v>
      </c>
    </row>
    <row r="9" spans="1:56" s="294" customFormat="1" ht="14.4" x14ac:dyDescent="0.3">
      <c r="A9" s="299" t="s">
        <v>528</v>
      </c>
      <c r="B9" s="300">
        <v>5.086193078324226</v>
      </c>
      <c r="C9" s="300">
        <v>5.0161760294810822</v>
      </c>
      <c r="D9" s="300">
        <v>5.2608337189445926</v>
      </c>
      <c r="E9" s="300">
        <v>4.8876104220764187</v>
      </c>
      <c r="F9" s="300">
        <v>4.74523890519324</v>
      </c>
      <c r="G9" s="300">
        <v>4.7168886361489086</v>
      </c>
      <c r="H9" s="300">
        <v>4.6491235299450304</v>
      </c>
      <c r="I9" s="301">
        <v>4.8618658905386667</v>
      </c>
      <c r="J9" s="301">
        <v>4.9566464683551423</v>
      </c>
      <c r="K9" s="301">
        <v>5.1752613823494453</v>
      </c>
      <c r="L9" s="301">
        <v>5.3131882036840583</v>
      </c>
      <c r="M9" s="301">
        <v>5.6262296223644741</v>
      </c>
      <c r="N9" s="301">
        <v>5.5403234166061983</v>
      </c>
      <c r="O9" s="301">
        <v>5.570538009680698</v>
      </c>
      <c r="P9" s="301">
        <v>6.5669540285057826</v>
      </c>
      <c r="Q9" s="301">
        <v>6.326582148356227</v>
      </c>
      <c r="R9" s="301">
        <v>6.1015907394670217</v>
      </c>
      <c r="S9" s="301">
        <v>5.7964890434059733</v>
      </c>
      <c r="T9" s="301">
        <v>5.3840254691255369</v>
      </c>
      <c r="U9" s="301">
        <v>5.7162249263989562</v>
      </c>
      <c r="V9" s="301">
        <v>5.8046618847646148</v>
      </c>
      <c r="W9" s="301">
        <v>6.8887892961410886</v>
      </c>
      <c r="X9" s="301">
        <v>6.5109926520966575</v>
      </c>
      <c r="Y9" s="301">
        <v>6.7373396466541013</v>
      </c>
      <c r="Z9" s="301">
        <v>6.9169988565957254</v>
      </c>
      <c r="AA9" s="301">
        <v>7.2074327262005937</v>
      </c>
      <c r="AB9" s="301">
        <v>7.1643379220556245</v>
      </c>
      <c r="AC9" s="301">
        <v>7.5639729632247441</v>
      </c>
      <c r="AD9" s="301">
        <v>7.4370738918649009</v>
      </c>
      <c r="AE9" s="301">
        <v>8.3057537880752115</v>
      </c>
      <c r="AF9" s="301">
        <v>8.4699355342218556</v>
      </c>
      <c r="AG9" s="301">
        <v>8.7772351584369179</v>
      </c>
      <c r="AH9" s="301">
        <v>8.8433417314864489</v>
      </c>
      <c r="AI9" s="301">
        <v>9.1941684255956595</v>
      </c>
      <c r="AJ9" s="301">
        <v>8.7919105558690607</v>
      </c>
      <c r="AK9" s="301">
        <v>9.2053452985530324</v>
      </c>
      <c r="AL9" s="301">
        <v>9.1009049850215202</v>
      </c>
      <c r="AM9" s="301">
        <v>9.1509579202476452</v>
      </c>
      <c r="AN9" s="301">
        <v>9.240393673943748</v>
      </c>
      <c r="AO9" s="301">
        <v>8.5495490619662089</v>
      </c>
      <c r="AP9" s="301">
        <v>8.7562146465061623</v>
      </c>
      <c r="AQ9" s="301">
        <v>8.6679850886153496</v>
      </c>
      <c r="AR9" s="301">
        <v>8.4921603213287948</v>
      </c>
      <c r="AS9" s="301">
        <v>8.570322419266386</v>
      </c>
      <c r="AT9" s="301">
        <v>8.8821796494633887</v>
      </c>
      <c r="AU9" s="301">
        <v>8.6722271812037093</v>
      </c>
      <c r="AV9" s="301">
        <v>8.7772383778452401</v>
      </c>
      <c r="AW9" s="301">
        <v>8.910106862512178</v>
      </c>
      <c r="AX9" s="301">
        <v>8.9317740157911665</v>
      </c>
      <c r="AY9" s="301">
        <v>8.7943875585956324</v>
      </c>
      <c r="AZ9" s="301">
        <v>8.5712260692585716</v>
      </c>
      <c r="BA9" s="301">
        <v>8.6002202680264457</v>
      </c>
      <c r="BC9" s="302">
        <f t="shared" si="0"/>
        <v>116.30899999999998</v>
      </c>
      <c r="BD9" s="302">
        <f t="shared" si="1"/>
        <v>10.03198099870743</v>
      </c>
    </row>
    <row r="10" spans="1:56" s="293" customFormat="1" ht="13.25" x14ac:dyDescent="0.3">
      <c r="A10" s="303" t="s">
        <v>682</v>
      </c>
      <c r="B10" s="297">
        <v>-4.9818579234972686</v>
      </c>
      <c r="C10" s="297">
        <v>-5.9462977246432711</v>
      </c>
      <c r="D10" s="297">
        <v>-5.339052124463568</v>
      </c>
      <c r="E10" s="297">
        <v>-5.520367323061639</v>
      </c>
      <c r="F10" s="297">
        <v>-6.3020001499103433</v>
      </c>
      <c r="G10" s="297">
        <v>-6.613270393947551</v>
      </c>
      <c r="H10" s="297">
        <v>-6.7251254749091398</v>
      </c>
      <c r="I10" s="297">
        <v>-6.6281634416426023</v>
      </c>
      <c r="J10" s="297">
        <v>-7.4704526056643861</v>
      </c>
      <c r="K10" s="297">
        <v>-8.2091398331906476</v>
      </c>
      <c r="L10" s="297">
        <v>-8.2721746294132554</v>
      </c>
      <c r="M10" s="297">
        <v>-8.3198401321656625</v>
      </c>
      <c r="N10" s="297">
        <v>-8.2184444214090746</v>
      </c>
      <c r="O10" s="297">
        <v>-8.1862391999192408</v>
      </c>
      <c r="P10" s="297">
        <v>-8.1054598749431985</v>
      </c>
      <c r="Q10" s="297">
        <v>-8.2123215271399435</v>
      </c>
      <c r="R10" s="297">
        <v>-9.9716096176078928</v>
      </c>
      <c r="S10" s="297">
        <v>-10.453963160524959</v>
      </c>
      <c r="T10" s="297">
        <v>-9.6949756326843612</v>
      </c>
      <c r="U10" s="297">
        <v>-11.285817276446462</v>
      </c>
      <c r="V10" s="297">
        <v>-11.748688265080839</v>
      </c>
      <c r="W10" s="297">
        <v>-10.565096438121845</v>
      </c>
      <c r="X10" s="297">
        <v>-10.680315661075431</v>
      </c>
      <c r="Y10" s="297">
        <v>-11.346346125225502</v>
      </c>
      <c r="Z10" s="297">
        <v>-11.872433002441653</v>
      </c>
      <c r="AA10" s="297">
        <v>-11.420637907772461</v>
      </c>
      <c r="AB10" s="297">
        <v>-11.109433409123994</v>
      </c>
      <c r="AC10" s="297">
        <v>-11.867358706323619</v>
      </c>
      <c r="AD10" s="297">
        <v>-11.440078807235565</v>
      </c>
      <c r="AE10" s="297">
        <v>-11.802415771765002</v>
      </c>
      <c r="AF10" s="297">
        <v>-12.037776736426446</v>
      </c>
      <c r="AG10" s="297">
        <v>-12.00932720935165</v>
      </c>
      <c r="AH10" s="297">
        <v>-11.935026828888819</v>
      </c>
      <c r="AI10" s="297">
        <v>-11.474182748089683</v>
      </c>
      <c r="AJ10" s="297">
        <v>-11.661120499352794</v>
      </c>
      <c r="AK10" s="297">
        <v>-11.626081779775381</v>
      </c>
      <c r="AL10" s="297">
        <v>-12.130165633391856</v>
      </c>
      <c r="AM10" s="297">
        <v>-12.167032947253986</v>
      </c>
      <c r="AN10" s="297">
        <v>-12.466641416044942</v>
      </c>
      <c r="AO10" s="297">
        <v>-13.577529607693197</v>
      </c>
      <c r="AP10" s="297">
        <v>-13.700492825318278</v>
      </c>
      <c r="AQ10" s="297">
        <v>-13.489345396840147</v>
      </c>
      <c r="AR10" s="297">
        <v>-12.635080863675521</v>
      </c>
      <c r="AS10" s="297">
        <v>-12.73308846108741</v>
      </c>
      <c r="AT10" s="297">
        <v>-12.332239239497321</v>
      </c>
      <c r="AU10" s="297">
        <v>-12.483656147767054</v>
      </c>
      <c r="AV10" s="297">
        <v>-12.507426210474856</v>
      </c>
      <c r="AW10" s="297">
        <v>-12.012533006419078</v>
      </c>
      <c r="AX10" s="297">
        <v>-11.901336317027747</v>
      </c>
      <c r="AY10" s="297">
        <v>-10.468548492915444</v>
      </c>
      <c r="AZ10" s="297">
        <v>-10.204689207358042</v>
      </c>
      <c r="BA10" s="297">
        <v>-10.847358299288338</v>
      </c>
      <c r="BC10" s="302">
        <f t="shared" si="0"/>
        <v>-165.73849000000001</v>
      </c>
      <c r="BD10" s="302">
        <f t="shared" si="1"/>
        <v>-14.295414649205666</v>
      </c>
    </row>
    <row r="11" spans="1:56" s="294" customFormat="1" x14ac:dyDescent="0.35">
      <c r="A11" s="299" t="s">
        <v>683</v>
      </c>
      <c r="B11" s="300">
        <v>15.439271402550093</v>
      </c>
      <c r="C11" s="300">
        <v>15.907946608390111</v>
      </c>
      <c r="D11" s="300">
        <v>16.54331021231717</v>
      </c>
      <c r="E11" s="300">
        <v>17.489720593743556</v>
      </c>
      <c r="F11" s="300">
        <v>17.908135711141991</v>
      </c>
      <c r="G11" s="300">
        <v>18.234714232489484</v>
      </c>
      <c r="H11" s="300">
        <v>18.324858454412844</v>
      </c>
      <c r="I11" s="301">
        <v>18.388170111492606</v>
      </c>
      <c r="J11" s="301">
        <v>18.689762976947076</v>
      </c>
      <c r="K11" s="301">
        <v>18.768234920342351</v>
      </c>
      <c r="L11" s="301">
        <v>18.3365191498985</v>
      </c>
      <c r="M11" s="301">
        <v>18.34436970790847</v>
      </c>
      <c r="N11" s="301">
        <v>18.539874226875366</v>
      </c>
      <c r="O11" s="301">
        <v>18.73564954568122</v>
      </c>
      <c r="P11" s="301">
        <v>18.663607447087664</v>
      </c>
      <c r="Q11" s="301">
        <v>20.452000884961681</v>
      </c>
      <c r="R11" s="301">
        <v>20.555027097693156</v>
      </c>
      <c r="S11" s="301">
        <v>20.884556163189245</v>
      </c>
      <c r="T11" s="301">
        <v>21.719889095887911</v>
      </c>
      <c r="U11" s="301">
        <v>21.86346319545784</v>
      </c>
      <c r="V11" s="301">
        <v>22.166734778238116</v>
      </c>
      <c r="W11" s="301">
        <v>22.986904580393677</v>
      </c>
      <c r="X11" s="301">
        <v>23.915751829113514</v>
      </c>
      <c r="Y11" s="301">
        <v>24.291965500553676</v>
      </c>
      <c r="Z11" s="301">
        <v>24.843144378811939</v>
      </c>
      <c r="AA11" s="301">
        <v>25.372791798135335</v>
      </c>
      <c r="AB11" s="301">
        <v>25.789516187317041</v>
      </c>
      <c r="AC11" s="301">
        <v>25.515544204868757</v>
      </c>
      <c r="AD11" s="301">
        <v>25.63790678132963</v>
      </c>
      <c r="AE11" s="301">
        <v>25.115836915977845</v>
      </c>
      <c r="AF11" s="301">
        <v>25.087590453764648</v>
      </c>
      <c r="AG11" s="301">
        <v>25.497013551002031</v>
      </c>
      <c r="AH11" s="301">
        <v>25.984663044970752</v>
      </c>
      <c r="AI11" s="301">
        <v>26.88458855407967</v>
      </c>
      <c r="AJ11" s="301">
        <v>27.076524940553377</v>
      </c>
      <c r="AK11" s="301">
        <v>26.836921371611794</v>
      </c>
      <c r="AL11" s="301">
        <v>27.069089732845192</v>
      </c>
      <c r="AM11" s="301">
        <v>27.218952725002222</v>
      </c>
      <c r="AN11" s="301">
        <v>26.930894466567178</v>
      </c>
      <c r="AO11" s="301">
        <v>26.760060304811301</v>
      </c>
      <c r="AP11" s="301">
        <v>25.969734300653492</v>
      </c>
      <c r="AQ11" s="301">
        <v>25.705401658633146</v>
      </c>
      <c r="AR11" s="301">
        <v>26.197541426943815</v>
      </c>
      <c r="AS11" s="301">
        <v>26.575380747306614</v>
      </c>
      <c r="AT11" s="301">
        <v>26.725826583994071</v>
      </c>
      <c r="AU11" s="301">
        <v>26.921288702289452</v>
      </c>
      <c r="AV11" s="301">
        <v>26.790994060940875</v>
      </c>
      <c r="AW11" s="301">
        <v>26.623433960816349</v>
      </c>
      <c r="AX11" s="301">
        <v>26.681215744934704</v>
      </c>
      <c r="AY11" s="301">
        <v>28.480127982189845</v>
      </c>
      <c r="AZ11" s="301">
        <v>28.914539170385485</v>
      </c>
      <c r="BA11" s="301">
        <v>28.877744509297397</v>
      </c>
      <c r="BC11" s="302">
        <f t="shared" si="0"/>
        <v>355.01299999999998</v>
      </c>
      <c r="BD11" s="302">
        <f t="shared" si="1"/>
        <v>30.620877750596438</v>
      </c>
    </row>
    <row r="12" spans="1:56" s="294" customFormat="1" x14ac:dyDescent="0.35">
      <c r="A12" s="299" t="s">
        <v>684</v>
      </c>
      <c r="B12" s="300">
        <v>-16.720145719489985</v>
      </c>
      <c r="C12" s="300">
        <v>-18.006009769893303</v>
      </c>
      <c r="D12" s="300">
        <v>-18.180024475549114</v>
      </c>
      <c r="E12" s="300">
        <v>-19.109595094503199</v>
      </c>
      <c r="F12" s="300">
        <v>-19.667468110418575</v>
      </c>
      <c r="G12" s="300">
        <v>-20.039824373443523</v>
      </c>
      <c r="H12" s="300">
        <v>-20.156915748440323</v>
      </c>
      <c r="I12" s="301">
        <v>-20.473710937796074</v>
      </c>
      <c r="J12" s="301">
        <v>-20.846685088549709</v>
      </c>
      <c r="K12" s="301">
        <v>-21.432382550742489</v>
      </c>
      <c r="L12" s="301">
        <v>-21.254583537494817</v>
      </c>
      <c r="M12" s="301">
        <v>-21.52257475426898</v>
      </c>
      <c r="N12" s="301">
        <v>-21.67357727791023</v>
      </c>
      <c r="O12" s="301">
        <v>-21.785441305171211</v>
      </c>
      <c r="P12" s="301">
        <v>-21.985548707511725</v>
      </c>
      <c r="Q12" s="301">
        <v>-23.665182791517775</v>
      </c>
      <c r="R12" s="301">
        <v>-24.770803760018342</v>
      </c>
      <c r="S12" s="301">
        <v>-25.553241057141761</v>
      </c>
      <c r="T12" s="301">
        <v>-25.671219165022201</v>
      </c>
      <c r="U12" s="301">
        <v>-27.064581314915987</v>
      </c>
      <c r="V12" s="301">
        <v>-27.457624033520283</v>
      </c>
      <c r="W12" s="301">
        <v>-27.055935702100637</v>
      </c>
      <c r="X12" s="301">
        <v>-27.978034913211175</v>
      </c>
      <c r="Y12" s="301">
        <v>-28.631230008320895</v>
      </c>
      <c r="Z12" s="301">
        <v>-29.479740631258473</v>
      </c>
      <c r="AA12" s="301">
        <v>-29.736744557366158</v>
      </c>
      <c r="AB12" s="301">
        <v>-29.926695356501682</v>
      </c>
      <c r="AC12" s="301">
        <v>-30.362026884737869</v>
      </c>
      <c r="AD12" s="301">
        <v>-30.692357124843451</v>
      </c>
      <c r="AE12" s="301">
        <v>-30.663419526388697</v>
      </c>
      <c r="AF12" s="301">
        <v>-30.47527047759694</v>
      </c>
      <c r="AG12" s="301">
        <v>-30.284840711098287</v>
      </c>
      <c r="AH12" s="301">
        <v>-30.547066634648175</v>
      </c>
      <c r="AI12" s="301">
        <v>-30.657166955686943</v>
      </c>
      <c r="AJ12" s="301">
        <v>-30.631399586953766</v>
      </c>
      <c r="AK12" s="301">
        <v>-30.486616654192254</v>
      </c>
      <c r="AL12" s="301">
        <v>-30.804690323689211</v>
      </c>
      <c r="AM12" s="301">
        <v>-30.280496327426881</v>
      </c>
      <c r="AN12" s="301">
        <v>-27.564434840522477</v>
      </c>
      <c r="AO12" s="301">
        <v>-27.884374770956157</v>
      </c>
      <c r="AP12" s="301">
        <v>-27.466739157096541</v>
      </c>
      <c r="AQ12" s="301">
        <v>-27.309304634157716</v>
      </c>
      <c r="AR12" s="301">
        <v>-27.515743813075943</v>
      </c>
      <c r="AS12" s="301">
        <v>-27.867120257647993</v>
      </c>
      <c r="AT12" s="301">
        <v>-27.719371492854862</v>
      </c>
      <c r="AU12" s="301">
        <v>-27.892786855327582</v>
      </c>
      <c r="AV12" s="301">
        <v>-27.932927798945283</v>
      </c>
      <c r="AW12" s="301">
        <v>-27.691111106714985</v>
      </c>
      <c r="AX12" s="301">
        <v>-27.604280462517412</v>
      </c>
      <c r="AY12" s="301">
        <v>-28.23277256196377</v>
      </c>
      <c r="AZ12" s="301">
        <v>-28.351835345579058</v>
      </c>
      <c r="BA12" s="301">
        <v>-28.563508930285504</v>
      </c>
      <c r="BC12" s="302">
        <f t="shared" si="0"/>
        <v>-370.14499999999998</v>
      </c>
      <c r="BD12" s="302">
        <f t="shared" si="1"/>
        <v>-31.926055651467749</v>
      </c>
    </row>
    <row r="13" spans="1:56" s="294" customFormat="1" x14ac:dyDescent="0.35">
      <c r="A13" s="299" t="s">
        <v>685</v>
      </c>
      <c r="B13" s="300">
        <v>-4.4053916211293256</v>
      </c>
      <c r="C13" s="300">
        <v>-4.4401058405107774</v>
      </c>
      <c r="D13" s="300">
        <v>-4.2299010407980626</v>
      </c>
      <c r="E13" s="300">
        <v>-4.3524920984297868</v>
      </c>
      <c r="F13" s="300">
        <v>-5.0175760266456031</v>
      </c>
      <c r="G13" s="300">
        <v>-5.2509702065911652</v>
      </c>
      <c r="H13" s="300">
        <v>-5.3723864544787743</v>
      </c>
      <c r="I13" s="301">
        <v>-5.0457415281535889</v>
      </c>
      <c r="J13" s="301">
        <v>-5.6595915493150715</v>
      </c>
      <c r="K13" s="301">
        <v>-5.8215930559968188</v>
      </c>
      <c r="L13" s="301">
        <v>-5.5329826242872286</v>
      </c>
      <c r="M13" s="301">
        <v>-5.2192089018372032</v>
      </c>
      <c r="N13" s="301">
        <v>-5.3405203690266401</v>
      </c>
      <c r="O13" s="301">
        <v>-5.2036217984966608</v>
      </c>
      <c r="P13" s="301">
        <v>-5.2825938086003745</v>
      </c>
      <c r="Q13" s="301">
        <v>-5.452012058720336</v>
      </c>
      <c r="R13" s="301">
        <v>-6.199591217518134</v>
      </c>
      <c r="S13" s="301">
        <v>-6.3643148900244366</v>
      </c>
      <c r="T13" s="301">
        <v>-6.3263678903290019</v>
      </c>
      <c r="U13" s="301">
        <v>-6.5855681652201072</v>
      </c>
      <c r="V13" s="301">
        <v>-6.9130015595201186</v>
      </c>
      <c r="W13" s="301">
        <v>-6.9618410900169554</v>
      </c>
      <c r="X13" s="301">
        <v>-7.1395068301131497</v>
      </c>
      <c r="Y13" s="301">
        <v>-7.5845969577731358</v>
      </c>
      <c r="Z13" s="301">
        <v>-8.0345329696727799</v>
      </c>
      <c r="AA13" s="301">
        <v>-7.8209630824220877</v>
      </c>
      <c r="AB13" s="301">
        <v>-7.7484949033864199</v>
      </c>
      <c r="AC13" s="301">
        <v>-7.7300333673530455</v>
      </c>
      <c r="AD13" s="301">
        <v>-7.2246890641213088</v>
      </c>
      <c r="AE13" s="301">
        <v>-7.1263811732178191</v>
      </c>
      <c r="AF13" s="301">
        <v>-7.572444252149622</v>
      </c>
      <c r="AG13" s="301">
        <v>-8.0358305416660691</v>
      </c>
      <c r="AH13" s="301">
        <v>-8.3078604788129073</v>
      </c>
      <c r="AI13" s="301">
        <v>-8.399819952620998</v>
      </c>
      <c r="AJ13" s="301">
        <v>-8.6338854461869268</v>
      </c>
      <c r="AK13" s="301">
        <v>-8.4752688678145809</v>
      </c>
      <c r="AL13" s="301">
        <v>-8.8505906794377101</v>
      </c>
      <c r="AM13" s="301">
        <v>-9.4018386060560406</v>
      </c>
      <c r="AN13" s="301">
        <v>-12.373942061507497</v>
      </c>
      <c r="AO13" s="301">
        <v>-12.738782268596063</v>
      </c>
      <c r="AP13" s="301">
        <v>-12.586424900878407</v>
      </c>
      <c r="AQ13" s="301">
        <v>-12.286965106834131</v>
      </c>
      <c r="AR13" s="301">
        <v>-11.827322654963849</v>
      </c>
      <c r="AS13" s="301">
        <v>-11.896934024136534</v>
      </c>
      <c r="AT13" s="301">
        <v>-11.787015494223954</v>
      </c>
      <c r="AU13" s="301">
        <v>-12.062954892704447</v>
      </c>
      <c r="AV13" s="301">
        <v>-11.888502199577038</v>
      </c>
      <c r="AW13" s="301">
        <v>-11.516715630499192</v>
      </c>
      <c r="AX13" s="301">
        <v>-11.713351255928403</v>
      </c>
      <c r="AY13" s="301">
        <v>-11.312741755420905</v>
      </c>
      <c r="AZ13" s="301">
        <v>-11.43452042955653</v>
      </c>
      <c r="BA13" s="301">
        <v>-11.796464260333904</v>
      </c>
      <c r="BC13" s="302">
        <f t="shared" si="0"/>
        <v>-157.53699999999998</v>
      </c>
      <c r="BD13" s="302">
        <f t="shared" si="1"/>
        <v>-13.58801288458651</v>
      </c>
    </row>
    <row r="14" spans="1:56" s="294" customFormat="1" ht="14.4" x14ac:dyDescent="0.3">
      <c r="A14" s="299" t="s">
        <v>686</v>
      </c>
      <c r="B14" s="300">
        <v>0.70440801457194913</v>
      </c>
      <c r="C14" s="300">
        <v>0.591871277370699</v>
      </c>
      <c r="D14" s="300">
        <v>0.52756317956644072</v>
      </c>
      <c r="E14" s="300">
        <v>0.45199927612778912</v>
      </c>
      <c r="F14" s="300">
        <v>0.47490827601184654</v>
      </c>
      <c r="G14" s="300">
        <v>0.44280995359765318</v>
      </c>
      <c r="H14" s="300">
        <v>0.47931827359711254</v>
      </c>
      <c r="I14" s="301">
        <v>0.50311891281444987</v>
      </c>
      <c r="J14" s="301">
        <v>0.34606105525331909</v>
      </c>
      <c r="K14" s="301">
        <v>0.27660085320631428</v>
      </c>
      <c r="L14" s="301">
        <v>0.17887238247029053</v>
      </c>
      <c r="M14" s="301">
        <v>7.7573816032051213E-2</v>
      </c>
      <c r="N14" s="301">
        <v>0.25577899865243076</v>
      </c>
      <c r="O14" s="301">
        <v>6.7174358067413037E-2</v>
      </c>
      <c r="P14" s="301">
        <v>0.4990751940812419</v>
      </c>
      <c r="Q14" s="301">
        <v>0.45287243813648492</v>
      </c>
      <c r="R14" s="301">
        <v>0.44375826223542625</v>
      </c>
      <c r="S14" s="301">
        <v>0.57903662345199558</v>
      </c>
      <c r="T14" s="301">
        <v>0.58272232677892843</v>
      </c>
      <c r="U14" s="301">
        <v>0.50086900823179259</v>
      </c>
      <c r="V14" s="301">
        <v>0.45520254972144714</v>
      </c>
      <c r="W14" s="301">
        <v>0.46577577360207001</v>
      </c>
      <c r="X14" s="301">
        <v>0.52147425313538276</v>
      </c>
      <c r="Y14" s="301">
        <v>0.57751534031485041</v>
      </c>
      <c r="Z14" s="301">
        <v>0.79869621967765947</v>
      </c>
      <c r="AA14" s="301">
        <v>0.76427793388044252</v>
      </c>
      <c r="AB14" s="301">
        <v>0.77624066344706211</v>
      </c>
      <c r="AC14" s="301">
        <v>0.70915734089854066</v>
      </c>
      <c r="AD14" s="301">
        <v>0.83906060039956598</v>
      </c>
      <c r="AE14" s="301">
        <v>0.87154801186366693</v>
      </c>
      <c r="AF14" s="301">
        <v>0.92234753955547122</v>
      </c>
      <c r="AG14" s="301">
        <v>0.81433049241067557</v>
      </c>
      <c r="AH14" s="301">
        <v>0.93523723960151328</v>
      </c>
      <c r="AI14" s="301">
        <v>0.69821560613858757</v>
      </c>
      <c r="AJ14" s="301">
        <v>0.52763959323452292</v>
      </c>
      <c r="AK14" s="301">
        <v>0.49888237061966245</v>
      </c>
      <c r="AL14" s="301">
        <v>0.45602563688987446</v>
      </c>
      <c r="AM14" s="301">
        <v>0.2963492612267154</v>
      </c>
      <c r="AN14" s="301">
        <v>0.54084101941785312</v>
      </c>
      <c r="AO14" s="301">
        <v>0.2855671270477147</v>
      </c>
      <c r="AP14" s="301">
        <v>0.38293693200318268</v>
      </c>
      <c r="AQ14" s="301">
        <v>0.40152268551855164</v>
      </c>
      <c r="AR14" s="301">
        <v>0.51044417742045234</v>
      </c>
      <c r="AS14" s="301">
        <v>0.45558507339049648</v>
      </c>
      <c r="AT14" s="301">
        <v>0.4483211635874203</v>
      </c>
      <c r="AU14" s="301">
        <v>0.55079689797552533</v>
      </c>
      <c r="AV14" s="301">
        <v>0.52300972710658833</v>
      </c>
      <c r="AW14" s="301">
        <v>0.57185976997874344</v>
      </c>
      <c r="AX14" s="301">
        <v>0.73507965648336127</v>
      </c>
      <c r="AY14" s="301">
        <v>0.59683784227938974</v>
      </c>
      <c r="AZ14" s="301">
        <v>0.66712739739205751</v>
      </c>
      <c r="BA14" s="301">
        <v>0.63487038203367341</v>
      </c>
      <c r="BC14" s="302">
        <f t="shared" si="0"/>
        <v>6.9305099999999946</v>
      </c>
      <c r="BD14" s="302">
        <f t="shared" si="1"/>
        <v>0.59777613625215409</v>
      </c>
    </row>
    <row r="15" spans="1:56" s="293" customFormat="1" ht="13.25" x14ac:dyDescent="0.3">
      <c r="A15" s="297" t="s">
        <v>687</v>
      </c>
      <c r="B15" s="297">
        <v>95.018142076502727</v>
      </c>
      <c r="C15" s="297">
        <v>94.053702275356727</v>
      </c>
      <c r="D15" s="297">
        <v>94.660947875536436</v>
      </c>
      <c r="E15" s="297">
        <v>94.479632676938365</v>
      </c>
      <c r="F15" s="297">
        <v>93.697999850089658</v>
      </c>
      <c r="G15" s="297">
        <v>93.386729606052441</v>
      </c>
      <c r="H15" s="297">
        <v>93.274874525090851</v>
      </c>
      <c r="I15" s="297">
        <v>93.371836558357387</v>
      </c>
      <c r="J15" s="297">
        <v>92.529547394335637</v>
      </c>
      <c r="K15" s="297">
        <v>91.790860166809352</v>
      </c>
      <c r="L15" s="297">
        <v>91.727825370586743</v>
      </c>
      <c r="M15" s="297">
        <v>91.680159867834334</v>
      </c>
      <c r="N15" s="297">
        <v>91.78155557859094</v>
      </c>
      <c r="O15" s="297">
        <v>91.813760800080757</v>
      </c>
      <c r="P15" s="297">
        <v>91.894540125056793</v>
      </c>
      <c r="Q15" s="297">
        <v>91.787678472860051</v>
      </c>
      <c r="R15" s="297">
        <v>90.028390382392104</v>
      </c>
      <c r="S15" s="297">
        <v>89.546036839475036</v>
      </c>
      <c r="T15" s="297">
        <v>90.305024367315639</v>
      </c>
      <c r="U15" s="297">
        <v>88.71418272355352</v>
      </c>
      <c r="V15" s="297">
        <v>88.251311734919156</v>
      </c>
      <c r="W15" s="297">
        <v>89.434903561878158</v>
      </c>
      <c r="X15" s="297">
        <v>89.31968433892456</v>
      </c>
      <c r="Y15" s="297">
        <v>88.653653874774491</v>
      </c>
      <c r="Z15" s="297">
        <v>88.127566997558347</v>
      </c>
      <c r="AA15" s="297">
        <v>88.579362092227541</v>
      </c>
      <c r="AB15" s="297">
        <v>88.890566590876006</v>
      </c>
      <c r="AC15" s="297">
        <v>88.132641293676372</v>
      </c>
      <c r="AD15" s="297">
        <v>88.559921192764435</v>
      </c>
      <c r="AE15" s="297">
        <v>88.197584228235002</v>
      </c>
      <c r="AF15" s="297">
        <v>87.962223263573563</v>
      </c>
      <c r="AG15" s="297">
        <v>87.990672790648347</v>
      </c>
      <c r="AH15" s="297">
        <v>88.064973171111177</v>
      </c>
      <c r="AI15" s="297">
        <v>88.525817251910311</v>
      </c>
      <c r="AJ15" s="297">
        <v>88.338879500647209</v>
      </c>
      <c r="AK15" s="297">
        <v>88.37391822022461</v>
      </c>
      <c r="AL15" s="297">
        <v>87.869834366608146</v>
      </c>
      <c r="AM15" s="297">
        <v>87.832967052746014</v>
      </c>
      <c r="AN15" s="297">
        <v>87.533358583955049</v>
      </c>
      <c r="AO15" s="297">
        <v>86.422470392306806</v>
      </c>
      <c r="AP15" s="297">
        <v>86.299507174681722</v>
      </c>
      <c r="AQ15" s="297">
        <v>86.51065460315985</v>
      </c>
      <c r="AR15" s="297">
        <v>87.364919136324488</v>
      </c>
      <c r="AS15" s="297">
        <v>87.266911538912581</v>
      </c>
      <c r="AT15" s="297">
        <v>87.667760760502674</v>
      </c>
      <c r="AU15" s="297">
        <v>87.51634385223295</v>
      </c>
      <c r="AV15" s="297">
        <v>87.492573789525153</v>
      </c>
      <c r="AW15" s="297">
        <v>87.98746699358091</v>
      </c>
      <c r="AX15" s="297">
        <v>88.098663682972258</v>
      </c>
      <c r="AY15" s="297">
        <v>89.531451507084554</v>
      </c>
      <c r="AZ15" s="297">
        <v>89.795310792641956</v>
      </c>
      <c r="BA15" s="297">
        <v>89.152641700711655</v>
      </c>
      <c r="BC15" s="294">
        <f t="shared" si="0"/>
        <v>1159.3821800000001</v>
      </c>
      <c r="BD15" s="293">
        <v>100</v>
      </c>
    </row>
    <row r="16" spans="1:56" s="293" customFormat="1" ht="13.25" x14ac:dyDescent="0.3">
      <c r="A16" s="297" t="s">
        <v>688</v>
      </c>
      <c r="B16" s="297">
        <v>32.603099999999998</v>
      </c>
      <c r="C16" s="297">
        <v>35.118899999999996</v>
      </c>
      <c r="D16" s="297">
        <v>40.3001</v>
      </c>
      <c r="E16" s="297">
        <v>44.898800000000001</v>
      </c>
      <c r="F16" s="297">
        <v>48.752099999999999</v>
      </c>
      <c r="G16" s="297">
        <v>52.386499999999998</v>
      </c>
      <c r="H16" s="297">
        <v>56.589399999999998</v>
      </c>
      <c r="I16" s="297">
        <v>61.595999999999989</v>
      </c>
      <c r="J16" s="297">
        <v>67.540000000000006</v>
      </c>
      <c r="K16" s="297">
        <v>75.695700000000002</v>
      </c>
      <c r="L16" s="297">
        <v>85.178000000000011</v>
      </c>
      <c r="M16" s="297">
        <v>94.783899999999988</v>
      </c>
      <c r="N16" s="297">
        <v>106.25</v>
      </c>
      <c r="O16" s="297">
        <v>120.9616</v>
      </c>
      <c r="P16" s="297">
        <v>143.58429999999998</v>
      </c>
      <c r="Q16" s="297">
        <v>164.29150000000001</v>
      </c>
      <c r="R16" s="297">
        <v>184.55730000000003</v>
      </c>
      <c r="S16" s="297">
        <v>207.67489999999998</v>
      </c>
      <c r="T16" s="297">
        <v>237.27599999999995</v>
      </c>
      <c r="U16" s="297">
        <v>264.81289999999996</v>
      </c>
      <c r="V16" s="297">
        <v>300.59950000000003</v>
      </c>
      <c r="W16" s="297">
        <v>348.42640000000006</v>
      </c>
      <c r="X16" s="297">
        <v>397.6164</v>
      </c>
      <c r="Y16" s="297">
        <v>435.44290000000001</v>
      </c>
      <c r="Z16" s="297">
        <v>464.99180000000001</v>
      </c>
      <c r="AA16" s="297">
        <v>497.52140000000009</v>
      </c>
      <c r="AB16" s="297">
        <v>523.94820000000004</v>
      </c>
      <c r="AC16" s="297">
        <v>544.89679999999998</v>
      </c>
      <c r="AD16" s="297">
        <v>579.76699999999994</v>
      </c>
      <c r="AE16" s="297">
        <v>624.21019999999999</v>
      </c>
      <c r="AF16" s="297">
        <v>663.17790000000002</v>
      </c>
      <c r="AG16" s="297">
        <v>694.02300000000002</v>
      </c>
      <c r="AH16" s="297">
        <v>722.81589999999994</v>
      </c>
      <c r="AI16" s="297">
        <v>740.47109999999998</v>
      </c>
      <c r="AJ16" s="297">
        <v>755.00970000000007</v>
      </c>
      <c r="AK16" s="297">
        <v>784.83560000000011</v>
      </c>
      <c r="AL16" s="297">
        <v>800.82300000000009</v>
      </c>
      <c r="AM16" s="297">
        <v>819.82579999999996</v>
      </c>
      <c r="AN16" s="297">
        <v>846.53939999999977</v>
      </c>
      <c r="AO16" s="297">
        <v>865.47420000000011</v>
      </c>
      <c r="AP16" s="297">
        <v>913.3479000000001</v>
      </c>
      <c r="AQ16" s="297">
        <v>960.89269999999999</v>
      </c>
      <c r="AR16" s="297">
        <v>1004.37</v>
      </c>
      <c r="AS16" s="297">
        <v>1029.8829000000001</v>
      </c>
      <c r="AT16" s="297">
        <v>1075.5073</v>
      </c>
      <c r="AU16" s="297">
        <v>1108.6895999999999</v>
      </c>
      <c r="AV16" s="297">
        <v>1159.3821800000001</v>
      </c>
      <c r="AW16" s="297">
        <v>1218.6759899999997</v>
      </c>
      <c r="AX16" s="297">
        <v>1259.2548999999999</v>
      </c>
      <c r="AY16" s="297">
        <v>1265.0316</v>
      </c>
      <c r="AZ16" s="297">
        <v>1289.8712700000001</v>
      </c>
      <c r="BA16" s="297">
        <v>1323.52</v>
      </c>
      <c r="BC16" s="294">
        <f t="shared" si="0"/>
        <v>15363.212911476607</v>
      </c>
    </row>
    <row r="17" spans="1:53" s="293" customFormat="1" ht="13" x14ac:dyDescent="0.35">
      <c r="A17" s="304" t="s">
        <v>689</v>
      </c>
      <c r="B17" s="305"/>
      <c r="C17" s="305"/>
      <c r="D17" s="305"/>
      <c r="E17" s="305"/>
      <c r="F17" s="305"/>
      <c r="G17" s="305"/>
      <c r="H17" s="305"/>
      <c r="I17" s="305"/>
      <c r="J17" s="305"/>
      <c r="K17" s="305"/>
      <c r="L17" s="305"/>
      <c r="M17" s="305"/>
      <c r="N17" s="305"/>
      <c r="O17" s="305"/>
      <c r="P17" s="305"/>
      <c r="Q17" s="305"/>
      <c r="R17" s="305"/>
      <c r="S17" s="305"/>
      <c r="T17" s="305"/>
      <c r="U17" s="305"/>
      <c r="V17" s="305"/>
      <c r="W17" s="305"/>
      <c r="X17" s="305"/>
      <c r="Y17" s="305"/>
      <c r="Z17" s="305"/>
      <c r="AA17" s="305"/>
      <c r="AB17" s="305"/>
      <c r="AC17" s="305"/>
      <c r="AD17" s="305"/>
      <c r="AE17" s="305"/>
      <c r="AF17" s="305"/>
      <c r="AG17" s="305"/>
      <c r="AH17" s="305"/>
      <c r="AI17" s="305"/>
      <c r="AJ17" s="305"/>
      <c r="AK17" s="305"/>
      <c r="AL17" s="305"/>
      <c r="AM17" s="305"/>
      <c r="AN17" s="305"/>
      <c r="AO17" s="305"/>
      <c r="AP17" s="305"/>
      <c r="AQ17" s="305"/>
      <c r="AR17" s="305"/>
      <c r="AS17" s="305"/>
      <c r="AT17" s="305"/>
      <c r="AU17" s="305"/>
      <c r="AV17" s="305"/>
      <c r="AW17" s="305"/>
      <c r="AX17" s="305"/>
      <c r="AY17" s="305"/>
      <c r="AZ17" s="305"/>
      <c r="BA17" s="297"/>
    </row>
    <row r="18" spans="1:53" s="294" customFormat="1" ht="13.25" x14ac:dyDescent="0.3">
      <c r="A18" s="306" t="s">
        <v>690</v>
      </c>
      <c r="B18" s="301"/>
      <c r="C18" s="301"/>
      <c r="D18" s="301"/>
      <c r="E18" s="301"/>
      <c r="F18" s="301"/>
      <c r="G18" s="301"/>
      <c r="H18" s="301"/>
      <c r="I18" s="301"/>
      <c r="J18" s="301"/>
      <c r="K18" s="301"/>
      <c r="L18" s="301"/>
      <c r="M18" s="301"/>
      <c r="N18" s="301"/>
      <c r="O18" s="301"/>
      <c r="P18" s="301"/>
      <c r="Q18" s="301"/>
      <c r="R18" s="301"/>
      <c r="S18" s="301"/>
      <c r="T18" s="301"/>
      <c r="U18" s="301"/>
      <c r="V18" s="301"/>
      <c r="W18" s="301"/>
      <c r="X18" s="301"/>
      <c r="Y18" s="301"/>
      <c r="Z18" s="301"/>
      <c r="AA18" s="301"/>
      <c r="AB18" s="301"/>
      <c r="AC18" s="301"/>
      <c r="AD18" s="301"/>
      <c r="AE18" s="301"/>
      <c r="AF18" s="301"/>
      <c r="AG18" s="301"/>
      <c r="AH18" s="301"/>
      <c r="AI18" s="301"/>
      <c r="AJ18" s="301"/>
      <c r="AK18" s="301"/>
      <c r="AL18" s="301"/>
      <c r="AM18" s="301"/>
      <c r="AN18" s="301"/>
      <c r="AO18" s="301"/>
      <c r="AP18" s="301"/>
      <c r="AQ18" s="301"/>
      <c r="AR18" s="301"/>
      <c r="AS18" s="301"/>
      <c r="AT18" s="301"/>
      <c r="AU18" s="301"/>
      <c r="AV18" s="301"/>
      <c r="AW18" s="301"/>
      <c r="AX18" s="301"/>
      <c r="AY18" s="301"/>
      <c r="AZ18" s="301"/>
    </row>
    <row r="19" spans="1:53" ht="14.4" x14ac:dyDescent="0.3">
      <c r="A19" s="307" t="s">
        <v>691</v>
      </c>
      <c r="B19" s="308"/>
      <c r="C19" s="308"/>
      <c r="D19" s="308"/>
      <c r="E19" s="308"/>
      <c r="F19" s="308"/>
      <c r="G19" s="308"/>
      <c r="H19" s="308"/>
      <c r="I19" s="308"/>
      <c r="J19" s="308"/>
      <c r="K19" s="308"/>
      <c r="L19" s="308"/>
      <c r="M19" s="308"/>
      <c r="N19" s="308"/>
      <c r="O19" s="308"/>
      <c r="P19" s="308"/>
      <c r="Q19" s="308"/>
      <c r="R19" s="308"/>
      <c r="S19" s="308"/>
      <c r="T19" s="308"/>
      <c r="U19" s="308"/>
      <c r="V19" s="308"/>
      <c r="W19" s="308"/>
      <c r="X19" s="308"/>
      <c r="Y19" s="308"/>
      <c r="Z19" s="308"/>
      <c r="AA19" s="308"/>
      <c r="AB19" s="308"/>
      <c r="AC19" s="308"/>
      <c r="AD19" s="308"/>
      <c r="AE19" s="308"/>
      <c r="AF19" s="308"/>
      <c r="AG19" s="308"/>
      <c r="AH19" s="308"/>
      <c r="AI19" s="308"/>
      <c r="AJ19" s="308"/>
      <c r="AK19" s="308"/>
      <c r="AL19" s="308"/>
      <c r="AM19" s="308"/>
      <c r="AN19" s="308"/>
      <c r="AO19" s="308"/>
      <c r="AP19" s="308"/>
      <c r="AQ19" s="308"/>
      <c r="AR19" s="308"/>
      <c r="AS19" s="308"/>
      <c r="AT19" s="308"/>
      <c r="AU19" s="308"/>
      <c r="AV19" s="308"/>
      <c r="AW19" s="308"/>
      <c r="AX19" s="308"/>
      <c r="AY19" s="308"/>
      <c r="AZ19" s="308"/>
    </row>
    <row r="21" spans="1:53" x14ac:dyDescent="0.35">
      <c r="A21" s="297" t="s">
        <v>679</v>
      </c>
      <c r="AS21" s="309">
        <v>2003</v>
      </c>
      <c r="AT21" s="309">
        <v>2003</v>
      </c>
      <c r="AV21" s="309">
        <v>2006</v>
      </c>
      <c r="AW21" s="309" t="s">
        <v>695</v>
      </c>
    </row>
    <row r="22" spans="1:53" x14ac:dyDescent="0.35">
      <c r="A22" s="297" t="s">
        <v>680</v>
      </c>
      <c r="AT22" s="294" t="s">
        <v>692</v>
      </c>
      <c r="AU22" s="309" t="s">
        <v>696</v>
      </c>
      <c r="AX22" s="309" t="s">
        <v>696</v>
      </c>
    </row>
    <row r="23" spans="1:53" x14ac:dyDescent="0.35">
      <c r="A23" s="299" t="s">
        <v>56</v>
      </c>
      <c r="AS23" s="309">
        <f>$AS$5*AS7/100</f>
        <v>231.77969999999996</v>
      </c>
      <c r="AV23" s="309">
        <f>$AV$5*AV7/100</f>
        <v>261.53044999999997</v>
      </c>
    </row>
    <row r="24" spans="1:53" x14ac:dyDescent="0.35">
      <c r="A24" s="299" t="s">
        <v>681</v>
      </c>
      <c r="AS24" s="309">
        <f>$AS$5*AS8/100</f>
        <v>847.23020000000008</v>
      </c>
      <c r="AT24" s="309">
        <f>AS16*93/100</f>
        <v>957.79109700000004</v>
      </c>
      <c r="AU24" s="309">
        <f>AT24-AS24</f>
        <v>110.56089699999995</v>
      </c>
      <c r="AV24" s="309">
        <f>$AV$5*AV8/100</f>
        <v>947.28121999999985</v>
      </c>
      <c r="AW24" s="309">
        <f>AV16*93/100</f>
        <v>1078.2254273999999</v>
      </c>
      <c r="AX24" s="309">
        <f>AW24-AV24</f>
        <v>130.9442074000001</v>
      </c>
    </row>
    <row r="25" spans="1:53" x14ac:dyDescent="0.35">
      <c r="A25" s="299" t="s">
        <v>528</v>
      </c>
      <c r="AS25" s="309">
        <f t="shared" ref="AS25:AS31" si="2">$AS$5*AS9/100</f>
        <v>101.14290000000001</v>
      </c>
      <c r="AT25" s="309">
        <f>AS16*21/100</f>
        <v>216.275409</v>
      </c>
      <c r="AU25" s="309">
        <f>AT25-AS25</f>
        <v>115.13250899999998</v>
      </c>
      <c r="AV25" s="309">
        <f t="shared" ref="AV25:AV31" si="3">$AV$5*AV9/100</f>
        <v>116.30899999999998</v>
      </c>
      <c r="AW25" s="309">
        <f>AV16*21/100</f>
        <v>243.47025780000001</v>
      </c>
      <c r="AX25" s="309">
        <f>AW25-AV25</f>
        <v>127.16125780000003</v>
      </c>
    </row>
    <row r="26" spans="1:53" x14ac:dyDescent="0.35">
      <c r="A26" s="303" t="s">
        <v>682</v>
      </c>
      <c r="AS26" s="309">
        <f t="shared" si="2"/>
        <v>-150.26990000000001</v>
      </c>
      <c r="AU26" s="309">
        <f>AU25+AU24</f>
        <v>225.69340599999992</v>
      </c>
      <c r="AV26" s="309">
        <f t="shared" si="3"/>
        <v>-165.73849000000001</v>
      </c>
      <c r="AX26" s="309">
        <f>AX24+AX25</f>
        <v>258.10546520000014</v>
      </c>
    </row>
    <row r="27" spans="1:53" x14ac:dyDescent="0.35">
      <c r="A27" s="299" t="s">
        <v>683</v>
      </c>
      <c r="AS27" s="309">
        <f t="shared" si="2"/>
        <v>313.63009999999997</v>
      </c>
      <c r="AV27" s="309">
        <f t="shared" si="3"/>
        <v>355.01299999999998</v>
      </c>
    </row>
    <row r="28" spans="1:53" x14ac:dyDescent="0.35">
      <c r="A28" s="299" t="s">
        <v>684</v>
      </c>
      <c r="AS28" s="309">
        <f t="shared" si="2"/>
        <v>-328.87460000000004</v>
      </c>
      <c r="AV28" s="309">
        <f t="shared" si="3"/>
        <v>-370.14499999999998</v>
      </c>
    </row>
    <row r="29" spans="1:53" x14ac:dyDescent="0.35">
      <c r="A29" s="299" t="s">
        <v>685</v>
      </c>
      <c r="AS29" s="309">
        <f t="shared" si="2"/>
        <v>-140.40199999999999</v>
      </c>
      <c r="AV29" s="309">
        <f t="shared" si="3"/>
        <v>-157.53699999999998</v>
      </c>
    </row>
    <row r="30" spans="1:53" x14ac:dyDescent="0.35">
      <c r="A30" s="299" t="s">
        <v>686</v>
      </c>
      <c r="AS30" s="309">
        <f t="shared" si="2"/>
        <v>5.3765999999999998</v>
      </c>
      <c r="AV30" s="309">
        <f t="shared" si="3"/>
        <v>6.9305099999999946</v>
      </c>
    </row>
    <row r="31" spans="1:53" x14ac:dyDescent="0.35">
      <c r="A31" s="297" t="s">
        <v>687</v>
      </c>
      <c r="AS31" s="309">
        <f t="shared" si="2"/>
        <v>1029.8828999999998</v>
      </c>
      <c r="AV31" s="309">
        <f t="shared" si="3"/>
        <v>1159.3821800000001</v>
      </c>
    </row>
    <row r="32" spans="1:53" x14ac:dyDescent="0.35">
      <c r="A32" s="297" t="s">
        <v>688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60"/>
  <sheetViews>
    <sheetView topLeftCell="A28" workbookViewId="0"/>
  </sheetViews>
  <sheetFormatPr baseColWidth="10" defaultColWidth="11.453125" defaultRowHeight="14.5" x14ac:dyDescent="0.35"/>
  <cols>
    <col min="2" max="2" width="20.54296875" customWidth="1"/>
    <col min="3" max="3" width="17.08984375" customWidth="1"/>
    <col min="4" max="4" width="15.6328125" customWidth="1"/>
    <col min="5" max="5" width="20.54296875" customWidth="1"/>
    <col min="6" max="6" width="17.36328125" customWidth="1"/>
    <col min="7" max="7" width="15.6328125" customWidth="1"/>
    <col min="258" max="258" width="20.54296875" customWidth="1"/>
    <col min="259" max="259" width="17.08984375" customWidth="1"/>
    <col min="260" max="260" width="15.6328125" customWidth="1"/>
    <col min="261" max="261" width="20.54296875" customWidth="1"/>
    <col min="262" max="262" width="17.36328125" customWidth="1"/>
    <col min="263" max="263" width="15.6328125" customWidth="1"/>
    <col min="514" max="514" width="20.54296875" customWidth="1"/>
    <col min="515" max="515" width="17.08984375" customWidth="1"/>
    <col min="516" max="516" width="15.6328125" customWidth="1"/>
    <col min="517" max="517" width="20.54296875" customWidth="1"/>
    <col min="518" max="518" width="17.36328125" customWidth="1"/>
    <col min="519" max="519" width="15.6328125" customWidth="1"/>
    <col min="770" max="770" width="20.54296875" customWidth="1"/>
    <col min="771" max="771" width="17.08984375" customWidth="1"/>
    <col min="772" max="772" width="15.6328125" customWidth="1"/>
    <col min="773" max="773" width="20.54296875" customWidth="1"/>
    <col min="774" max="774" width="17.36328125" customWidth="1"/>
    <col min="775" max="775" width="15.6328125" customWidth="1"/>
    <col min="1026" max="1026" width="20.54296875" customWidth="1"/>
    <col min="1027" max="1027" width="17.08984375" customWidth="1"/>
    <col min="1028" max="1028" width="15.6328125" customWidth="1"/>
    <col min="1029" max="1029" width="20.54296875" customWidth="1"/>
    <col min="1030" max="1030" width="17.36328125" customWidth="1"/>
    <col min="1031" max="1031" width="15.6328125" customWidth="1"/>
    <col min="1282" max="1282" width="20.54296875" customWidth="1"/>
    <col min="1283" max="1283" width="17.08984375" customWidth="1"/>
    <col min="1284" max="1284" width="15.6328125" customWidth="1"/>
    <col min="1285" max="1285" width="20.54296875" customWidth="1"/>
    <col min="1286" max="1286" width="17.36328125" customWidth="1"/>
    <col min="1287" max="1287" width="15.6328125" customWidth="1"/>
    <col min="1538" max="1538" width="20.54296875" customWidth="1"/>
    <col min="1539" max="1539" width="17.08984375" customWidth="1"/>
    <col min="1540" max="1540" width="15.6328125" customWidth="1"/>
    <col min="1541" max="1541" width="20.54296875" customWidth="1"/>
    <col min="1542" max="1542" width="17.36328125" customWidth="1"/>
    <col min="1543" max="1543" width="15.6328125" customWidth="1"/>
    <col min="1794" max="1794" width="20.54296875" customWidth="1"/>
    <col min="1795" max="1795" width="17.08984375" customWidth="1"/>
    <col min="1796" max="1796" width="15.6328125" customWidth="1"/>
    <col min="1797" max="1797" width="20.54296875" customWidth="1"/>
    <col min="1798" max="1798" width="17.36328125" customWidth="1"/>
    <col min="1799" max="1799" width="15.6328125" customWidth="1"/>
    <col min="2050" max="2050" width="20.54296875" customWidth="1"/>
    <col min="2051" max="2051" width="17.08984375" customWidth="1"/>
    <col min="2052" max="2052" width="15.6328125" customWidth="1"/>
    <col min="2053" max="2053" width="20.54296875" customWidth="1"/>
    <col min="2054" max="2054" width="17.36328125" customWidth="1"/>
    <col min="2055" max="2055" width="15.6328125" customWidth="1"/>
    <col min="2306" max="2306" width="20.54296875" customWidth="1"/>
    <col min="2307" max="2307" width="17.08984375" customWidth="1"/>
    <col min="2308" max="2308" width="15.6328125" customWidth="1"/>
    <col min="2309" max="2309" width="20.54296875" customWidth="1"/>
    <col min="2310" max="2310" width="17.36328125" customWidth="1"/>
    <col min="2311" max="2311" width="15.6328125" customWidth="1"/>
    <col min="2562" max="2562" width="20.54296875" customWidth="1"/>
    <col min="2563" max="2563" width="17.08984375" customWidth="1"/>
    <col min="2564" max="2564" width="15.6328125" customWidth="1"/>
    <col min="2565" max="2565" width="20.54296875" customWidth="1"/>
    <col min="2566" max="2566" width="17.36328125" customWidth="1"/>
    <col min="2567" max="2567" width="15.6328125" customWidth="1"/>
    <col min="2818" max="2818" width="20.54296875" customWidth="1"/>
    <col min="2819" max="2819" width="17.08984375" customWidth="1"/>
    <col min="2820" max="2820" width="15.6328125" customWidth="1"/>
    <col min="2821" max="2821" width="20.54296875" customWidth="1"/>
    <col min="2822" max="2822" width="17.36328125" customWidth="1"/>
    <col min="2823" max="2823" width="15.6328125" customWidth="1"/>
    <col min="3074" max="3074" width="20.54296875" customWidth="1"/>
    <col min="3075" max="3075" width="17.08984375" customWidth="1"/>
    <col min="3076" max="3076" width="15.6328125" customWidth="1"/>
    <col min="3077" max="3077" width="20.54296875" customWidth="1"/>
    <col min="3078" max="3078" width="17.36328125" customWidth="1"/>
    <col min="3079" max="3079" width="15.6328125" customWidth="1"/>
    <col min="3330" max="3330" width="20.54296875" customWidth="1"/>
    <col min="3331" max="3331" width="17.08984375" customWidth="1"/>
    <col min="3332" max="3332" width="15.6328125" customWidth="1"/>
    <col min="3333" max="3333" width="20.54296875" customWidth="1"/>
    <col min="3334" max="3334" width="17.36328125" customWidth="1"/>
    <col min="3335" max="3335" width="15.6328125" customWidth="1"/>
    <col min="3586" max="3586" width="20.54296875" customWidth="1"/>
    <col min="3587" max="3587" width="17.08984375" customWidth="1"/>
    <col min="3588" max="3588" width="15.6328125" customWidth="1"/>
    <col min="3589" max="3589" width="20.54296875" customWidth="1"/>
    <col min="3590" max="3590" width="17.36328125" customWidth="1"/>
    <col min="3591" max="3591" width="15.6328125" customWidth="1"/>
    <col min="3842" max="3842" width="20.54296875" customWidth="1"/>
    <col min="3843" max="3843" width="17.08984375" customWidth="1"/>
    <col min="3844" max="3844" width="15.6328125" customWidth="1"/>
    <col min="3845" max="3845" width="20.54296875" customWidth="1"/>
    <col min="3846" max="3846" width="17.36328125" customWidth="1"/>
    <col min="3847" max="3847" width="15.6328125" customWidth="1"/>
    <col min="4098" max="4098" width="20.54296875" customWidth="1"/>
    <col min="4099" max="4099" width="17.08984375" customWidth="1"/>
    <col min="4100" max="4100" width="15.6328125" customWidth="1"/>
    <col min="4101" max="4101" width="20.54296875" customWidth="1"/>
    <col min="4102" max="4102" width="17.36328125" customWidth="1"/>
    <col min="4103" max="4103" width="15.6328125" customWidth="1"/>
    <col min="4354" max="4354" width="20.54296875" customWidth="1"/>
    <col min="4355" max="4355" width="17.08984375" customWidth="1"/>
    <col min="4356" max="4356" width="15.6328125" customWidth="1"/>
    <col min="4357" max="4357" width="20.54296875" customWidth="1"/>
    <col min="4358" max="4358" width="17.36328125" customWidth="1"/>
    <col min="4359" max="4359" width="15.6328125" customWidth="1"/>
    <col min="4610" max="4610" width="20.54296875" customWidth="1"/>
    <col min="4611" max="4611" width="17.08984375" customWidth="1"/>
    <col min="4612" max="4612" width="15.6328125" customWidth="1"/>
    <col min="4613" max="4613" width="20.54296875" customWidth="1"/>
    <col min="4614" max="4614" width="17.36328125" customWidth="1"/>
    <col min="4615" max="4615" width="15.6328125" customWidth="1"/>
    <col min="4866" max="4866" width="20.54296875" customWidth="1"/>
    <col min="4867" max="4867" width="17.08984375" customWidth="1"/>
    <col min="4868" max="4868" width="15.6328125" customWidth="1"/>
    <col min="4869" max="4869" width="20.54296875" customWidth="1"/>
    <col min="4870" max="4870" width="17.36328125" customWidth="1"/>
    <col min="4871" max="4871" width="15.6328125" customWidth="1"/>
    <col min="5122" max="5122" width="20.54296875" customWidth="1"/>
    <col min="5123" max="5123" width="17.08984375" customWidth="1"/>
    <col min="5124" max="5124" width="15.6328125" customWidth="1"/>
    <col min="5125" max="5125" width="20.54296875" customWidth="1"/>
    <col min="5126" max="5126" width="17.36328125" customWidth="1"/>
    <col min="5127" max="5127" width="15.6328125" customWidth="1"/>
    <col min="5378" max="5378" width="20.54296875" customWidth="1"/>
    <col min="5379" max="5379" width="17.08984375" customWidth="1"/>
    <col min="5380" max="5380" width="15.6328125" customWidth="1"/>
    <col min="5381" max="5381" width="20.54296875" customWidth="1"/>
    <col min="5382" max="5382" width="17.36328125" customWidth="1"/>
    <col min="5383" max="5383" width="15.6328125" customWidth="1"/>
    <col min="5634" max="5634" width="20.54296875" customWidth="1"/>
    <col min="5635" max="5635" width="17.08984375" customWidth="1"/>
    <col min="5636" max="5636" width="15.6328125" customWidth="1"/>
    <col min="5637" max="5637" width="20.54296875" customWidth="1"/>
    <col min="5638" max="5638" width="17.36328125" customWidth="1"/>
    <col min="5639" max="5639" width="15.6328125" customWidth="1"/>
    <col min="5890" max="5890" width="20.54296875" customWidth="1"/>
    <col min="5891" max="5891" width="17.08984375" customWidth="1"/>
    <col min="5892" max="5892" width="15.6328125" customWidth="1"/>
    <col min="5893" max="5893" width="20.54296875" customWidth="1"/>
    <col min="5894" max="5894" width="17.36328125" customWidth="1"/>
    <col min="5895" max="5895" width="15.6328125" customWidth="1"/>
    <col min="6146" max="6146" width="20.54296875" customWidth="1"/>
    <col min="6147" max="6147" width="17.08984375" customWidth="1"/>
    <col min="6148" max="6148" width="15.6328125" customWidth="1"/>
    <col min="6149" max="6149" width="20.54296875" customWidth="1"/>
    <col min="6150" max="6150" width="17.36328125" customWidth="1"/>
    <col min="6151" max="6151" width="15.6328125" customWidth="1"/>
    <col min="6402" max="6402" width="20.54296875" customWidth="1"/>
    <col min="6403" max="6403" width="17.08984375" customWidth="1"/>
    <col min="6404" max="6404" width="15.6328125" customWidth="1"/>
    <col min="6405" max="6405" width="20.54296875" customWidth="1"/>
    <col min="6406" max="6406" width="17.36328125" customWidth="1"/>
    <col min="6407" max="6407" width="15.6328125" customWidth="1"/>
    <col min="6658" max="6658" width="20.54296875" customWidth="1"/>
    <col min="6659" max="6659" width="17.08984375" customWidth="1"/>
    <col min="6660" max="6660" width="15.6328125" customWidth="1"/>
    <col min="6661" max="6661" width="20.54296875" customWidth="1"/>
    <col min="6662" max="6662" width="17.36328125" customWidth="1"/>
    <col min="6663" max="6663" width="15.6328125" customWidth="1"/>
    <col min="6914" max="6914" width="20.54296875" customWidth="1"/>
    <col min="6915" max="6915" width="17.08984375" customWidth="1"/>
    <col min="6916" max="6916" width="15.6328125" customWidth="1"/>
    <col min="6917" max="6917" width="20.54296875" customWidth="1"/>
    <col min="6918" max="6918" width="17.36328125" customWidth="1"/>
    <col min="6919" max="6919" width="15.6328125" customWidth="1"/>
    <col min="7170" max="7170" width="20.54296875" customWidth="1"/>
    <col min="7171" max="7171" width="17.08984375" customWidth="1"/>
    <col min="7172" max="7172" width="15.6328125" customWidth="1"/>
    <col min="7173" max="7173" width="20.54296875" customWidth="1"/>
    <col min="7174" max="7174" width="17.36328125" customWidth="1"/>
    <col min="7175" max="7175" width="15.6328125" customWidth="1"/>
    <col min="7426" max="7426" width="20.54296875" customWidth="1"/>
    <col min="7427" max="7427" width="17.08984375" customWidth="1"/>
    <col min="7428" max="7428" width="15.6328125" customWidth="1"/>
    <col min="7429" max="7429" width="20.54296875" customWidth="1"/>
    <col min="7430" max="7430" width="17.36328125" customWidth="1"/>
    <col min="7431" max="7431" width="15.6328125" customWidth="1"/>
    <col min="7682" max="7682" width="20.54296875" customWidth="1"/>
    <col min="7683" max="7683" width="17.08984375" customWidth="1"/>
    <col min="7684" max="7684" width="15.6328125" customWidth="1"/>
    <col min="7685" max="7685" width="20.54296875" customWidth="1"/>
    <col min="7686" max="7686" width="17.36328125" customWidth="1"/>
    <col min="7687" max="7687" width="15.6328125" customWidth="1"/>
    <col min="7938" max="7938" width="20.54296875" customWidth="1"/>
    <col min="7939" max="7939" width="17.08984375" customWidth="1"/>
    <col min="7940" max="7940" width="15.6328125" customWidth="1"/>
    <col min="7941" max="7941" width="20.54296875" customWidth="1"/>
    <col min="7942" max="7942" width="17.36328125" customWidth="1"/>
    <col min="7943" max="7943" width="15.6328125" customWidth="1"/>
    <col min="8194" max="8194" width="20.54296875" customWidth="1"/>
    <col min="8195" max="8195" width="17.08984375" customWidth="1"/>
    <col min="8196" max="8196" width="15.6328125" customWidth="1"/>
    <col min="8197" max="8197" width="20.54296875" customWidth="1"/>
    <col min="8198" max="8198" width="17.36328125" customWidth="1"/>
    <col min="8199" max="8199" width="15.6328125" customWidth="1"/>
    <col min="8450" max="8450" width="20.54296875" customWidth="1"/>
    <col min="8451" max="8451" width="17.08984375" customWidth="1"/>
    <col min="8452" max="8452" width="15.6328125" customWidth="1"/>
    <col min="8453" max="8453" width="20.54296875" customWidth="1"/>
    <col min="8454" max="8454" width="17.36328125" customWidth="1"/>
    <col min="8455" max="8455" width="15.6328125" customWidth="1"/>
    <col min="8706" max="8706" width="20.54296875" customWidth="1"/>
    <col min="8707" max="8707" width="17.08984375" customWidth="1"/>
    <col min="8708" max="8708" width="15.6328125" customWidth="1"/>
    <col min="8709" max="8709" width="20.54296875" customWidth="1"/>
    <col min="8710" max="8710" width="17.36328125" customWidth="1"/>
    <col min="8711" max="8711" width="15.6328125" customWidth="1"/>
    <col min="8962" max="8962" width="20.54296875" customWidth="1"/>
    <col min="8963" max="8963" width="17.08984375" customWidth="1"/>
    <col min="8964" max="8964" width="15.6328125" customWidth="1"/>
    <col min="8965" max="8965" width="20.54296875" customWidth="1"/>
    <col min="8966" max="8966" width="17.36328125" customWidth="1"/>
    <col min="8967" max="8967" width="15.6328125" customWidth="1"/>
    <col min="9218" max="9218" width="20.54296875" customWidth="1"/>
    <col min="9219" max="9219" width="17.08984375" customWidth="1"/>
    <col min="9220" max="9220" width="15.6328125" customWidth="1"/>
    <col min="9221" max="9221" width="20.54296875" customWidth="1"/>
    <col min="9222" max="9222" width="17.36328125" customWidth="1"/>
    <col min="9223" max="9223" width="15.6328125" customWidth="1"/>
    <col min="9474" max="9474" width="20.54296875" customWidth="1"/>
    <col min="9475" max="9475" width="17.08984375" customWidth="1"/>
    <col min="9476" max="9476" width="15.6328125" customWidth="1"/>
    <col min="9477" max="9477" width="20.54296875" customWidth="1"/>
    <col min="9478" max="9478" width="17.36328125" customWidth="1"/>
    <col min="9479" max="9479" width="15.6328125" customWidth="1"/>
    <col min="9730" max="9730" width="20.54296875" customWidth="1"/>
    <col min="9731" max="9731" width="17.08984375" customWidth="1"/>
    <col min="9732" max="9732" width="15.6328125" customWidth="1"/>
    <col min="9733" max="9733" width="20.54296875" customWidth="1"/>
    <col min="9734" max="9734" width="17.36328125" customWidth="1"/>
    <col min="9735" max="9735" width="15.6328125" customWidth="1"/>
    <col min="9986" max="9986" width="20.54296875" customWidth="1"/>
    <col min="9987" max="9987" width="17.08984375" customWidth="1"/>
    <col min="9988" max="9988" width="15.6328125" customWidth="1"/>
    <col min="9989" max="9989" width="20.54296875" customWidth="1"/>
    <col min="9990" max="9990" width="17.36328125" customWidth="1"/>
    <col min="9991" max="9991" width="15.6328125" customWidth="1"/>
    <col min="10242" max="10242" width="20.54296875" customWidth="1"/>
    <col min="10243" max="10243" width="17.08984375" customWidth="1"/>
    <col min="10244" max="10244" width="15.6328125" customWidth="1"/>
    <col min="10245" max="10245" width="20.54296875" customWidth="1"/>
    <col min="10246" max="10246" width="17.36328125" customWidth="1"/>
    <col min="10247" max="10247" width="15.6328125" customWidth="1"/>
    <col min="10498" max="10498" width="20.54296875" customWidth="1"/>
    <col min="10499" max="10499" width="17.08984375" customWidth="1"/>
    <col min="10500" max="10500" width="15.6328125" customWidth="1"/>
    <col min="10501" max="10501" width="20.54296875" customWidth="1"/>
    <col min="10502" max="10502" width="17.36328125" customWidth="1"/>
    <col min="10503" max="10503" width="15.6328125" customWidth="1"/>
    <col min="10754" max="10754" width="20.54296875" customWidth="1"/>
    <col min="10755" max="10755" width="17.08984375" customWidth="1"/>
    <col min="10756" max="10756" width="15.6328125" customWidth="1"/>
    <col min="10757" max="10757" width="20.54296875" customWidth="1"/>
    <col min="10758" max="10758" width="17.36328125" customWidth="1"/>
    <col min="10759" max="10759" width="15.6328125" customWidth="1"/>
    <col min="11010" max="11010" width="20.54296875" customWidth="1"/>
    <col min="11011" max="11011" width="17.08984375" customWidth="1"/>
    <col min="11012" max="11012" width="15.6328125" customWidth="1"/>
    <col min="11013" max="11013" width="20.54296875" customWidth="1"/>
    <col min="11014" max="11014" width="17.36328125" customWidth="1"/>
    <col min="11015" max="11015" width="15.6328125" customWidth="1"/>
    <col min="11266" max="11266" width="20.54296875" customWidth="1"/>
    <col min="11267" max="11267" width="17.08984375" customWidth="1"/>
    <col min="11268" max="11268" width="15.6328125" customWidth="1"/>
    <col min="11269" max="11269" width="20.54296875" customWidth="1"/>
    <col min="11270" max="11270" width="17.36328125" customWidth="1"/>
    <col min="11271" max="11271" width="15.6328125" customWidth="1"/>
    <col min="11522" max="11522" width="20.54296875" customWidth="1"/>
    <col min="11523" max="11523" width="17.08984375" customWidth="1"/>
    <col min="11524" max="11524" width="15.6328125" customWidth="1"/>
    <col min="11525" max="11525" width="20.54296875" customWidth="1"/>
    <col min="11526" max="11526" width="17.36328125" customWidth="1"/>
    <col min="11527" max="11527" width="15.6328125" customWidth="1"/>
    <col min="11778" max="11778" width="20.54296875" customWidth="1"/>
    <col min="11779" max="11779" width="17.08984375" customWidth="1"/>
    <col min="11780" max="11780" width="15.6328125" customWidth="1"/>
    <col min="11781" max="11781" width="20.54296875" customWidth="1"/>
    <col min="11782" max="11782" width="17.36328125" customWidth="1"/>
    <col min="11783" max="11783" width="15.6328125" customWidth="1"/>
    <col min="12034" max="12034" width="20.54296875" customWidth="1"/>
    <col min="12035" max="12035" width="17.08984375" customWidth="1"/>
    <col min="12036" max="12036" width="15.6328125" customWidth="1"/>
    <col min="12037" max="12037" width="20.54296875" customWidth="1"/>
    <col min="12038" max="12038" width="17.36328125" customWidth="1"/>
    <col min="12039" max="12039" width="15.6328125" customWidth="1"/>
    <col min="12290" max="12290" width="20.54296875" customWidth="1"/>
    <col min="12291" max="12291" width="17.08984375" customWidth="1"/>
    <col min="12292" max="12292" width="15.6328125" customWidth="1"/>
    <col min="12293" max="12293" width="20.54296875" customWidth="1"/>
    <col min="12294" max="12294" width="17.36328125" customWidth="1"/>
    <col min="12295" max="12295" width="15.6328125" customWidth="1"/>
    <col min="12546" max="12546" width="20.54296875" customWidth="1"/>
    <col min="12547" max="12547" width="17.08984375" customWidth="1"/>
    <col min="12548" max="12548" width="15.6328125" customWidth="1"/>
    <col min="12549" max="12549" width="20.54296875" customWidth="1"/>
    <col min="12550" max="12550" width="17.36328125" customWidth="1"/>
    <col min="12551" max="12551" width="15.6328125" customWidth="1"/>
    <col min="12802" max="12802" width="20.54296875" customWidth="1"/>
    <col min="12803" max="12803" width="17.08984375" customWidth="1"/>
    <col min="12804" max="12804" width="15.6328125" customWidth="1"/>
    <col min="12805" max="12805" width="20.54296875" customWidth="1"/>
    <col min="12806" max="12806" width="17.36328125" customWidth="1"/>
    <col min="12807" max="12807" width="15.6328125" customWidth="1"/>
    <col min="13058" max="13058" width="20.54296875" customWidth="1"/>
    <col min="13059" max="13059" width="17.08984375" customWidth="1"/>
    <col min="13060" max="13060" width="15.6328125" customWidth="1"/>
    <col min="13061" max="13061" width="20.54296875" customWidth="1"/>
    <col min="13062" max="13062" width="17.36328125" customWidth="1"/>
    <col min="13063" max="13063" width="15.6328125" customWidth="1"/>
    <col min="13314" max="13314" width="20.54296875" customWidth="1"/>
    <col min="13315" max="13315" width="17.08984375" customWidth="1"/>
    <col min="13316" max="13316" width="15.6328125" customWidth="1"/>
    <col min="13317" max="13317" width="20.54296875" customWidth="1"/>
    <col min="13318" max="13318" width="17.36328125" customWidth="1"/>
    <col min="13319" max="13319" width="15.6328125" customWidth="1"/>
    <col min="13570" max="13570" width="20.54296875" customWidth="1"/>
    <col min="13571" max="13571" width="17.08984375" customWidth="1"/>
    <col min="13572" max="13572" width="15.6328125" customWidth="1"/>
    <col min="13573" max="13573" width="20.54296875" customWidth="1"/>
    <col min="13574" max="13574" width="17.36328125" customWidth="1"/>
    <col min="13575" max="13575" width="15.6328125" customWidth="1"/>
    <col min="13826" max="13826" width="20.54296875" customWidth="1"/>
    <col min="13827" max="13827" width="17.08984375" customWidth="1"/>
    <col min="13828" max="13828" width="15.6328125" customWidth="1"/>
    <col min="13829" max="13829" width="20.54296875" customWidth="1"/>
    <col min="13830" max="13830" width="17.36328125" customWidth="1"/>
    <col min="13831" max="13831" width="15.6328125" customWidth="1"/>
    <col min="14082" max="14082" width="20.54296875" customWidth="1"/>
    <col min="14083" max="14083" width="17.08984375" customWidth="1"/>
    <col min="14084" max="14084" width="15.6328125" customWidth="1"/>
    <col min="14085" max="14085" width="20.54296875" customWidth="1"/>
    <col min="14086" max="14086" width="17.36328125" customWidth="1"/>
    <col min="14087" max="14087" width="15.6328125" customWidth="1"/>
    <col min="14338" max="14338" width="20.54296875" customWidth="1"/>
    <col min="14339" max="14339" width="17.08984375" customWidth="1"/>
    <col min="14340" max="14340" width="15.6328125" customWidth="1"/>
    <col min="14341" max="14341" width="20.54296875" customWidth="1"/>
    <col min="14342" max="14342" width="17.36328125" customWidth="1"/>
    <col min="14343" max="14343" width="15.6328125" customWidth="1"/>
    <col min="14594" max="14594" width="20.54296875" customWidth="1"/>
    <col min="14595" max="14595" width="17.08984375" customWidth="1"/>
    <col min="14596" max="14596" width="15.6328125" customWidth="1"/>
    <col min="14597" max="14597" width="20.54296875" customWidth="1"/>
    <col min="14598" max="14598" width="17.36328125" customWidth="1"/>
    <col min="14599" max="14599" width="15.6328125" customWidth="1"/>
    <col min="14850" max="14850" width="20.54296875" customWidth="1"/>
    <col min="14851" max="14851" width="17.08984375" customWidth="1"/>
    <col min="14852" max="14852" width="15.6328125" customWidth="1"/>
    <col min="14853" max="14853" width="20.54296875" customWidth="1"/>
    <col min="14854" max="14854" width="17.36328125" customWidth="1"/>
    <col min="14855" max="14855" width="15.6328125" customWidth="1"/>
    <col min="15106" max="15106" width="20.54296875" customWidth="1"/>
    <col min="15107" max="15107" width="17.08984375" customWidth="1"/>
    <col min="15108" max="15108" width="15.6328125" customWidth="1"/>
    <col min="15109" max="15109" width="20.54296875" customWidth="1"/>
    <col min="15110" max="15110" width="17.36328125" customWidth="1"/>
    <col min="15111" max="15111" width="15.6328125" customWidth="1"/>
    <col min="15362" max="15362" width="20.54296875" customWidth="1"/>
    <col min="15363" max="15363" width="17.08984375" customWidth="1"/>
    <col min="15364" max="15364" width="15.6328125" customWidth="1"/>
    <col min="15365" max="15365" width="20.54296875" customWidth="1"/>
    <col min="15366" max="15366" width="17.36328125" customWidth="1"/>
    <col min="15367" max="15367" width="15.6328125" customWidth="1"/>
    <col min="15618" max="15618" width="20.54296875" customWidth="1"/>
    <col min="15619" max="15619" width="17.08984375" customWidth="1"/>
    <col min="15620" max="15620" width="15.6328125" customWidth="1"/>
    <col min="15621" max="15621" width="20.54296875" customWidth="1"/>
    <col min="15622" max="15622" width="17.36328125" customWidth="1"/>
    <col min="15623" max="15623" width="15.6328125" customWidth="1"/>
    <col min="15874" max="15874" width="20.54296875" customWidth="1"/>
    <col min="15875" max="15875" width="17.08984375" customWidth="1"/>
    <col min="15876" max="15876" width="15.6328125" customWidth="1"/>
    <col min="15877" max="15877" width="20.54296875" customWidth="1"/>
    <col min="15878" max="15878" width="17.36328125" customWidth="1"/>
    <col min="15879" max="15879" width="15.6328125" customWidth="1"/>
    <col min="16130" max="16130" width="20.54296875" customWidth="1"/>
    <col min="16131" max="16131" width="17.08984375" customWidth="1"/>
    <col min="16132" max="16132" width="15.6328125" customWidth="1"/>
    <col min="16133" max="16133" width="20.54296875" customWidth="1"/>
    <col min="16134" max="16134" width="17.36328125" customWidth="1"/>
    <col min="16135" max="16135" width="15.6328125" customWidth="1"/>
  </cols>
  <sheetData>
    <row r="1" spans="1:7" x14ac:dyDescent="0.35">
      <c r="A1" s="67" t="s">
        <v>109</v>
      </c>
    </row>
    <row r="3" spans="1:7" ht="19.5" customHeight="1" x14ac:dyDescent="0.35">
      <c r="A3" s="453" t="s">
        <v>110</v>
      </c>
      <c r="B3" s="456" t="s">
        <v>111</v>
      </c>
      <c r="C3" s="456"/>
      <c r="D3" s="456"/>
      <c r="E3" s="456" t="s">
        <v>106</v>
      </c>
      <c r="F3" s="456"/>
      <c r="G3" s="456"/>
    </row>
    <row r="4" spans="1:7" ht="17.25" customHeight="1" x14ac:dyDescent="0.35">
      <c r="A4" s="454"/>
      <c r="B4" s="457" t="s">
        <v>112</v>
      </c>
      <c r="C4" s="458" t="s">
        <v>113</v>
      </c>
      <c r="D4" s="459"/>
      <c r="E4" s="457" t="s">
        <v>114</v>
      </c>
      <c r="F4" s="68" t="s">
        <v>113</v>
      </c>
      <c r="G4" s="69"/>
    </row>
    <row r="5" spans="1:7" x14ac:dyDescent="0.35">
      <c r="A5" s="455"/>
      <c r="B5" s="455"/>
      <c r="C5" s="39" t="s">
        <v>115</v>
      </c>
      <c r="D5" s="39">
        <v>2000</v>
      </c>
      <c r="E5" s="455"/>
      <c r="F5" s="39" t="s">
        <v>115</v>
      </c>
      <c r="G5" s="39">
        <v>2000</v>
      </c>
    </row>
    <row r="6" spans="1:7" ht="14.4" x14ac:dyDescent="0.3">
      <c r="A6" s="70">
        <v>1960</v>
      </c>
      <c r="B6" s="71">
        <v>45685</v>
      </c>
      <c r="C6" s="70"/>
      <c r="D6" s="70">
        <v>77.400000000000006</v>
      </c>
      <c r="E6" s="71">
        <v>14308</v>
      </c>
      <c r="F6" s="70"/>
      <c r="G6" s="70">
        <v>59</v>
      </c>
    </row>
    <row r="7" spans="1:7" ht="14.4" x14ac:dyDescent="0.3">
      <c r="A7" s="72">
        <v>1961</v>
      </c>
      <c r="B7" s="73">
        <v>46163</v>
      </c>
      <c r="C7" s="72">
        <v>101</v>
      </c>
      <c r="D7" s="72">
        <v>78.2</v>
      </c>
      <c r="E7" s="73">
        <v>14467</v>
      </c>
      <c r="F7" s="72">
        <v>101.1</v>
      </c>
      <c r="G7" s="72">
        <v>59.6</v>
      </c>
    </row>
    <row r="8" spans="1:7" ht="14.4" x14ac:dyDescent="0.3">
      <c r="A8" s="72">
        <v>1962</v>
      </c>
      <c r="B8" s="73">
        <v>46998</v>
      </c>
      <c r="C8" s="72">
        <v>101.8</v>
      </c>
      <c r="D8" s="72">
        <v>79.599999999999994</v>
      </c>
      <c r="E8" s="73">
        <v>14748</v>
      </c>
      <c r="F8" s="72">
        <v>101.9</v>
      </c>
      <c r="G8" s="72">
        <v>60.8</v>
      </c>
    </row>
    <row r="9" spans="1:7" ht="14.4" x14ac:dyDescent="0.3">
      <c r="A9" s="72">
        <v>1963</v>
      </c>
      <c r="B9" s="73">
        <v>47816</v>
      </c>
      <c r="C9" s="72">
        <v>101.7</v>
      </c>
      <c r="D9" s="72">
        <v>81</v>
      </c>
      <c r="E9" s="73">
        <v>15007</v>
      </c>
      <c r="F9" s="72">
        <v>101.8</v>
      </c>
      <c r="G9" s="72">
        <v>61.9</v>
      </c>
    </row>
    <row r="10" spans="1:7" ht="14.4" x14ac:dyDescent="0.3">
      <c r="A10" s="72">
        <v>1964</v>
      </c>
      <c r="B10" s="73">
        <v>48310</v>
      </c>
      <c r="C10" s="72">
        <v>101</v>
      </c>
      <c r="D10" s="72">
        <v>81.900000000000006</v>
      </c>
      <c r="E10" s="73">
        <v>15165</v>
      </c>
      <c r="F10" s="72">
        <v>101.1</v>
      </c>
      <c r="G10" s="72">
        <v>62.5</v>
      </c>
    </row>
    <row r="11" spans="1:7" ht="14.4" x14ac:dyDescent="0.3">
      <c r="A11" s="72">
        <v>1965</v>
      </c>
      <c r="B11" s="73">
        <v>48758</v>
      </c>
      <c r="C11" s="72">
        <v>100.9</v>
      </c>
      <c r="D11" s="72">
        <v>82.6</v>
      </c>
      <c r="E11" s="73">
        <v>15316</v>
      </c>
      <c r="F11" s="72">
        <v>101</v>
      </c>
      <c r="G11" s="72">
        <v>63.1</v>
      </c>
    </row>
    <row r="12" spans="1:7" ht="14.4" x14ac:dyDescent="0.3">
      <c r="A12" s="72">
        <v>1966</v>
      </c>
      <c r="B12" s="73">
        <v>49164</v>
      </c>
      <c r="C12" s="72">
        <v>100.8</v>
      </c>
      <c r="D12" s="72">
        <v>83.3</v>
      </c>
      <c r="E12" s="73">
        <v>15469</v>
      </c>
      <c r="F12" s="72">
        <v>101</v>
      </c>
      <c r="G12" s="72">
        <v>63.8</v>
      </c>
    </row>
    <row r="13" spans="1:7" ht="14.4" x14ac:dyDescent="0.3">
      <c r="A13" s="72">
        <v>1967</v>
      </c>
      <c r="B13" s="73">
        <v>49548</v>
      </c>
      <c r="C13" s="72">
        <v>100.8</v>
      </c>
      <c r="D13" s="72">
        <v>84</v>
      </c>
      <c r="E13" s="73">
        <v>15643</v>
      </c>
      <c r="F13" s="72">
        <v>101.1</v>
      </c>
      <c r="G13" s="72">
        <v>64.5</v>
      </c>
    </row>
    <row r="14" spans="1:7" ht="14.4" x14ac:dyDescent="0.3">
      <c r="A14" s="72">
        <v>1968</v>
      </c>
      <c r="B14" s="73">
        <v>49915</v>
      </c>
      <c r="C14" s="72">
        <v>100.7</v>
      </c>
      <c r="D14" s="72">
        <v>84.6</v>
      </c>
      <c r="E14" s="73">
        <v>15840</v>
      </c>
      <c r="F14" s="72">
        <v>101.3</v>
      </c>
      <c r="G14" s="72">
        <v>65.3</v>
      </c>
    </row>
    <row r="15" spans="1:7" ht="14.4" x14ac:dyDescent="0.3">
      <c r="A15" s="72">
        <v>1969</v>
      </c>
      <c r="B15" s="73">
        <v>50318</v>
      </c>
      <c r="C15" s="72">
        <v>100.8</v>
      </c>
      <c r="D15" s="72">
        <v>85.3</v>
      </c>
      <c r="E15" s="73">
        <v>16085</v>
      </c>
      <c r="F15" s="72">
        <v>101.5</v>
      </c>
      <c r="G15" s="72">
        <v>66.3</v>
      </c>
    </row>
    <row r="16" spans="1:7" ht="14.4" x14ac:dyDescent="0.3">
      <c r="A16" s="72">
        <v>1970</v>
      </c>
      <c r="B16" s="73">
        <v>50772</v>
      </c>
      <c r="C16" s="72">
        <v>100.9</v>
      </c>
      <c r="D16" s="72">
        <v>86</v>
      </c>
      <c r="E16" s="73">
        <v>16380</v>
      </c>
      <c r="F16" s="72">
        <v>101.8</v>
      </c>
      <c r="G16" s="72">
        <v>67.5</v>
      </c>
    </row>
    <row r="17" spans="1:7" ht="14.4" x14ac:dyDescent="0.3">
      <c r="A17" s="72">
        <v>1971</v>
      </c>
      <c r="B17" s="73">
        <v>51251</v>
      </c>
      <c r="C17" s="72">
        <v>100.9</v>
      </c>
      <c r="D17" s="72">
        <v>86.8</v>
      </c>
      <c r="E17" s="73">
        <v>16695</v>
      </c>
      <c r="F17" s="72">
        <v>101.9</v>
      </c>
      <c r="G17" s="72">
        <v>68.8</v>
      </c>
    </row>
    <row r="18" spans="1:7" ht="14.4" x14ac:dyDescent="0.3">
      <c r="A18" s="72">
        <v>1972</v>
      </c>
      <c r="B18" s="73">
        <v>51701</v>
      </c>
      <c r="C18" s="72">
        <v>100.9</v>
      </c>
      <c r="D18" s="72">
        <v>87.6</v>
      </c>
      <c r="E18" s="73">
        <v>17005</v>
      </c>
      <c r="F18" s="72">
        <v>101.9</v>
      </c>
      <c r="G18" s="72">
        <v>70.099999999999994</v>
      </c>
    </row>
    <row r="19" spans="1:7" ht="14.4" x14ac:dyDescent="0.3">
      <c r="A19" s="72">
        <v>1973</v>
      </c>
      <c r="B19" s="73">
        <v>52118</v>
      </c>
      <c r="C19" s="72">
        <v>100.8</v>
      </c>
      <c r="D19" s="72">
        <v>88.3</v>
      </c>
      <c r="E19" s="73">
        <v>17305</v>
      </c>
      <c r="F19" s="72">
        <v>101.8</v>
      </c>
      <c r="G19" s="72">
        <v>71.3</v>
      </c>
    </row>
    <row r="20" spans="1:7" ht="14.4" x14ac:dyDescent="0.3">
      <c r="A20" s="72">
        <v>1974</v>
      </c>
      <c r="B20" s="73">
        <v>52460</v>
      </c>
      <c r="C20" s="72">
        <v>100.7</v>
      </c>
      <c r="D20" s="72">
        <v>88.9</v>
      </c>
      <c r="E20" s="73">
        <v>17585</v>
      </c>
      <c r="F20" s="72">
        <v>101.6</v>
      </c>
      <c r="G20" s="72">
        <v>72.5</v>
      </c>
    </row>
    <row r="21" spans="1:7" ht="14.4" x14ac:dyDescent="0.3">
      <c r="A21" s="72">
        <v>1975</v>
      </c>
      <c r="B21" s="73">
        <v>52699</v>
      </c>
      <c r="C21" s="72">
        <v>100.5</v>
      </c>
      <c r="D21" s="72">
        <v>89.3</v>
      </c>
      <c r="E21" s="73">
        <v>17849</v>
      </c>
      <c r="F21" s="72">
        <v>101.5</v>
      </c>
      <c r="G21" s="72">
        <v>73.599999999999994</v>
      </c>
    </row>
    <row r="22" spans="1:7" ht="14.4" x14ac:dyDescent="0.3">
      <c r="A22" s="72">
        <v>1976</v>
      </c>
      <c r="B22" s="73">
        <v>52909</v>
      </c>
      <c r="C22" s="72">
        <v>100.4</v>
      </c>
      <c r="D22" s="72">
        <v>89.7</v>
      </c>
      <c r="E22" s="73">
        <v>18107</v>
      </c>
      <c r="F22" s="72">
        <v>101.4</v>
      </c>
      <c r="G22" s="72">
        <v>74.599999999999994</v>
      </c>
    </row>
    <row r="23" spans="1:7" ht="14.4" x14ac:dyDescent="0.3">
      <c r="A23" s="72">
        <v>1977</v>
      </c>
      <c r="B23" s="73">
        <v>53145</v>
      </c>
      <c r="C23" s="72">
        <v>100.4</v>
      </c>
      <c r="D23" s="72">
        <v>90.1</v>
      </c>
      <c r="E23" s="73">
        <v>18373</v>
      </c>
      <c r="F23" s="72">
        <v>101.5</v>
      </c>
      <c r="G23" s="72">
        <v>75.7</v>
      </c>
    </row>
    <row r="24" spans="1:7" ht="14.4" x14ac:dyDescent="0.3">
      <c r="A24" s="72">
        <v>1978</v>
      </c>
      <c r="B24" s="73">
        <v>53376</v>
      </c>
      <c r="C24" s="72">
        <v>100.4</v>
      </c>
      <c r="D24" s="72">
        <v>90.4</v>
      </c>
      <c r="E24" s="73">
        <v>18639</v>
      </c>
      <c r="F24" s="72">
        <v>101.4</v>
      </c>
      <c r="G24" s="72">
        <v>76.8</v>
      </c>
    </row>
    <row r="25" spans="1:7" ht="14.4" x14ac:dyDescent="0.3">
      <c r="A25" s="72">
        <v>1979</v>
      </c>
      <c r="B25" s="73">
        <v>53606</v>
      </c>
      <c r="C25" s="72">
        <v>100.4</v>
      </c>
      <c r="D25" s="72">
        <v>90.8</v>
      </c>
      <c r="E25" s="73">
        <v>18906</v>
      </c>
      <c r="F25" s="72">
        <v>101.4</v>
      </c>
      <c r="G25" s="72">
        <v>77.900000000000006</v>
      </c>
    </row>
    <row r="26" spans="1:7" ht="14.4" x14ac:dyDescent="0.3">
      <c r="A26" s="72">
        <v>1980</v>
      </c>
      <c r="B26" s="73">
        <v>53880</v>
      </c>
      <c r="C26" s="72">
        <v>100.5</v>
      </c>
      <c r="D26" s="72">
        <v>91.3</v>
      </c>
      <c r="E26" s="73">
        <v>19182</v>
      </c>
      <c r="F26" s="72">
        <v>101.5</v>
      </c>
      <c r="G26" s="72">
        <v>79.099999999999994</v>
      </c>
    </row>
    <row r="27" spans="1:7" ht="14.4" x14ac:dyDescent="0.3">
      <c r="A27" s="72">
        <v>1981</v>
      </c>
      <c r="B27" s="73">
        <v>54182</v>
      </c>
      <c r="C27" s="72">
        <v>100.6</v>
      </c>
      <c r="D27" s="72">
        <v>91.8</v>
      </c>
      <c r="E27" s="73">
        <v>19427</v>
      </c>
      <c r="F27" s="72">
        <v>101.3</v>
      </c>
      <c r="G27" s="72">
        <v>80.099999999999994</v>
      </c>
    </row>
    <row r="28" spans="1:7" ht="14.4" x14ac:dyDescent="0.3">
      <c r="A28" s="72">
        <v>1982</v>
      </c>
      <c r="B28" s="73">
        <v>54492</v>
      </c>
      <c r="C28" s="72">
        <v>100.6</v>
      </c>
      <c r="D28" s="72">
        <v>92.3</v>
      </c>
      <c r="E28" s="73">
        <v>19673</v>
      </c>
      <c r="F28" s="72">
        <v>101.3</v>
      </c>
      <c r="G28" s="72">
        <v>81.099999999999994</v>
      </c>
    </row>
    <row r="29" spans="1:7" ht="14.4" x14ac:dyDescent="0.3">
      <c r="A29" s="72">
        <v>1983</v>
      </c>
      <c r="B29" s="73">
        <v>54772</v>
      </c>
      <c r="C29" s="72">
        <v>100.5</v>
      </c>
      <c r="D29" s="72">
        <v>92.8</v>
      </c>
      <c r="E29" s="73">
        <v>19941</v>
      </c>
      <c r="F29" s="72">
        <v>101.4</v>
      </c>
      <c r="G29" s="72">
        <v>82.2</v>
      </c>
    </row>
    <row r="30" spans="1:7" ht="14.4" x14ac:dyDescent="0.3">
      <c r="A30" s="72">
        <v>1984</v>
      </c>
      <c r="B30" s="73">
        <v>55026</v>
      </c>
      <c r="C30" s="72">
        <v>100.5</v>
      </c>
      <c r="D30" s="72">
        <v>93.2</v>
      </c>
      <c r="E30" s="73">
        <v>20206</v>
      </c>
      <c r="F30" s="72">
        <v>101.3</v>
      </c>
      <c r="G30" s="72">
        <v>83.3</v>
      </c>
    </row>
    <row r="31" spans="1:7" ht="14.4" x14ac:dyDescent="0.3">
      <c r="A31" s="72">
        <v>1985</v>
      </c>
      <c r="B31" s="73">
        <v>55284</v>
      </c>
      <c r="C31" s="72">
        <v>100.5</v>
      </c>
      <c r="D31" s="72">
        <v>93.7</v>
      </c>
      <c r="E31" s="73">
        <v>20454</v>
      </c>
      <c r="F31" s="72">
        <v>101.2</v>
      </c>
      <c r="G31" s="72">
        <v>84.3</v>
      </c>
    </row>
    <row r="32" spans="1:7" ht="14.4" x14ac:dyDescent="0.3">
      <c r="A32" s="72">
        <v>1986</v>
      </c>
      <c r="B32" s="73">
        <v>55547</v>
      </c>
      <c r="C32" s="72">
        <v>100.5</v>
      </c>
      <c r="D32" s="72">
        <v>94.1</v>
      </c>
      <c r="E32" s="73">
        <v>20693</v>
      </c>
      <c r="F32" s="72">
        <v>101.2</v>
      </c>
      <c r="G32" s="72">
        <v>85.3</v>
      </c>
    </row>
    <row r="33" spans="1:7" ht="14.4" x14ac:dyDescent="0.3">
      <c r="A33" s="72">
        <v>1987</v>
      </c>
      <c r="B33" s="73">
        <v>55824</v>
      </c>
      <c r="C33" s="72">
        <v>100.5</v>
      </c>
      <c r="D33" s="72">
        <v>94.6</v>
      </c>
      <c r="E33" s="73">
        <v>20929</v>
      </c>
      <c r="F33" s="72">
        <v>101.1</v>
      </c>
      <c r="G33" s="72">
        <v>86.3</v>
      </c>
    </row>
    <row r="34" spans="1:7" ht="14.4" x14ac:dyDescent="0.3">
      <c r="A34" s="72">
        <v>1988</v>
      </c>
      <c r="B34" s="73">
        <v>56118</v>
      </c>
      <c r="C34" s="72">
        <v>100.5</v>
      </c>
      <c r="D34" s="72">
        <v>95.1</v>
      </c>
      <c r="E34" s="73">
        <v>21160</v>
      </c>
      <c r="F34" s="72">
        <v>101.1</v>
      </c>
      <c r="G34" s="72">
        <v>87.2</v>
      </c>
    </row>
    <row r="35" spans="1:7" ht="14.4" x14ac:dyDescent="0.3">
      <c r="A35" s="72">
        <v>1989</v>
      </c>
      <c r="B35" s="73">
        <v>56423</v>
      </c>
      <c r="C35" s="72">
        <v>100.5</v>
      </c>
      <c r="D35" s="72">
        <v>95.6</v>
      </c>
      <c r="E35" s="73">
        <v>21385</v>
      </c>
      <c r="F35" s="72">
        <v>101.1</v>
      </c>
      <c r="G35" s="72">
        <v>88.1</v>
      </c>
    </row>
    <row r="36" spans="1:7" ht="14.4" x14ac:dyDescent="0.3">
      <c r="A36" s="72">
        <v>1990</v>
      </c>
      <c r="B36" s="73">
        <v>56708</v>
      </c>
      <c r="C36" s="72">
        <v>100.5</v>
      </c>
      <c r="D36" s="72">
        <v>96.1</v>
      </c>
      <c r="E36" s="73">
        <v>21633</v>
      </c>
      <c r="F36" s="72">
        <v>101.2</v>
      </c>
      <c r="G36" s="72">
        <v>89.2</v>
      </c>
    </row>
    <row r="37" spans="1:7" ht="14.4" x14ac:dyDescent="0.3">
      <c r="A37" s="72">
        <v>1991</v>
      </c>
      <c r="B37" s="73">
        <v>56976</v>
      </c>
      <c r="C37" s="72">
        <v>100.5</v>
      </c>
      <c r="D37" s="72">
        <v>96.5</v>
      </c>
      <c r="E37" s="73">
        <v>21895</v>
      </c>
      <c r="F37" s="72">
        <v>101.2</v>
      </c>
      <c r="G37" s="72">
        <v>90.3</v>
      </c>
    </row>
    <row r="38" spans="1:7" ht="14.4" x14ac:dyDescent="0.3">
      <c r="A38" s="72">
        <v>1992</v>
      </c>
      <c r="B38" s="73">
        <v>57240</v>
      </c>
      <c r="C38" s="72">
        <v>100.5</v>
      </c>
      <c r="D38" s="72">
        <v>97</v>
      </c>
      <c r="E38" s="73">
        <v>22146</v>
      </c>
      <c r="F38" s="72">
        <v>101.1</v>
      </c>
      <c r="G38" s="72">
        <v>91.3</v>
      </c>
    </row>
    <row r="39" spans="1:7" ht="14.4" x14ac:dyDescent="0.3">
      <c r="A39" s="72">
        <v>1993</v>
      </c>
      <c r="B39" s="73">
        <v>57467</v>
      </c>
      <c r="C39" s="72">
        <v>100.4</v>
      </c>
      <c r="D39" s="72">
        <v>97.4</v>
      </c>
      <c r="E39" s="73">
        <v>22394</v>
      </c>
      <c r="F39" s="72">
        <v>101.1</v>
      </c>
      <c r="G39" s="72">
        <v>92.3</v>
      </c>
    </row>
    <row r="40" spans="1:7" ht="14.4" x14ac:dyDescent="0.3">
      <c r="A40" s="72">
        <v>1994</v>
      </c>
      <c r="B40" s="73">
        <v>57659</v>
      </c>
      <c r="C40" s="72">
        <v>100.3</v>
      </c>
      <c r="D40" s="72">
        <v>97.7</v>
      </c>
      <c r="E40" s="73">
        <v>22647</v>
      </c>
      <c r="F40" s="72">
        <v>101.1</v>
      </c>
      <c r="G40" s="72">
        <v>93.4</v>
      </c>
    </row>
    <row r="41" spans="1:7" ht="14.4" x14ac:dyDescent="0.3">
      <c r="A41" s="72">
        <v>1995</v>
      </c>
      <c r="B41" s="73">
        <v>57844</v>
      </c>
      <c r="C41" s="72">
        <v>100.3</v>
      </c>
      <c r="D41" s="72">
        <v>98</v>
      </c>
      <c r="E41" s="73">
        <v>22906</v>
      </c>
      <c r="F41" s="72">
        <v>101.1</v>
      </c>
      <c r="G41" s="72">
        <v>94.4</v>
      </c>
    </row>
    <row r="42" spans="1:7" ht="14.4" x14ac:dyDescent="0.3">
      <c r="A42" s="72">
        <v>1996</v>
      </c>
      <c r="B42" s="73">
        <v>58026</v>
      </c>
      <c r="C42" s="72">
        <v>100.3</v>
      </c>
      <c r="D42" s="72">
        <v>98.3</v>
      </c>
      <c r="E42" s="73">
        <v>23158</v>
      </c>
      <c r="F42" s="72">
        <v>101.1</v>
      </c>
      <c r="G42" s="72">
        <v>95.5</v>
      </c>
    </row>
    <row r="43" spans="1:7" ht="14.4" x14ac:dyDescent="0.3">
      <c r="A43" s="72">
        <v>1997</v>
      </c>
      <c r="B43" s="73">
        <v>58207</v>
      </c>
      <c r="C43" s="72">
        <v>100.3</v>
      </c>
      <c r="D43" s="72">
        <v>98.6</v>
      </c>
      <c r="E43" s="73">
        <v>23406</v>
      </c>
      <c r="F43" s="72">
        <v>101.1</v>
      </c>
      <c r="G43" s="72">
        <v>96.5</v>
      </c>
    </row>
    <row r="44" spans="1:7" x14ac:dyDescent="0.35">
      <c r="A44" s="72">
        <v>1998</v>
      </c>
      <c r="B44" s="73">
        <v>58398</v>
      </c>
      <c r="C44" s="72">
        <v>100.3</v>
      </c>
      <c r="D44" s="72">
        <v>99</v>
      </c>
      <c r="E44" s="73">
        <v>23652</v>
      </c>
      <c r="F44" s="72">
        <v>101.1</v>
      </c>
      <c r="G44" s="72">
        <v>97.5</v>
      </c>
    </row>
    <row r="45" spans="1:7" x14ac:dyDescent="0.35">
      <c r="A45" s="72">
        <v>1999</v>
      </c>
      <c r="B45" s="73">
        <v>58674</v>
      </c>
      <c r="C45" s="72">
        <v>100.5</v>
      </c>
      <c r="D45" s="72">
        <v>99.4</v>
      </c>
      <c r="E45" s="73">
        <v>23925</v>
      </c>
      <c r="F45" s="72">
        <v>101.2</v>
      </c>
      <c r="G45" s="72">
        <v>98.7</v>
      </c>
    </row>
    <row r="46" spans="1:7" x14ac:dyDescent="0.35">
      <c r="A46" s="72">
        <v>2000</v>
      </c>
      <c r="B46" s="73">
        <v>59050</v>
      </c>
      <c r="C46" s="72">
        <v>100.6</v>
      </c>
      <c r="D46" s="72">
        <v>100</v>
      </c>
      <c r="E46" s="73">
        <v>24235</v>
      </c>
      <c r="F46" s="72">
        <v>101.3</v>
      </c>
      <c r="G46" s="72">
        <v>100</v>
      </c>
    </row>
    <row r="47" spans="1:7" x14ac:dyDescent="0.35">
      <c r="A47" s="72">
        <v>2001</v>
      </c>
      <c r="B47" s="73">
        <v>59455</v>
      </c>
      <c r="C47" s="72">
        <v>100.7</v>
      </c>
      <c r="D47" s="72">
        <v>100.7</v>
      </c>
      <c r="E47" s="73">
        <v>24544</v>
      </c>
      <c r="F47" s="72">
        <v>101.3</v>
      </c>
      <c r="G47" s="72">
        <v>101.3</v>
      </c>
    </row>
    <row r="48" spans="1:7" x14ac:dyDescent="0.35">
      <c r="A48" s="72">
        <v>2002</v>
      </c>
      <c r="B48" s="73">
        <v>59864</v>
      </c>
      <c r="C48" s="72">
        <v>100.7</v>
      </c>
      <c r="D48" s="72">
        <v>101.4</v>
      </c>
      <c r="E48" s="73">
        <v>24852</v>
      </c>
      <c r="F48" s="72">
        <v>101.3</v>
      </c>
      <c r="G48" s="72">
        <v>102.5</v>
      </c>
    </row>
    <row r="49" spans="1:7" x14ac:dyDescent="0.35">
      <c r="A49" s="72">
        <v>2003</v>
      </c>
      <c r="B49" s="73">
        <v>60265</v>
      </c>
      <c r="C49" s="72">
        <v>100.7</v>
      </c>
      <c r="D49" s="72">
        <v>102.1</v>
      </c>
      <c r="E49" s="73">
        <v>25171</v>
      </c>
      <c r="F49" s="72">
        <v>101.3</v>
      </c>
      <c r="G49" s="72">
        <v>103.9</v>
      </c>
    </row>
    <row r="50" spans="1:7" x14ac:dyDescent="0.35">
      <c r="A50" s="72">
        <v>2004</v>
      </c>
      <c r="B50" s="73">
        <v>60644</v>
      </c>
      <c r="C50" s="72">
        <v>100.6</v>
      </c>
      <c r="D50" s="72">
        <v>102.7</v>
      </c>
      <c r="E50" s="73">
        <v>25508</v>
      </c>
      <c r="F50" s="72">
        <v>101.3</v>
      </c>
      <c r="G50" s="72">
        <v>105.3</v>
      </c>
    </row>
    <row r="51" spans="1:7" x14ac:dyDescent="0.35">
      <c r="A51" s="72">
        <v>2005</v>
      </c>
      <c r="B51" s="73">
        <v>60996</v>
      </c>
      <c r="C51" s="72">
        <v>100.6</v>
      </c>
      <c r="D51" s="72">
        <v>103.3</v>
      </c>
      <c r="E51" s="73">
        <v>25871</v>
      </c>
      <c r="F51" s="72">
        <v>101.4</v>
      </c>
      <c r="G51" s="72">
        <v>106.8</v>
      </c>
    </row>
    <row r="52" spans="1:7" x14ac:dyDescent="0.35">
      <c r="A52" s="74">
        <v>2006</v>
      </c>
      <c r="B52" s="75">
        <v>61353</v>
      </c>
      <c r="C52" s="74">
        <v>100.6</v>
      </c>
      <c r="D52" s="74">
        <v>103.9</v>
      </c>
      <c r="E52" s="75">
        <v>26280</v>
      </c>
      <c r="F52" s="74">
        <v>101.6</v>
      </c>
      <c r="G52" s="74">
        <v>108.4</v>
      </c>
    </row>
    <row r="53" spans="1:7" x14ac:dyDescent="0.35">
      <c r="A53" t="s">
        <v>116</v>
      </c>
    </row>
    <row r="54" spans="1:7" x14ac:dyDescent="0.35">
      <c r="A54" t="s">
        <v>117</v>
      </c>
    </row>
    <row r="55" spans="1:7" x14ac:dyDescent="0.35">
      <c r="A55" t="s">
        <v>118</v>
      </c>
    </row>
    <row r="56" spans="1:7" x14ac:dyDescent="0.35">
      <c r="A56" s="76" t="s">
        <v>119</v>
      </c>
    </row>
    <row r="57" spans="1:7" x14ac:dyDescent="0.35">
      <c r="A57" t="s">
        <v>120</v>
      </c>
    </row>
    <row r="58" spans="1:7" x14ac:dyDescent="0.35">
      <c r="A58" t="s">
        <v>121</v>
      </c>
    </row>
    <row r="59" spans="1:7" x14ac:dyDescent="0.35">
      <c r="A59" t="s">
        <v>122</v>
      </c>
    </row>
    <row r="60" spans="1:7" x14ac:dyDescent="0.35">
      <c r="A60" t="s">
        <v>123</v>
      </c>
    </row>
  </sheetData>
  <mergeCells count="6">
    <mergeCell ref="A3:A5"/>
    <mergeCell ref="B3:D3"/>
    <mergeCell ref="E3:G3"/>
    <mergeCell ref="B4:B5"/>
    <mergeCell ref="C4:D4"/>
    <mergeCell ref="E4:E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177"/>
  <sheetViews>
    <sheetView topLeftCell="E70" zoomScale="85" zoomScaleNormal="85" workbookViewId="0">
      <selection activeCell="R91" sqref="R91"/>
    </sheetView>
  </sheetViews>
  <sheetFormatPr baseColWidth="10" defaultColWidth="11.453125" defaultRowHeight="12.5" x14ac:dyDescent="0.25"/>
  <cols>
    <col min="1" max="1" width="11.54296875" style="78" customWidth="1"/>
    <col min="2" max="2" width="45.6328125" style="78" customWidth="1"/>
    <col min="3" max="3" width="6.54296875" style="78" customWidth="1"/>
    <col min="4" max="4" width="6.36328125" style="78" customWidth="1"/>
    <col min="5" max="6" width="6.54296875" style="78" customWidth="1"/>
    <col min="7" max="7" width="6.6328125" style="78" customWidth="1"/>
    <col min="8" max="9" width="6.90625" style="78" customWidth="1"/>
    <col min="10" max="10" width="6.453125" style="78" customWidth="1"/>
    <col min="11" max="11" width="6.90625" style="78" customWidth="1"/>
    <col min="12" max="12" width="7.08984375" style="78" customWidth="1"/>
    <col min="13" max="13" width="10.54296875" style="78" customWidth="1"/>
    <col min="14" max="14" width="13.08984375" style="78" customWidth="1"/>
    <col min="15" max="256" width="11.453125" style="78"/>
    <col min="257" max="257" width="11.54296875" style="78" customWidth="1"/>
    <col min="258" max="258" width="45.6328125" style="78" customWidth="1"/>
    <col min="259" max="259" width="6.54296875" style="78" customWidth="1"/>
    <col min="260" max="260" width="6.36328125" style="78" customWidth="1"/>
    <col min="261" max="262" width="6.54296875" style="78" customWidth="1"/>
    <col min="263" max="263" width="6.6328125" style="78" customWidth="1"/>
    <col min="264" max="265" width="6.90625" style="78" customWidth="1"/>
    <col min="266" max="266" width="6.453125" style="78" customWidth="1"/>
    <col min="267" max="267" width="6.90625" style="78" customWidth="1"/>
    <col min="268" max="268" width="7.08984375" style="78" customWidth="1"/>
    <col min="269" max="269" width="10.54296875" style="78" customWidth="1"/>
    <col min="270" max="512" width="11.453125" style="78"/>
    <col min="513" max="513" width="11.54296875" style="78" customWidth="1"/>
    <col min="514" max="514" width="45.6328125" style="78" customWidth="1"/>
    <col min="515" max="515" width="6.54296875" style="78" customWidth="1"/>
    <col min="516" max="516" width="6.36328125" style="78" customWidth="1"/>
    <col min="517" max="518" width="6.54296875" style="78" customWidth="1"/>
    <col min="519" max="519" width="6.6328125" style="78" customWidth="1"/>
    <col min="520" max="521" width="6.90625" style="78" customWidth="1"/>
    <col min="522" max="522" width="6.453125" style="78" customWidth="1"/>
    <col min="523" max="523" width="6.90625" style="78" customWidth="1"/>
    <col min="524" max="524" width="7.08984375" style="78" customWidth="1"/>
    <col min="525" max="525" width="10.54296875" style="78" customWidth="1"/>
    <col min="526" max="768" width="11.453125" style="78"/>
    <col min="769" max="769" width="11.54296875" style="78" customWidth="1"/>
    <col min="770" max="770" width="45.6328125" style="78" customWidth="1"/>
    <col min="771" max="771" width="6.54296875" style="78" customWidth="1"/>
    <col min="772" max="772" width="6.36328125" style="78" customWidth="1"/>
    <col min="773" max="774" width="6.54296875" style="78" customWidth="1"/>
    <col min="775" max="775" width="6.6328125" style="78" customWidth="1"/>
    <col min="776" max="777" width="6.90625" style="78" customWidth="1"/>
    <col min="778" max="778" width="6.453125" style="78" customWidth="1"/>
    <col min="779" max="779" width="6.90625" style="78" customWidth="1"/>
    <col min="780" max="780" width="7.08984375" style="78" customWidth="1"/>
    <col min="781" max="781" width="10.54296875" style="78" customWidth="1"/>
    <col min="782" max="1024" width="11.453125" style="78"/>
    <col min="1025" max="1025" width="11.54296875" style="78" customWidth="1"/>
    <col min="1026" max="1026" width="45.6328125" style="78" customWidth="1"/>
    <col min="1027" max="1027" width="6.54296875" style="78" customWidth="1"/>
    <col min="1028" max="1028" width="6.36328125" style="78" customWidth="1"/>
    <col min="1029" max="1030" width="6.54296875" style="78" customWidth="1"/>
    <col min="1031" max="1031" width="6.6328125" style="78" customWidth="1"/>
    <col min="1032" max="1033" width="6.90625" style="78" customWidth="1"/>
    <col min="1034" max="1034" width="6.453125" style="78" customWidth="1"/>
    <col min="1035" max="1035" width="6.90625" style="78" customWidth="1"/>
    <col min="1036" max="1036" width="7.08984375" style="78" customWidth="1"/>
    <col min="1037" max="1037" width="10.54296875" style="78" customWidth="1"/>
    <col min="1038" max="1280" width="11.453125" style="78"/>
    <col min="1281" max="1281" width="11.54296875" style="78" customWidth="1"/>
    <col min="1282" max="1282" width="45.6328125" style="78" customWidth="1"/>
    <col min="1283" max="1283" width="6.54296875" style="78" customWidth="1"/>
    <col min="1284" max="1284" width="6.36328125" style="78" customWidth="1"/>
    <col min="1285" max="1286" width="6.54296875" style="78" customWidth="1"/>
    <col min="1287" max="1287" width="6.6328125" style="78" customWidth="1"/>
    <col min="1288" max="1289" width="6.90625" style="78" customWidth="1"/>
    <col min="1290" max="1290" width="6.453125" style="78" customWidth="1"/>
    <col min="1291" max="1291" width="6.90625" style="78" customWidth="1"/>
    <col min="1292" max="1292" width="7.08984375" style="78" customWidth="1"/>
    <col min="1293" max="1293" width="10.54296875" style="78" customWidth="1"/>
    <col min="1294" max="1536" width="11.453125" style="78"/>
    <col min="1537" max="1537" width="11.54296875" style="78" customWidth="1"/>
    <col min="1538" max="1538" width="45.6328125" style="78" customWidth="1"/>
    <col min="1539" max="1539" width="6.54296875" style="78" customWidth="1"/>
    <col min="1540" max="1540" width="6.36328125" style="78" customWidth="1"/>
    <col min="1541" max="1542" width="6.54296875" style="78" customWidth="1"/>
    <col min="1543" max="1543" width="6.6328125" style="78" customWidth="1"/>
    <col min="1544" max="1545" width="6.90625" style="78" customWidth="1"/>
    <col min="1546" max="1546" width="6.453125" style="78" customWidth="1"/>
    <col min="1547" max="1547" width="6.90625" style="78" customWidth="1"/>
    <col min="1548" max="1548" width="7.08984375" style="78" customWidth="1"/>
    <col min="1549" max="1549" width="10.54296875" style="78" customWidth="1"/>
    <col min="1550" max="1792" width="11.453125" style="78"/>
    <col min="1793" max="1793" width="11.54296875" style="78" customWidth="1"/>
    <col min="1794" max="1794" width="45.6328125" style="78" customWidth="1"/>
    <col min="1795" max="1795" width="6.54296875" style="78" customWidth="1"/>
    <col min="1796" max="1796" width="6.36328125" style="78" customWidth="1"/>
    <col min="1797" max="1798" width="6.54296875" style="78" customWidth="1"/>
    <col min="1799" max="1799" width="6.6328125" style="78" customWidth="1"/>
    <col min="1800" max="1801" width="6.90625" style="78" customWidth="1"/>
    <col min="1802" max="1802" width="6.453125" style="78" customWidth="1"/>
    <col min="1803" max="1803" width="6.90625" style="78" customWidth="1"/>
    <col min="1804" max="1804" width="7.08984375" style="78" customWidth="1"/>
    <col min="1805" max="1805" width="10.54296875" style="78" customWidth="1"/>
    <col min="1806" max="2048" width="11.453125" style="78"/>
    <col min="2049" max="2049" width="11.54296875" style="78" customWidth="1"/>
    <col min="2050" max="2050" width="45.6328125" style="78" customWidth="1"/>
    <col min="2051" max="2051" width="6.54296875" style="78" customWidth="1"/>
    <col min="2052" max="2052" width="6.36328125" style="78" customWidth="1"/>
    <col min="2053" max="2054" width="6.54296875" style="78" customWidth="1"/>
    <col min="2055" max="2055" width="6.6328125" style="78" customWidth="1"/>
    <col min="2056" max="2057" width="6.90625" style="78" customWidth="1"/>
    <col min="2058" max="2058" width="6.453125" style="78" customWidth="1"/>
    <col min="2059" max="2059" width="6.90625" style="78" customWidth="1"/>
    <col min="2060" max="2060" width="7.08984375" style="78" customWidth="1"/>
    <col min="2061" max="2061" width="10.54296875" style="78" customWidth="1"/>
    <col min="2062" max="2304" width="11.453125" style="78"/>
    <col min="2305" max="2305" width="11.54296875" style="78" customWidth="1"/>
    <col min="2306" max="2306" width="45.6328125" style="78" customWidth="1"/>
    <col min="2307" max="2307" width="6.54296875" style="78" customWidth="1"/>
    <col min="2308" max="2308" width="6.36328125" style="78" customWidth="1"/>
    <col min="2309" max="2310" width="6.54296875" style="78" customWidth="1"/>
    <col min="2311" max="2311" width="6.6328125" style="78" customWidth="1"/>
    <col min="2312" max="2313" width="6.90625" style="78" customWidth="1"/>
    <col min="2314" max="2314" width="6.453125" style="78" customWidth="1"/>
    <col min="2315" max="2315" width="6.90625" style="78" customWidth="1"/>
    <col min="2316" max="2316" width="7.08984375" style="78" customWidth="1"/>
    <col min="2317" max="2317" width="10.54296875" style="78" customWidth="1"/>
    <col min="2318" max="2560" width="11.453125" style="78"/>
    <col min="2561" max="2561" width="11.54296875" style="78" customWidth="1"/>
    <col min="2562" max="2562" width="45.6328125" style="78" customWidth="1"/>
    <col min="2563" max="2563" width="6.54296875" style="78" customWidth="1"/>
    <col min="2564" max="2564" width="6.36328125" style="78" customWidth="1"/>
    <col min="2565" max="2566" width="6.54296875" style="78" customWidth="1"/>
    <col min="2567" max="2567" width="6.6328125" style="78" customWidth="1"/>
    <col min="2568" max="2569" width="6.90625" style="78" customWidth="1"/>
    <col min="2570" max="2570" width="6.453125" style="78" customWidth="1"/>
    <col min="2571" max="2571" width="6.90625" style="78" customWidth="1"/>
    <col min="2572" max="2572" width="7.08984375" style="78" customWidth="1"/>
    <col min="2573" max="2573" width="10.54296875" style="78" customWidth="1"/>
    <col min="2574" max="2816" width="11.453125" style="78"/>
    <col min="2817" max="2817" width="11.54296875" style="78" customWidth="1"/>
    <col min="2818" max="2818" width="45.6328125" style="78" customWidth="1"/>
    <col min="2819" max="2819" width="6.54296875" style="78" customWidth="1"/>
    <col min="2820" max="2820" width="6.36328125" style="78" customWidth="1"/>
    <col min="2821" max="2822" width="6.54296875" style="78" customWidth="1"/>
    <col min="2823" max="2823" width="6.6328125" style="78" customWidth="1"/>
    <col min="2824" max="2825" width="6.90625" style="78" customWidth="1"/>
    <col min="2826" max="2826" width="6.453125" style="78" customWidth="1"/>
    <col min="2827" max="2827" width="6.90625" style="78" customWidth="1"/>
    <col min="2828" max="2828" width="7.08984375" style="78" customWidth="1"/>
    <col min="2829" max="2829" width="10.54296875" style="78" customWidth="1"/>
    <col min="2830" max="3072" width="11.453125" style="78"/>
    <col min="3073" max="3073" width="11.54296875" style="78" customWidth="1"/>
    <col min="3074" max="3074" width="45.6328125" style="78" customWidth="1"/>
    <col min="3075" max="3075" width="6.54296875" style="78" customWidth="1"/>
    <col min="3076" max="3076" width="6.36328125" style="78" customWidth="1"/>
    <col min="3077" max="3078" width="6.54296875" style="78" customWidth="1"/>
    <col min="3079" max="3079" width="6.6328125" style="78" customWidth="1"/>
    <col min="3080" max="3081" width="6.90625" style="78" customWidth="1"/>
    <col min="3082" max="3082" width="6.453125" style="78" customWidth="1"/>
    <col min="3083" max="3083" width="6.90625" style="78" customWidth="1"/>
    <col min="3084" max="3084" width="7.08984375" style="78" customWidth="1"/>
    <col min="3085" max="3085" width="10.54296875" style="78" customWidth="1"/>
    <col min="3086" max="3328" width="11.453125" style="78"/>
    <col min="3329" max="3329" width="11.54296875" style="78" customWidth="1"/>
    <col min="3330" max="3330" width="45.6328125" style="78" customWidth="1"/>
    <col min="3331" max="3331" width="6.54296875" style="78" customWidth="1"/>
    <col min="3332" max="3332" width="6.36328125" style="78" customWidth="1"/>
    <col min="3333" max="3334" width="6.54296875" style="78" customWidth="1"/>
    <col min="3335" max="3335" width="6.6328125" style="78" customWidth="1"/>
    <col min="3336" max="3337" width="6.90625" style="78" customWidth="1"/>
    <col min="3338" max="3338" width="6.453125" style="78" customWidth="1"/>
    <col min="3339" max="3339" width="6.90625" style="78" customWidth="1"/>
    <col min="3340" max="3340" width="7.08984375" style="78" customWidth="1"/>
    <col min="3341" max="3341" width="10.54296875" style="78" customWidth="1"/>
    <col min="3342" max="3584" width="11.453125" style="78"/>
    <col min="3585" max="3585" width="11.54296875" style="78" customWidth="1"/>
    <col min="3586" max="3586" width="45.6328125" style="78" customWidth="1"/>
    <col min="3587" max="3587" width="6.54296875" style="78" customWidth="1"/>
    <col min="3588" max="3588" width="6.36328125" style="78" customWidth="1"/>
    <col min="3589" max="3590" width="6.54296875" style="78" customWidth="1"/>
    <col min="3591" max="3591" width="6.6328125" style="78" customWidth="1"/>
    <col min="3592" max="3593" width="6.90625" style="78" customWidth="1"/>
    <col min="3594" max="3594" width="6.453125" style="78" customWidth="1"/>
    <col min="3595" max="3595" width="6.90625" style="78" customWidth="1"/>
    <col min="3596" max="3596" width="7.08984375" style="78" customWidth="1"/>
    <col min="3597" max="3597" width="10.54296875" style="78" customWidth="1"/>
    <col min="3598" max="3840" width="11.453125" style="78"/>
    <col min="3841" max="3841" width="11.54296875" style="78" customWidth="1"/>
    <col min="3842" max="3842" width="45.6328125" style="78" customWidth="1"/>
    <col min="3843" max="3843" width="6.54296875" style="78" customWidth="1"/>
    <col min="3844" max="3844" width="6.36328125" style="78" customWidth="1"/>
    <col min="3845" max="3846" width="6.54296875" style="78" customWidth="1"/>
    <col min="3847" max="3847" width="6.6328125" style="78" customWidth="1"/>
    <col min="3848" max="3849" width="6.90625" style="78" customWidth="1"/>
    <col min="3850" max="3850" width="6.453125" style="78" customWidth="1"/>
    <col min="3851" max="3851" width="6.90625" style="78" customWidth="1"/>
    <col min="3852" max="3852" width="7.08984375" style="78" customWidth="1"/>
    <col min="3853" max="3853" width="10.54296875" style="78" customWidth="1"/>
    <col min="3854" max="4096" width="11.453125" style="78"/>
    <col min="4097" max="4097" width="11.54296875" style="78" customWidth="1"/>
    <col min="4098" max="4098" width="45.6328125" style="78" customWidth="1"/>
    <col min="4099" max="4099" width="6.54296875" style="78" customWidth="1"/>
    <col min="4100" max="4100" width="6.36328125" style="78" customWidth="1"/>
    <col min="4101" max="4102" width="6.54296875" style="78" customWidth="1"/>
    <col min="4103" max="4103" width="6.6328125" style="78" customWidth="1"/>
    <col min="4104" max="4105" width="6.90625" style="78" customWidth="1"/>
    <col min="4106" max="4106" width="6.453125" style="78" customWidth="1"/>
    <col min="4107" max="4107" width="6.90625" style="78" customWidth="1"/>
    <col min="4108" max="4108" width="7.08984375" style="78" customWidth="1"/>
    <col min="4109" max="4109" width="10.54296875" style="78" customWidth="1"/>
    <col min="4110" max="4352" width="11.453125" style="78"/>
    <col min="4353" max="4353" width="11.54296875" style="78" customWidth="1"/>
    <col min="4354" max="4354" width="45.6328125" style="78" customWidth="1"/>
    <col min="4355" max="4355" width="6.54296875" style="78" customWidth="1"/>
    <col min="4356" max="4356" width="6.36328125" style="78" customWidth="1"/>
    <col min="4357" max="4358" width="6.54296875" style="78" customWidth="1"/>
    <col min="4359" max="4359" width="6.6328125" style="78" customWidth="1"/>
    <col min="4360" max="4361" width="6.90625" style="78" customWidth="1"/>
    <col min="4362" max="4362" width="6.453125" style="78" customWidth="1"/>
    <col min="4363" max="4363" width="6.90625" style="78" customWidth="1"/>
    <col min="4364" max="4364" width="7.08984375" style="78" customWidth="1"/>
    <col min="4365" max="4365" width="10.54296875" style="78" customWidth="1"/>
    <col min="4366" max="4608" width="11.453125" style="78"/>
    <col min="4609" max="4609" width="11.54296875" style="78" customWidth="1"/>
    <col min="4610" max="4610" width="45.6328125" style="78" customWidth="1"/>
    <col min="4611" max="4611" width="6.54296875" style="78" customWidth="1"/>
    <col min="4612" max="4612" width="6.36328125" style="78" customWidth="1"/>
    <col min="4613" max="4614" width="6.54296875" style="78" customWidth="1"/>
    <col min="4615" max="4615" width="6.6328125" style="78" customWidth="1"/>
    <col min="4616" max="4617" width="6.90625" style="78" customWidth="1"/>
    <col min="4618" max="4618" width="6.453125" style="78" customWidth="1"/>
    <col min="4619" max="4619" width="6.90625" style="78" customWidth="1"/>
    <col min="4620" max="4620" width="7.08984375" style="78" customWidth="1"/>
    <col min="4621" max="4621" width="10.54296875" style="78" customWidth="1"/>
    <col min="4622" max="4864" width="11.453125" style="78"/>
    <col min="4865" max="4865" width="11.54296875" style="78" customWidth="1"/>
    <col min="4866" max="4866" width="45.6328125" style="78" customWidth="1"/>
    <col min="4867" max="4867" width="6.54296875" style="78" customWidth="1"/>
    <col min="4868" max="4868" width="6.36328125" style="78" customWidth="1"/>
    <col min="4869" max="4870" width="6.54296875" style="78" customWidth="1"/>
    <col min="4871" max="4871" width="6.6328125" style="78" customWidth="1"/>
    <col min="4872" max="4873" width="6.90625" style="78" customWidth="1"/>
    <col min="4874" max="4874" width="6.453125" style="78" customWidth="1"/>
    <col min="4875" max="4875" width="6.90625" style="78" customWidth="1"/>
    <col min="4876" max="4876" width="7.08984375" style="78" customWidth="1"/>
    <col min="4877" max="4877" width="10.54296875" style="78" customWidth="1"/>
    <col min="4878" max="5120" width="11.453125" style="78"/>
    <col min="5121" max="5121" width="11.54296875" style="78" customWidth="1"/>
    <col min="5122" max="5122" width="45.6328125" style="78" customWidth="1"/>
    <col min="5123" max="5123" width="6.54296875" style="78" customWidth="1"/>
    <col min="5124" max="5124" width="6.36328125" style="78" customWidth="1"/>
    <col min="5125" max="5126" width="6.54296875" style="78" customWidth="1"/>
    <col min="5127" max="5127" width="6.6328125" style="78" customWidth="1"/>
    <col min="5128" max="5129" width="6.90625" style="78" customWidth="1"/>
    <col min="5130" max="5130" width="6.453125" style="78" customWidth="1"/>
    <col min="5131" max="5131" width="6.90625" style="78" customWidth="1"/>
    <col min="5132" max="5132" width="7.08984375" style="78" customWidth="1"/>
    <col min="5133" max="5133" width="10.54296875" style="78" customWidth="1"/>
    <col min="5134" max="5376" width="11.453125" style="78"/>
    <col min="5377" max="5377" width="11.54296875" style="78" customWidth="1"/>
    <col min="5378" max="5378" width="45.6328125" style="78" customWidth="1"/>
    <col min="5379" max="5379" width="6.54296875" style="78" customWidth="1"/>
    <col min="5380" max="5380" width="6.36328125" style="78" customWidth="1"/>
    <col min="5381" max="5382" width="6.54296875" style="78" customWidth="1"/>
    <col min="5383" max="5383" width="6.6328125" style="78" customWidth="1"/>
    <col min="5384" max="5385" width="6.90625" style="78" customWidth="1"/>
    <col min="5386" max="5386" width="6.453125" style="78" customWidth="1"/>
    <col min="5387" max="5387" width="6.90625" style="78" customWidth="1"/>
    <col min="5388" max="5388" width="7.08984375" style="78" customWidth="1"/>
    <col min="5389" max="5389" width="10.54296875" style="78" customWidth="1"/>
    <col min="5390" max="5632" width="11.453125" style="78"/>
    <col min="5633" max="5633" width="11.54296875" style="78" customWidth="1"/>
    <col min="5634" max="5634" width="45.6328125" style="78" customWidth="1"/>
    <col min="5635" max="5635" width="6.54296875" style="78" customWidth="1"/>
    <col min="5636" max="5636" width="6.36328125" style="78" customWidth="1"/>
    <col min="5637" max="5638" width="6.54296875" style="78" customWidth="1"/>
    <col min="5639" max="5639" width="6.6328125" style="78" customWidth="1"/>
    <col min="5640" max="5641" width="6.90625" style="78" customWidth="1"/>
    <col min="5642" max="5642" width="6.453125" style="78" customWidth="1"/>
    <col min="5643" max="5643" width="6.90625" style="78" customWidth="1"/>
    <col min="5644" max="5644" width="7.08984375" style="78" customWidth="1"/>
    <col min="5645" max="5645" width="10.54296875" style="78" customWidth="1"/>
    <col min="5646" max="5888" width="11.453125" style="78"/>
    <col min="5889" max="5889" width="11.54296875" style="78" customWidth="1"/>
    <col min="5890" max="5890" width="45.6328125" style="78" customWidth="1"/>
    <col min="5891" max="5891" width="6.54296875" style="78" customWidth="1"/>
    <col min="5892" max="5892" width="6.36328125" style="78" customWidth="1"/>
    <col min="5893" max="5894" width="6.54296875" style="78" customWidth="1"/>
    <col min="5895" max="5895" width="6.6328125" style="78" customWidth="1"/>
    <col min="5896" max="5897" width="6.90625" style="78" customWidth="1"/>
    <col min="5898" max="5898" width="6.453125" style="78" customWidth="1"/>
    <col min="5899" max="5899" width="6.90625" style="78" customWidth="1"/>
    <col min="5900" max="5900" width="7.08984375" style="78" customWidth="1"/>
    <col min="5901" max="5901" width="10.54296875" style="78" customWidth="1"/>
    <col min="5902" max="6144" width="11.453125" style="78"/>
    <col min="6145" max="6145" width="11.54296875" style="78" customWidth="1"/>
    <col min="6146" max="6146" width="45.6328125" style="78" customWidth="1"/>
    <col min="6147" max="6147" width="6.54296875" style="78" customWidth="1"/>
    <col min="6148" max="6148" width="6.36328125" style="78" customWidth="1"/>
    <col min="6149" max="6150" width="6.54296875" style="78" customWidth="1"/>
    <col min="6151" max="6151" width="6.6328125" style="78" customWidth="1"/>
    <col min="6152" max="6153" width="6.90625" style="78" customWidth="1"/>
    <col min="6154" max="6154" width="6.453125" style="78" customWidth="1"/>
    <col min="6155" max="6155" width="6.90625" style="78" customWidth="1"/>
    <col min="6156" max="6156" width="7.08984375" style="78" customWidth="1"/>
    <col min="6157" max="6157" width="10.54296875" style="78" customWidth="1"/>
    <col min="6158" max="6400" width="11.453125" style="78"/>
    <col min="6401" max="6401" width="11.54296875" style="78" customWidth="1"/>
    <col min="6402" max="6402" width="45.6328125" style="78" customWidth="1"/>
    <col min="6403" max="6403" width="6.54296875" style="78" customWidth="1"/>
    <col min="6404" max="6404" width="6.36328125" style="78" customWidth="1"/>
    <col min="6405" max="6406" width="6.54296875" style="78" customWidth="1"/>
    <col min="6407" max="6407" width="6.6328125" style="78" customWidth="1"/>
    <col min="6408" max="6409" width="6.90625" style="78" customWidth="1"/>
    <col min="6410" max="6410" width="6.453125" style="78" customWidth="1"/>
    <col min="6411" max="6411" width="6.90625" style="78" customWidth="1"/>
    <col min="6412" max="6412" width="7.08984375" style="78" customWidth="1"/>
    <col min="6413" max="6413" width="10.54296875" style="78" customWidth="1"/>
    <col min="6414" max="6656" width="11.453125" style="78"/>
    <col min="6657" max="6657" width="11.54296875" style="78" customWidth="1"/>
    <col min="6658" max="6658" width="45.6328125" style="78" customWidth="1"/>
    <col min="6659" max="6659" width="6.54296875" style="78" customWidth="1"/>
    <col min="6660" max="6660" width="6.36328125" style="78" customWidth="1"/>
    <col min="6661" max="6662" width="6.54296875" style="78" customWidth="1"/>
    <col min="6663" max="6663" width="6.6328125" style="78" customWidth="1"/>
    <col min="6664" max="6665" width="6.90625" style="78" customWidth="1"/>
    <col min="6666" max="6666" width="6.453125" style="78" customWidth="1"/>
    <col min="6667" max="6667" width="6.90625" style="78" customWidth="1"/>
    <col min="6668" max="6668" width="7.08984375" style="78" customWidth="1"/>
    <col min="6669" max="6669" width="10.54296875" style="78" customWidth="1"/>
    <col min="6670" max="6912" width="11.453125" style="78"/>
    <col min="6913" max="6913" width="11.54296875" style="78" customWidth="1"/>
    <col min="6914" max="6914" width="45.6328125" style="78" customWidth="1"/>
    <col min="6915" max="6915" width="6.54296875" style="78" customWidth="1"/>
    <col min="6916" max="6916" width="6.36328125" style="78" customWidth="1"/>
    <col min="6917" max="6918" width="6.54296875" style="78" customWidth="1"/>
    <col min="6919" max="6919" width="6.6328125" style="78" customWidth="1"/>
    <col min="6920" max="6921" width="6.90625" style="78" customWidth="1"/>
    <col min="6922" max="6922" width="6.453125" style="78" customWidth="1"/>
    <col min="6923" max="6923" width="6.90625" style="78" customWidth="1"/>
    <col min="6924" max="6924" width="7.08984375" style="78" customWidth="1"/>
    <col min="6925" max="6925" width="10.54296875" style="78" customWidth="1"/>
    <col min="6926" max="7168" width="11.453125" style="78"/>
    <col min="7169" max="7169" width="11.54296875" style="78" customWidth="1"/>
    <col min="7170" max="7170" width="45.6328125" style="78" customWidth="1"/>
    <col min="7171" max="7171" width="6.54296875" style="78" customWidth="1"/>
    <col min="7172" max="7172" width="6.36328125" style="78" customWidth="1"/>
    <col min="7173" max="7174" width="6.54296875" style="78" customWidth="1"/>
    <col min="7175" max="7175" width="6.6328125" style="78" customWidth="1"/>
    <col min="7176" max="7177" width="6.90625" style="78" customWidth="1"/>
    <col min="7178" max="7178" width="6.453125" style="78" customWidth="1"/>
    <col min="7179" max="7179" width="6.90625" style="78" customWidth="1"/>
    <col min="7180" max="7180" width="7.08984375" style="78" customWidth="1"/>
    <col min="7181" max="7181" width="10.54296875" style="78" customWidth="1"/>
    <col min="7182" max="7424" width="11.453125" style="78"/>
    <col min="7425" max="7425" width="11.54296875" style="78" customWidth="1"/>
    <col min="7426" max="7426" width="45.6328125" style="78" customWidth="1"/>
    <col min="7427" max="7427" width="6.54296875" style="78" customWidth="1"/>
    <col min="7428" max="7428" width="6.36328125" style="78" customWidth="1"/>
    <col min="7429" max="7430" width="6.54296875" style="78" customWidth="1"/>
    <col min="7431" max="7431" width="6.6328125" style="78" customWidth="1"/>
    <col min="7432" max="7433" width="6.90625" style="78" customWidth="1"/>
    <col min="7434" max="7434" width="6.453125" style="78" customWidth="1"/>
    <col min="7435" max="7435" width="6.90625" style="78" customWidth="1"/>
    <col min="7436" max="7436" width="7.08984375" style="78" customWidth="1"/>
    <col min="7437" max="7437" width="10.54296875" style="78" customWidth="1"/>
    <col min="7438" max="7680" width="11.453125" style="78"/>
    <col min="7681" max="7681" width="11.54296875" style="78" customWidth="1"/>
    <col min="7682" max="7682" width="45.6328125" style="78" customWidth="1"/>
    <col min="7683" max="7683" width="6.54296875" style="78" customWidth="1"/>
    <col min="7684" max="7684" width="6.36328125" style="78" customWidth="1"/>
    <col min="7685" max="7686" width="6.54296875" style="78" customWidth="1"/>
    <col min="7687" max="7687" width="6.6328125" style="78" customWidth="1"/>
    <col min="7688" max="7689" width="6.90625" style="78" customWidth="1"/>
    <col min="7690" max="7690" width="6.453125" style="78" customWidth="1"/>
    <col min="7691" max="7691" width="6.90625" style="78" customWidth="1"/>
    <col min="7692" max="7692" width="7.08984375" style="78" customWidth="1"/>
    <col min="7693" max="7693" width="10.54296875" style="78" customWidth="1"/>
    <col min="7694" max="7936" width="11.453125" style="78"/>
    <col min="7937" max="7937" width="11.54296875" style="78" customWidth="1"/>
    <col min="7938" max="7938" width="45.6328125" style="78" customWidth="1"/>
    <col min="7939" max="7939" width="6.54296875" style="78" customWidth="1"/>
    <col min="7940" max="7940" width="6.36328125" style="78" customWidth="1"/>
    <col min="7941" max="7942" width="6.54296875" style="78" customWidth="1"/>
    <col min="7943" max="7943" width="6.6328125" style="78" customWidth="1"/>
    <col min="7944" max="7945" width="6.90625" style="78" customWidth="1"/>
    <col min="7946" max="7946" width="6.453125" style="78" customWidth="1"/>
    <col min="7947" max="7947" width="6.90625" style="78" customWidth="1"/>
    <col min="7948" max="7948" width="7.08984375" style="78" customWidth="1"/>
    <col min="7949" max="7949" width="10.54296875" style="78" customWidth="1"/>
    <col min="7950" max="8192" width="11.453125" style="78"/>
    <col min="8193" max="8193" width="11.54296875" style="78" customWidth="1"/>
    <col min="8194" max="8194" width="45.6328125" style="78" customWidth="1"/>
    <col min="8195" max="8195" width="6.54296875" style="78" customWidth="1"/>
    <col min="8196" max="8196" width="6.36328125" style="78" customWidth="1"/>
    <col min="8197" max="8198" width="6.54296875" style="78" customWidth="1"/>
    <col min="8199" max="8199" width="6.6328125" style="78" customWidth="1"/>
    <col min="8200" max="8201" width="6.90625" style="78" customWidth="1"/>
    <col min="8202" max="8202" width="6.453125" style="78" customWidth="1"/>
    <col min="8203" max="8203" width="6.90625" style="78" customWidth="1"/>
    <col min="8204" max="8204" width="7.08984375" style="78" customWidth="1"/>
    <col min="8205" max="8205" width="10.54296875" style="78" customWidth="1"/>
    <col min="8206" max="8448" width="11.453125" style="78"/>
    <col min="8449" max="8449" width="11.54296875" style="78" customWidth="1"/>
    <col min="8450" max="8450" width="45.6328125" style="78" customWidth="1"/>
    <col min="8451" max="8451" width="6.54296875" style="78" customWidth="1"/>
    <col min="8452" max="8452" width="6.36328125" style="78" customWidth="1"/>
    <col min="8453" max="8454" width="6.54296875" style="78" customWidth="1"/>
    <col min="8455" max="8455" width="6.6328125" style="78" customWidth="1"/>
    <col min="8456" max="8457" width="6.90625" style="78" customWidth="1"/>
    <col min="8458" max="8458" width="6.453125" style="78" customWidth="1"/>
    <col min="8459" max="8459" width="6.90625" style="78" customWidth="1"/>
    <col min="8460" max="8460" width="7.08984375" style="78" customWidth="1"/>
    <col min="8461" max="8461" width="10.54296875" style="78" customWidth="1"/>
    <col min="8462" max="8704" width="11.453125" style="78"/>
    <col min="8705" max="8705" width="11.54296875" style="78" customWidth="1"/>
    <col min="8706" max="8706" width="45.6328125" style="78" customWidth="1"/>
    <col min="8707" max="8707" width="6.54296875" style="78" customWidth="1"/>
    <col min="8708" max="8708" width="6.36328125" style="78" customWidth="1"/>
    <col min="8709" max="8710" width="6.54296875" style="78" customWidth="1"/>
    <col min="8711" max="8711" width="6.6328125" style="78" customWidth="1"/>
    <col min="8712" max="8713" width="6.90625" style="78" customWidth="1"/>
    <col min="8714" max="8714" width="6.453125" style="78" customWidth="1"/>
    <col min="8715" max="8715" width="6.90625" style="78" customWidth="1"/>
    <col min="8716" max="8716" width="7.08984375" style="78" customWidth="1"/>
    <col min="8717" max="8717" width="10.54296875" style="78" customWidth="1"/>
    <col min="8718" max="8960" width="11.453125" style="78"/>
    <col min="8961" max="8961" width="11.54296875" style="78" customWidth="1"/>
    <col min="8962" max="8962" width="45.6328125" style="78" customWidth="1"/>
    <col min="8963" max="8963" width="6.54296875" style="78" customWidth="1"/>
    <col min="8964" max="8964" width="6.36328125" style="78" customWidth="1"/>
    <col min="8965" max="8966" width="6.54296875" style="78" customWidth="1"/>
    <col min="8967" max="8967" width="6.6328125" style="78" customWidth="1"/>
    <col min="8968" max="8969" width="6.90625" style="78" customWidth="1"/>
    <col min="8970" max="8970" width="6.453125" style="78" customWidth="1"/>
    <col min="8971" max="8971" width="6.90625" style="78" customWidth="1"/>
    <col min="8972" max="8972" width="7.08984375" style="78" customWidth="1"/>
    <col min="8973" max="8973" width="10.54296875" style="78" customWidth="1"/>
    <col min="8974" max="9216" width="11.453125" style="78"/>
    <col min="9217" max="9217" width="11.54296875" style="78" customWidth="1"/>
    <col min="9218" max="9218" width="45.6328125" style="78" customWidth="1"/>
    <col min="9219" max="9219" width="6.54296875" style="78" customWidth="1"/>
    <col min="9220" max="9220" width="6.36328125" style="78" customWidth="1"/>
    <col min="9221" max="9222" width="6.54296875" style="78" customWidth="1"/>
    <col min="9223" max="9223" width="6.6328125" style="78" customWidth="1"/>
    <col min="9224" max="9225" width="6.90625" style="78" customWidth="1"/>
    <col min="9226" max="9226" width="6.453125" style="78" customWidth="1"/>
    <col min="9227" max="9227" width="6.90625" style="78" customWidth="1"/>
    <col min="9228" max="9228" width="7.08984375" style="78" customWidth="1"/>
    <col min="9229" max="9229" width="10.54296875" style="78" customWidth="1"/>
    <col min="9230" max="9472" width="11.453125" style="78"/>
    <col min="9473" max="9473" width="11.54296875" style="78" customWidth="1"/>
    <col min="9474" max="9474" width="45.6328125" style="78" customWidth="1"/>
    <col min="9475" max="9475" width="6.54296875" style="78" customWidth="1"/>
    <col min="9476" max="9476" width="6.36328125" style="78" customWidth="1"/>
    <col min="9477" max="9478" width="6.54296875" style="78" customWidth="1"/>
    <col min="9479" max="9479" width="6.6328125" style="78" customWidth="1"/>
    <col min="9480" max="9481" width="6.90625" style="78" customWidth="1"/>
    <col min="9482" max="9482" width="6.453125" style="78" customWidth="1"/>
    <col min="9483" max="9483" width="6.90625" style="78" customWidth="1"/>
    <col min="9484" max="9484" width="7.08984375" style="78" customWidth="1"/>
    <col min="9485" max="9485" width="10.54296875" style="78" customWidth="1"/>
    <col min="9486" max="9728" width="11.453125" style="78"/>
    <col min="9729" max="9729" width="11.54296875" style="78" customWidth="1"/>
    <col min="9730" max="9730" width="45.6328125" style="78" customWidth="1"/>
    <col min="9731" max="9731" width="6.54296875" style="78" customWidth="1"/>
    <col min="9732" max="9732" width="6.36328125" style="78" customWidth="1"/>
    <col min="9733" max="9734" width="6.54296875" style="78" customWidth="1"/>
    <col min="9735" max="9735" width="6.6328125" style="78" customWidth="1"/>
    <col min="9736" max="9737" width="6.90625" style="78" customWidth="1"/>
    <col min="9738" max="9738" width="6.453125" style="78" customWidth="1"/>
    <col min="9739" max="9739" width="6.90625" style="78" customWidth="1"/>
    <col min="9740" max="9740" width="7.08984375" style="78" customWidth="1"/>
    <col min="9741" max="9741" width="10.54296875" style="78" customWidth="1"/>
    <col min="9742" max="9984" width="11.453125" style="78"/>
    <col min="9985" max="9985" width="11.54296875" style="78" customWidth="1"/>
    <col min="9986" max="9986" width="45.6328125" style="78" customWidth="1"/>
    <col min="9987" max="9987" width="6.54296875" style="78" customWidth="1"/>
    <col min="9988" max="9988" width="6.36328125" style="78" customWidth="1"/>
    <col min="9989" max="9990" width="6.54296875" style="78" customWidth="1"/>
    <col min="9991" max="9991" width="6.6328125" style="78" customWidth="1"/>
    <col min="9992" max="9993" width="6.90625" style="78" customWidth="1"/>
    <col min="9994" max="9994" width="6.453125" style="78" customWidth="1"/>
    <col min="9995" max="9995" width="6.90625" style="78" customWidth="1"/>
    <col min="9996" max="9996" width="7.08984375" style="78" customWidth="1"/>
    <col min="9997" max="9997" width="10.54296875" style="78" customWidth="1"/>
    <col min="9998" max="10240" width="11.453125" style="78"/>
    <col min="10241" max="10241" width="11.54296875" style="78" customWidth="1"/>
    <col min="10242" max="10242" width="45.6328125" style="78" customWidth="1"/>
    <col min="10243" max="10243" width="6.54296875" style="78" customWidth="1"/>
    <col min="10244" max="10244" width="6.36328125" style="78" customWidth="1"/>
    <col min="10245" max="10246" width="6.54296875" style="78" customWidth="1"/>
    <col min="10247" max="10247" width="6.6328125" style="78" customWidth="1"/>
    <col min="10248" max="10249" width="6.90625" style="78" customWidth="1"/>
    <col min="10250" max="10250" width="6.453125" style="78" customWidth="1"/>
    <col min="10251" max="10251" width="6.90625" style="78" customWidth="1"/>
    <col min="10252" max="10252" width="7.08984375" style="78" customWidth="1"/>
    <col min="10253" max="10253" width="10.54296875" style="78" customWidth="1"/>
    <col min="10254" max="10496" width="11.453125" style="78"/>
    <col min="10497" max="10497" width="11.54296875" style="78" customWidth="1"/>
    <col min="10498" max="10498" width="45.6328125" style="78" customWidth="1"/>
    <col min="10499" max="10499" width="6.54296875" style="78" customWidth="1"/>
    <col min="10500" max="10500" width="6.36328125" style="78" customWidth="1"/>
    <col min="10501" max="10502" width="6.54296875" style="78" customWidth="1"/>
    <col min="10503" max="10503" width="6.6328125" style="78" customWidth="1"/>
    <col min="10504" max="10505" width="6.90625" style="78" customWidth="1"/>
    <col min="10506" max="10506" width="6.453125" style="78" customWidth="1"/>
    <col min="10507" max="10507" width="6.90625" style="78" customWidth="1"/>
    <col min="10508" max="10508" width="7.08984375" style="78" customWidth="1"/>
    <col min="10509" max="10509" width="10.54296875" style="78" customWidth="1"/>
    <col min="10510" max="10752" width="11.453125" style="78"/>
    <col min="10753" max="10753" width="11.54296875" style="78" customWidth="1"/>
    <col min="10754" max="10754" width="45.6328125" style="78" customWidth="1"/>
    <col min="10755" max="10755" width="6.54296875" style="78" customWidth="1"/>
    <col min="10756" max="10756" width="6.36328125" style="78" customWidth="1"/>
    <col min="10757" max="10758" width="6.54296875" style="78" customWidth="1"/>
    <col min="10759" max="10759" width="6.6328125" style="78" customWidth="1"/>
    <col min="10760" max="10761" width="6.90625" style="78" customWidth="1"/>
    <col min="10762" max="10762" width="6.453125" style="78" customWidth="1"/>
    <col min="10763" max="10763" width="6.90625" style="78" customWidth="1"/>
    <col min="10764" max="10764" width="7.08984375" style="78" customWidth="1"/>
    <col min="10765" max="10765" width="10.54296875" style="78" customWidth="1"/>
    <col min="10766" max="11008" width="11.453125" style="78"/>
    <col min="11009" max="11009" width="11.54296875" style="78" customWidth="1"/>
    <col min="11010" max="11010" width="45.6328125" style="78" customWidth="1"/>
    <col min="11011" max="11011" width="6.54296875" style="78" customWidth="1"/>
    <col min="11012" max="11012" width="6.36328125" style="78" customWidth="1"/>
    <col min="11013" max="11014" width="6.54296875" style="78" customWidth="1"/>
    <col min="11015" max="11015" width="6.6328125" style="78" customWidth="1"/>
    <col min="11016" max="11017" width="6.90625" style="78" customWidth="1"/>
    <col min="11018" max="11018" width="6.453125" style="78" customWidth="1"/>
    <col min="11019" max="11019" width="6.90625" style="78" customWidth="1"/>
    <col min="11020" max="11020" width="7.08984375" style="78" customWidth="1"/>
    <col min="11021" max="11021" width="10.54296875" style="78" customWidth="1"/>
    <col min="11022" max="11264" width="11.453125" style="78"/>
    <col min="11265" max="11265" width="11.54296875" style="78" customWidth="1"/>
    <col min="11266" max="11266" width="45.6328125" style="78" customWidth="1"/>
    <col min="11267" max="11267" width="6.54296875" style="78" customWidth="1"/>
    <col min="11268" max="11268" width="6.36328125" style="78" customWidth="1"/>
    <col min="11269" max="11270" width="6.54296875" style="78" customWidth="1"/>
    <col min="11271" max="11271" width="6.6328125" style="78" customWidth="1"/>
    <col min="11272" max="11273" width="6.90625" style="78" customWidth="1"/>
    <col min="11274" max="11274" width="6.453125" style="78" customWidth="1"/>
    <col min="11275" max="11275" width="6.90625" style="78" customWidth="1"/>
    <col min="11276" max="11276" width="7.08984375" style="78" customWidth="1"/>
    <col min="11277" max="11277" width="10.54296875" style="78" customWidth="1"/>
    <col min="11278" max="11520" width="11.453125" style="78"/>
    <col min="11521" max="11521" width="11.54296875" style="78" customWidth="1"/>
    <col min="11522" max="11522" width="45.6328125" style="78" customWidth="1"/>
    <col min="11523" max="11523" width="6.54296875" style="78" customWidth="1"/>
    <col min="11524" max="11524" width="6.36328125" style="78" customWidth="1"/>
    <col min="11525" max="11526" width="6.54296875" style="78" customWidth="1"/>
    <col min="11527" max="11527" width="6.6328125" style="78" customWidth="1"/>
    <col min="11528" max="11529" width="6.90625" style="78" customWidth="1"/>
    <col min="11530" max="11530" width="6.453125" style="78" customWidth="1"/>
    <col min="11531" max="11531" width="6.90625" style="78" customWidth="1"/>
    <col min="11532" max="11532" width="7.08984375" style="78" customWidth="1"/>
    <col min="11533" max="11533" width="10.54296875" style="78" customWidth="1"/>
    <col min="11534" max="11776" width="11.453125" style="78"/>
    <col min="11777" max="11777" width="11.54296875" style="78" customWidth="1"/>
    <col min="11778" max="11778" width="45.6328125" style="78" customWidth="1"/>
    <col min="11779" max="11779" width="6.54296875" style="78" customWidth="1"/>
    <col min="11780" max="11780" width="6.36328125" style="78" customWidth="1"/>
    <col min="11781" max="11782" width="6.54296875" style="78" customWidth="1"/>
    <col min="11783" max="11783" width="6.6328125" style="78" customWidth="1"/>
    <col min="11784" max="11785" width="6.90625" style="78" customWidth="1"/>
    <col min="11786" max="11786" width="6.453125" style="78" customWidth="1"/>
    <col min="11787" max="11787" width="6.90625" style="78" customWidth="1"/>
    <col min="11788" max="11788" width="7.08984375" style="78" customWidth="1"/>
    <col min="11789" max="11789" width="10.54296875" style="78" customWidth="1"/>
    <col min="11790" max="12032" width="11.453125" style="78"/>
    <col min="12033" max="12033" width="11.54296875" style="78" customWidth="1"/>
    <col min="12034" max="12034" width="45.6328125" style="78" customWidth="1"/>
    <col min="12035" max="12035" width="6.54296875" style="78" customWidth="1"/>
    <col min="12036" max="12036" width="6.36328125" style="78" customWidth="1"/>
    <col min="12037" max="12038" width="6.54296875" style="78" customWidth="1"/>
    <col min="12039" max="12039" width="6.6328125" style="78" customWidth="1"/>
    <col min="12040" max="12041" width="6.90625" style="78" customWidth="1"/>
    <col min="12042" max="12042" width="6.453125" style="78" customWidth="1"/>
    <col min="12043" max="12043" width="6.90625" style="78" customWidth="1"/>
    <col min="12044" max="12044" width="7.08984375" style="78" customWidth="1"/>
    <col min="12045" max="12045" width="10.54296875" style="78" customWidth="1"/>
    <col min="12046" max="12288" width="11.453125" style="78"/>
    <col min="12289" max="12289" width="11.54296875" style="78" customWidth="1"/>
    <col min="12290" max="12290" width="45.6328125" style="78" customWidth="1"/>
    <col min="12291" max="12291" width="6.54296875" style="78" customWidth="1"/>
    <col min="12292" max="12292" width="6.36328125" style="78" customWidth="1"/>
    <col min="12293" max="12294" width="6.54296875" style="78" customWidth="1"/>
    <col min="12295" max="12295" width="6.6328125" style="78" customWidth="1"/>
    <col min="12296" max="12297" width="6.90625" style="78" customWidth="1"/>
    <col min="12298" max="12298" width="6.453125" style="78" customWidth="1"/>
    <col min="12299" max="12299" width="6.90625" style="78" customWidth="1"/>
    <col min="12300" max="12300" width="7.08984375" style="78" customWidth="1"/>
    <col min="12301" max="12301" width="10.54296875" style="78" customWidth="1"/>
    <col min="12302" max="12544" width="11.453125" style="78"/>
    <col min="12545" max="12545" width="11.54296875" style="78" customWidth="1"/>
    <col min="12546" max="12546" width="45.6328125" style="78" customWidth="1"/>
    <col min="12547" max="12547" width="6.54296875" style="78" customWidth="1"/>
    <col min="12548" max="12548" width="6.36328125" style="78" customWidth="1"/>
    <col min="12549" max="12550" width="6.54296875" style="78" customWidth="1"/>
    <col min="12551" max="12551" width="6.6328125" style="78" customWidth="1"/>
    <col min="12552" max="12553" width="6.90625" style="78" customWidth="1"/>
    <col min="12554" max="12554" width="6.453125" style="78" customWidth="1"/>
    <col min="12555" max="12555" width="6.90625" style="78" customWidth="1"/>
    <col min="12556" max="12556" width="7.08984375" style="78" customWidth="1"/>
    <col min="12557" max="12557" width="10.54296875" style="78" customWidth="1"/>
    <col min="12558" max="12800" width="11.453125" style="78"/>
    <col min="12801" max="12801" width="11.54296875" style="78" customWidth="1"/>
    <col min="12802" max="12802" width="45.6328125" style="78" customWidth="1"/>
    <col min="12803" max="12803" width="6.54296875" style="78" customWidth="1"/>
    <col min="12804" max="12804" width="6.36328125" style="78" customWidth="1"/>
    <col min="12805" max="12806" width="6.54296875" style="78" customWidth="1"/>
    <col min="12807" max="12807" width="6.6328125" style="78" customWidth="1"/>
    <col min="12808" max="12809" width="6.90625" style="78" customWidth="1"/>
    <col min="12810" max="12810" width="6.453125" style="78" customWidth="1"/>
    <col min="12811" max="12811" width="6.90625" style="78" customWidth="1"/>
    <col min="12812" max="12812" width="7.08984375" style="78" customWidth="1"/>
    <col min="12813" max="12813" width="10.54296875" style="78" customWidth="1"/>
    <col min="12814" max="13056" width="11.453125" style="78"/>
    <col min="13057" max="13057" width="11.54296875" style="78" customWidth="1"/>
    <col min="13058" max="13058" width="45.6328125" style="78" customWidth="1"/>
    <col min="13059" max="13059" width="6.54296875" style="78" customWidth="1"/>
    <col min="13060" max="13060" width="6.36328125" style="78" customWidth="1"/>
    <col min="13061" max="13062" width="6.54296875" style="78" customWidth="1"/>
    <col min="13063" max="13063" width="6.6328125" style="78" customWidth="1"/>
    <col min="13064" max="13065" width="6.90625" style="78" customWidth="1"/>
    <col min="13066" max="13066" width="6.453125" style="78" customWidth="1"/>
    <col min="13067" max="13067" width="6.90625" style="78" customWidth="1"/>
    <col min="13068" max="13068" width="7.08984375" style="78" customWidth="1"/>
    <col min="13069" max="13069" width="10.54296875" style="78" customWidth="1"/>
    <col min="13070" max="13312" width="11.453125" style="78"/>
    <col min="13313" max="13313" width="11.54296875" style="78" customWidth="1"/>
    <col min="13314" max="13314" width="45.6328125" style="78" customWidth="1"/>
    <col min="13315" max="13315" width="6.54296875" style="78" customWidth="1"/>
    <col min="13316" max="13316" width="6.36328125" style="78" customWidth="1"/>
    <col min="13317" max="13318" width="6.54296875" style="78" customWidth="1"/>
    <col min="13319" max="13319" width="6.6328125" style="78" customWidth="1"/>
    <col min="13320" max="13321" width="6.90625" style="78" customWidth="1"/>
    <col min="13322" max="13322" width="6.453125" style="78" customWidth="1"/>
    <col min="13323" max="13323" width="6.90625" style="78" customWidth="1"/>
    <col min="13324" max="13324" width="7.08984375" style="78" customWidth="1"/>
    <col min="13325" max="13325" width="10.54296875" style="78" customWidth="1"/>
    <col min="13326" max="13568" width="11.453125" style="78"/>
    <col min="13569" max="13569" width="11.54296875" style="78" customWidth="1"/>
    <col min="13570" max="13570" width="45.6328125" style="78" customWidth="1"/>
    <col min="13571" max="13571" width="6.54296875" style="78" customWidth="1"/>
    <col min="13572" max="13572" width="6.36328125" style="78" customWidth="1"/>
    <col min="13573" max="13574" width="6.54296875" style="78" customWidth="1"/>
    <col min="13575" max="13575" width="6.6328125" style="78" customWidth="1"/>
    <col min="13576" max="13577" width="6.90625" style="78" customWidth="1"/>
    <col min="13578" max="13578" width="6.453125" style="78" customWidth="1"/>
    <col min="13579" max="13579" width="6.90625" style="78" customWidth="1"/>
    <col min="13580" max="13580" width="7.08984375" style="78" customWidth="1"/>
    <col min="13581" max="13581" width="10.54296875" style="78" customWidth="1"/>
    <col min="13582" max="13824" width="11.453125" style="78"/>
    <col min="13825" max="13825" width="11.54296875" style="78" customWidth="1"/>
    <col min="13826" max="13826" width="45.6328125" style="78" customWidth="1"/>
    <col min="13827" max="13827" width="6.54296875" style="78" customWidth="1"/>
    <col min="13828" max="13828" width="6.36328125" style="78" customWidth="1"/>
    <col min="13829" max="13830" width="6.54296875" style="78" customWidth="1"/>
    <col min="13831" max="13831" width="6.6328125" style="78" customWidth="1"/>
    <col min="13832" max="13833" width="6.90625" style="78" customWidth="1"/>
    <col min="13834" max="13834" width="6.453125" style="78" customWidth="1"/>
    <col min="13835" max="13835" width="6.90625" style="78" customWidth="1"/>
    <col min="13836" max="13836" width="7.08984375" style="78" customWidth="1"/>
    <col min="13837" max="13837" width="10.54296875" style="78" customWidth="1"/>
    <col min="13838" max="14080" width="11.453125" style="78"/>
    <col min="14081" max="14081" width="11.54296875" style="78" customWidth="1"/>
    <col min="14082" max="14082" width="45.6328125" style="78" customWidth="1"/>
    <col min="14083" max="14083" width="6.54296875" style="78" customWidth="1"/>
    <col min="14084" max="14084" width="6.36328125" style="78" customWidth="1"/>
    <col min="14085" max="14086" width="6.54296875" style="78" customWidth="1"/>
    <col min="14087" max="14087" width="6.6328125" style="78" customWidth="1"/>
    <col min="14088" max="14089" width="6.90625" style="78" customWidth="1"/>
    <col min="14090" max="14090" width="6.453125" style="78" customWidth="1"/>
    <col min="14091" max="14091" width="6.90625" style="78" customWidth="1"/>
    <col min="14092" max="14092" width="7.08984375" style="78" customWidth="1"/>
    <col min="14093" max="14093" width="10.54296875" style="78" customWidth="1"/>
    <col min="14094" max="14336" width="11.453125" style="78"/>
    <col min="14337" max="14337" width="11.54296875" style="78" customWidth="1"/>
    <col min="14338" max="14338" width="45.6328125" style="78" customWidth="1"/>
    <col min="14339" max="14339" width="6.54296875" style="78" customWidth="1"/>
    <col min="14340" max="14340" width="6.36328125" style="78" customWidth="1"/>
    <col min="14341" max="14342" width="6.54296875" style="78" customWidth="1"/>
    <col min="14343" max="14343" width="6.6328125" style="78" customWidth="1"/>
    <col min="14344" max="14345" width="6.90625" style="78" customWidth="1"/>
    <col min="14346" max="14346" width="6.453125" style="78" customWidth="1"/>
    <col min="14347" max="14347" width="6.90625" style="78" customWidth="1"/>
    <col min="14348" max="14348" width="7.08984375" style="78" customWidth="1"/>
    <col min="14349" max="14349" width="10.54296875" style="78" customWidth="1"/>
    <col min="14350" max="14592" width="11.453125" style="78"/>
    <col min="14593" max="14593" width="11.54296875" style="78" customWidth="1"/>
    <col min="14594" max="14594" width="45.6328125" style="78" customWidth="1"/>
    <col min="14595" max="14595" width="6.54296875" style="78" customWidth="1"/>
    <col min="14596" max="14596" width="6.36328125" style="78" customWidth="1"/>
    <col min="14597" max="14598" width="6.54296875" style="78" customWidth="1"/>
    <col min="14599" max="14599" width="6.6328125" style="78" customWidth="1"/>
    <col min="14600" max="14601" width="6.90625" style="78" customWidth="1"/>
    <col min="14602" max="14602" width="6.453125" style="78" customWidth="1"/>
    <col min="14603" max="14603" width="6.90625" style="78" customWidth="1"/>
    <col min="14604" max="14604" width="7.08984375" style="78" customWidth="1"/>
    <col min="14605" max="14605" width="10.54296875" style="78" customWidth="1"/>
    <col min="14606" max="14848" width="11.453125" style="78"/>
    <col min="14849" max="14849" width="11.54296875" style="78" customWidth="1"/>
    <col min="14850" max="14850" width="45.6328125" style="78" customWidth="1"/>
    <col min="14851" max="14851" width="6.54296875" style="78" customWidth="1"/>
    <col min="14852" max="14852" width="6.36328125" style="78" customWidth="1"/>
    <col min="14853" max="14854" width="6.54296875" style="78" customWidth="1"/>
    <col min="14855" max="14855" width="6.6328125" style="78" customWidth="1"/>
    <col min="14856" max="14857" width="6.90625" style="78" customWidth="1"/>
    <col min="14858" max="14858" width="6.453125" style="78" customWidth="1"/>
    <col min="14859" max="14859" width="6.90625" style="78" customWidth="1"/>
    <col min="14860" max="14860" width="7.08984375" style="78" customWidth="1"/>
    <col min="14861" max="14861" width="10.54296875" style="78" customWidth="1"/>
    <col min="14862" max="15104" width="11.453125" style="78"/>
    <col min="15105" max="15105" width="11.54296875" style="78" customWidth="1"/>
    <col min="15106" max="15106" width="45.6328125" style="78" customWidth="1"/>
    <col min="15107" max="15107" width="6.54296875" style="78" customWidth="1"/>
    <col min="15108" max="15108" width="6.36328125" style="78" customWidth="1"/>
    <col min="15109" max="15110" width="6.54296875" style="78" customWidth="1"/>
    <col min="15111" max="15111" width="6.6328125" style="78" customWidth="1"/>
    <col min="15112" max="15113" width="6.90625" style="78" customWidth="1"/>
    <col min="15114" max="15114" width="6.453125" style="78" customWidth="1"/>
    <col min="15115" max="15115" width="6.90625" style="78" customWidth="1"/>
    <col min="15116" max="15116" width="7.08984375" style="78" customWidth="1"/>
    <col min="15117" max="15117" width="10.54296875" style="78" customWidth="1"/>
    <col min="15118" max="15360" width="11.453125" style="78"/>
    <col min="15361" max="15361" width="11.54296875" style="78" customWidth="1"/>
    <col min="15362" max="15362" width="45.6328125" style="78" customWidth="1"/>
    <col min="15363" max="15363" width="6.54296875" style="78" customWidth="1"/>
    <col min="15364" max="15364" width="6.36328125" style="78" customWidth="1"/>
    <col min="15365" max="15366" width="6.54296875" style="78" customWidth="1"/>
    <col min="15367" max="15367" width="6.6328125" style="78" customWidth="1"/>
    <col min="15368" max="15369" width="6.90625" style="78" customWidth="1"/>
    <col min="15370" max="15370" width="6.453125" style="78" customWidth="1"/>
    <col min="15371" max="15371" width="6.90625" style="78" customWidth="1"/>
    <col min="15372" max="15372" width="7.08984375" style="78" customWidth="1"/>
    <col min="15373" max="15373" width="10.54296875" style="78" customWidth="1"/>
    <col min="15374" max="15616" width="11.453125" style="78"/>
    <col min="15617" max="15617" width="11.54296875" style="78" customWidth="1"/>
    <col min="15618" max="15618" width="45.6328125" style="78" customWidth="1"/>
    <col min="15619" max="15619" width="6.54296875" style="78" customWidth="1"/>
    <col min="15620" max="15620" width="6.36328125" style="78" customWidth="1"/>
    <col min="15621" max="15622" width="6.54296875" style="78" customWidth="1"/>
    <col min="15623" max="15623" width="6.6328125" style="78" customWidth="1"/>
    <col min="15624" max="15625" width="6.90625" style="78" customWidth="1"/>
    <col min="15626" max="15626" width="6.453125" style="78" customWidth="1"/>
    <col min="15627" max="15627" width="6.90625" style="78" customWidth="1"/>
    <col min="15628" max="15628" width="7.08984375" style="78" customWidth="1"/>
    <col min="15629" max="15629" width="10.54296875" style="78" customWidth="1"/>
    <col min="15630" max="15872" width="11.453125" style="78"/>
    <col min="15873" max="15873" width="11.54296875" style="78" customWidth="1"/>
    <col min="15874" max="15874" width="45.6328125" style="78" customWidth="1"/>
    <col min="15875" max="15875" width="6.54296875" style="78" customWidth="1"/>
    <col min="15876" max="15876" width="6.36328125" style="78" customWidth="1"/>
    <col min="15877" max="15878" width="6.54296875" style="78" customWidth="1"/>
    <col min="15879" max="15879" width="6.6328125" style="78" customWidth="1"/>
    <col min="15880" max="15881" width="6.90625" style="78" customWidth="1"/>
    <col min="15882" max="15882" width="6.453125" style="78" customWidth="1"/>
    <col min="15883" max="15883" width="6.90625" style="78" customWidth="1"/>
    <col min="15884" max="15884" width="7.08984375" style="78" customWidth="1"/>
    <col min="15885" max="15885" width="10.54296875" style="78" customWidth="1"/>
    <col min="15886" max="16128" width="11.453125" style="78"/>
    <col min="16129" max="16129" width="11.54296875" style="78" customWidth="1"/>
    <col min="16130" max="16130" width="45.6328125" style="78" customWidth="1"/>
    <col min="16131" max="16131" width="6.54296875" style="78" customWidth="1"/>
    <col min="16132" max="16132" width="6.36328125" style="78" customWidth="1"/>
    <col min="16133" max="16134" width="6.54296875" style="78" customWidth="1"/>
    <col min="16135" max="16135" width="6.6328125" style="78" customWidth="1"/>
    <col min="16136" max="16137" width="6.90625" style="78" customWidth="1"/>
    <col min="16138" max="16138" width="6.453125" style="78" customWidth="1"/>
    <col min="16139" max="16139" width="6.90625" style="78" customWidth="1"/>
    <col min="16140" max="16140" width="7.08984375" style="78" customWidth="1"/>
    <col min="16141" max="16141" width="10.54296875" style="78" customWidth="1"/>
    <col min="16142" max="16384" width="11.453125" style="78"/>
  </cols>
  <sheetData>
    <row r="1" spans="1:14" x14ac:dyDescent="0.25">
      <c r="A1" s="77" t="s">
        <v>124</v>
      </c>
      <c r="B1" s="77"/>
    </row>
    <row r="2" spans="1:14" ht="13.25" x14ac:dyDescent="0.25">
      <c r="A2" s="79" t="s">
        <v>125</v>
      </c>
      <c r="B2" s="79"/>
      <c r="C2" s="79"/>
      <c r="D2" s="79"/>
      <c r="E2" s="79"/>
      <c r="F2" s="79"/>
      <c r="G2" s="79"/>
      <c r="H2" s="79"/>
    </row>
    <row r="4" spans="1:14" ht="13.25" x14ac:dyDescent="0.25">
      <c r="A4" s="77"/>
      <c r="B4" s="77"/>
    </row>
    <row r="5" spans="1:14" ht="13.25" x14ac:dyDescent="0.25">
      <c r="A5" s="79" t="s">
        <v>126</v>
      </c>
      <c r="B5" s="79"/>
      <c r="C5" s="178">
        <f>SUM(C61,C67,C165)</f>
        <v>19258.670000000002</v>
      </c>
      <c r="D5" s="178">
        <f t="shared" ref="D5:L5" si="0">SUM(D61,D67,D165)</f>
        <v>21623.05</v>
      </c>
      <c r="E5" s="178">
        <f t="shared" si="0"/>
        <v>25208.58</v>
      </c>
      <c r="F5" s="178">
        <f t="shared" si="0"/>
        <v>27267.86</v>
      </c>
      <c r="G5" s="178">
        <f t="shared" si="0"/>
        <v>29336.28</v>
      </c>
      <c r="H5" s="178">
        <f t="shared" si="0"/>
        <v>30973.37</v>
      </c>
      <c r="I5" s="178">
        <f t="shared" si="0"/>
        <v>34877.490000000005</v>
      </c>
      <c r="J5" s="178">
        <f t="shared" si="0"/>
        <v>37369</v>
      </c>
      <c r="K5" s="178">
        <f t="shared" si="0"/>
        <v>41546.729999999996</v>
      </c>
      <c r="L5" s="178">
        <f t="shared" si="0"/>
        <v>51124.229999999996</v>
      </c>
    </row>
    <row r="6" spans="1:14" ht="17.25" customHeight="1" x14ac:dyDescent="0.25">
      <c r="A6" s="460"/>
      <c r="B6" s="80"/>
      <c r="C6" s="462" t="s">
        <v>127</v>
      </c>
      <c r="D6" s="463"/>
      <c r="E6" s="463"/>
      <c r="F6" s="463"/>
      <c r="G6" s="463"/>
      <c r="H6" s="463"/>
      <c r="I6" s="463"/>
      <c r="J6" s="463"/>
      <c r="K6" s="463"/>
      <c r="L6" s="464"/>
      <c r="M6" s="465" t="s">
        <v>128</v>
      </c>
    </row>
    <row r="7" spans="1:14" x14ac:dyDescent="0.25">
      <c r="A7" s="461"/>
      <c r="B7" s="81"/>
      <c r="C7" s="82" t="s">
        <v>129</v>
      </c>
      <c r="D7" s="82" t="s">
        <v>130</v>
      </c>
      <c r="E7" s="82" t="s">
        <v>131</v>
      </c>
      <c r="F7" s="82" t="s">
        <v>132</v>
      </c>
      <c r="G7" s="82" t="s">
        <v>133</v>
      </c>
      <c r="H7" s="82" t="s">
        <v>134</v>
      </c>
      <c r="I7" s="82" t="s">
        <v>135</v>
      </c>
      <c r="J7" s="82" t="s">
        <v>136</v>
      </c>
      <c r="K7" s="82" t="s">
        <v>137</v>
      </c>
      <c r="L7" s="83" t="s">
        <v>34</v>
      </c>
      <c r="M7" s="466"/>
      <c r="N7" s="178">
        <f>AVERAGE(C8:L8)</f>
        <v>27268.219000000001</v>
      </c>
    </row>
    <row r="8" spans="1:14" ht="23" customHeight="1" x14ac:dyDescent="0.25">
      <c r="A8" s="84"/>
      <c r="B8" s="85" t="s">
        <v>138</v>
      </c>
      <c r="C8" s="86">
        <v>16197.23</v>
      </c>
      <c r="D8" s="87">
        <v>18179.87</v>
      </c>
      <c r="E8" s="87">
        <v>21263.32</v>
      </c>
      <c r="F8" s="87">
        <v>23138.26</v>
      </c>
      <c r="G8" s="87">
        <v>24853.34</v>
      </c>
      <c r="H8" s="87">
        <v>26430.83</v>
      </c>
      <c r="I8" s="87">
        <v>29863.02</v>
      </c>
      <c r="J8" s="87">
        <v>32073.14</v>
      </c>
      <c r="K8" s="87">
        <v>35968.06</v>
      </c>
      <c r="L8" s="87">
        <v>44715.12</v>
      </c>
      <c r="M8" s="87">
        <v>27267.18</v>
      </c>
    </row>
    <row r="9" spans="1:14" x14ac:dyDescent="0.25">
      <c r="A9" s="88" t="s">
        <v>139</v>
      </c>
      <c r="B9" s="89" t="s">
        <v>140</v>
      </c>
      <c r="C9" s="90">
        <v>21.56</v>
      </c>
      <c r="D9" s="91">
        <v>19.43</v>
      </c>
      <c r="E9" s="91">
        <v>25.32</v>
      </c>
      <c r="F9" s="91">
        <v>21.26</v>
      </c>
      <c r="G9" s="91">
        <v>23.77</v>
      </c>
      <c r="H9" s="91">
        <v>26.52</v>
      </c>
      <c r="I9" s="91">
        <v>33</v>
      </c>
      <c r="J9" s="91">
        <v>32.130000000000003</v>
      </c>
      <c r="K9" s="91">
        <v>27.52</v>
      </c>
      <c r="L9" s="91">
        <v>31.57</v>
      </c>
      <c r="M9" s="91">
        <v>26.21</v>
      </c>
    </row>
    <row r="10" spans="1:14" ht="13.25" x14ac:dyDescent="0.25">
      <c r="A10" s="88" t="s">
        <v>141</v>
      </c>
      <c r="B10" s="89" t="s">
        <v>142</v>
      </c>
      <c r="C10" s="90">
        <v>391.83</v>
      </c>
      <c r="D10" s="91">
        <v>451.15</v>
      </c>
      <c r="E10" s="91">
        <v>472.74</v>
      </c>
      <c r="F10" s="91">
        <v>495.72</v>
      </c>
      <c r="G10" s="91">
        <v>525.95000000000005</v>
      </c>
      <c r="H10" s="91">
        <v>533.87</v>
      </c>
      <c r="I10" s="91">
        <v>561.66999999999996</v>
      </c>
      <c r="J10" s="91">
        <v>570.79999999999995</v>
      </c>
      <c r="K10" s="91">
        <v>568.75</v>
      </c>
      <c r="L10" s="91">
        <v>594.02</v>
      </c>
      <c r="M10" s="91">
        <v>516.65</v>
      </c>
    </row>
    <row r="11" spans="1:14" x14ac:dyDescent="0.25">
      <c r="A11" s="88" t="s">
        <v>143</v>
      </c>
      <c r="B11" s="89" t="s">
        <v>144</v>
      </c>
      <c r="C11" s="90">
        <v>34.46</v>
      </c>
      <c r="D11" s="91">
        <v>37.64</v>
      </c>
      <c r="E11" s="91">
        <v>42.94</v>
      </c>
      <c r="F11" s="91">
        <v>44.78</v>
      </c>
      <c r="G11" s="91">
        <v>47.08</v>
      </c>
      <c r="H11" s="91">
        <v>47.77</v>
      </c>
      <c r="I11" s="91">
        <v>55.19</v>
      </c>
      <c r="J11" s="91">
        <v>60.22</v>
      </c>
      <c r="K11" s="91">
        <v>57.68</v>
      </c>
      <c r="L11" s="91">
        <v>56.12</v>
      </c>
      <c r="M11" s="91">
        <v>48.39</v>
      </c>
    </row>
    <row r="12" spans="1:14" x14ac:dyDescent="0.25">
      <c r="A12" s="88" t="s">
        <v>145</v>
      </c>
      <c r="B12" s="89" t="s">
        <v>146</v>
      </c>
      <c r="C12" s="90">
        <v>94.42</v>
      </c>
      <c r="D12" s="91">
        <v>110.29</v>
      </c>
      <c r="E12" s="91">
        <v>127.22</v>
      </c>
      <c r="F12" s="91">
        <v>144.6</v>
      </c>
      <c r="G12" s="91">
        <v>150.69999999999999</v>
      </c>
      <c r="H12" s="91">
        <v>162.41</v>
      </c>
      <c r="I12" s="91">
        <v>175.77</v>
      </c>
      <c r="J12" s="91">
        <v>187.15</v>
      </c>
      <c r="K12" s="91">
        <v>174.22</v>
      </c>
      <c r="L12" s="91">
        <v>167.75</v>
      </c>
      <c r="M12" s="91">
        <v>149.46</v>
      </c>
    </row>
    <row r="13" spans="1:14" x14ac:dyDescent="0.25">
      <c r="A13" s="88" t="s">
        <v>147</v>
      </c>
      <c r="B13" s="89" t="s">
        <v>148</v>
      </c>
      <c r="C13" s="90">
        <v>38.9</v>
      </c>
      <c r="D13" s="91">
        <v>46.91</v>
      </c>
      <c r="E13" s="91">
        <v>44.58</v>
      </c>
      <c r="F13" s="91">
        <v>56.33</v>
      </c>
      <c r="G13" s="91">
        <v>47.88</v>
      </c>
      <c r="H13" s="91">
        <v>52.22</v>
      </c>
      <c r="I13" s="91">
        <v>61.05</v>
      </c>
      <c r="J13" s="91">
        <v>62.69</v>
      </c>
      <c r="K13" s="91">
        <v>63.52</v>
      </c>
      <c r="L13" s="91">
        <v>63.94</v>
      </c>
      <c r="M13" s="91">
        <v>53.8</v>
      </c>
    </row>
    <row r="14" spans="1:14" ht="13.25" x14ac:dyDescent="0.25">
      <c r="A14" s="92" t="s">
        <v>149</v>
      </c>
      <c r="B14" s="93" t="s">
        <v>150</v>
      </c>
      <c r="C14" s="94">
        <v>581.17999999999995</v>
      </c>
      <c r="D14" s="95">
        <v>665.42</v>
      </c>
      <c r="E14" s="95">
        <v>712.79</v>
      </c>
      <c r="F14" s="95">
        <v>762.69</v>
      </c>
      <c r="G14" s="95">
        <v>795.37</v>
      </c>
      <c r="H14" s="95">
        <v>822.8</v>
      </c>
      <c r="I14" s="95">
        <v>886.68</v>
      </c>
      <c r="J14" s="95">
        <v>912.99</v>
      </c>
      <c r="K14" s="95">
        <v>891.7</v>
      </c>
      <c r="L14" s="95">
        <v>913.41</v>
      </c>
      <c r="M14" s="95">
        <v>794.51</v>
      </c>
      <c r="N14" s="178">
        <f>AVERAGE(C14:L14)</f>
        <v>794.50299999999993</v>
      </c>
    </row>
    <row r="15" spans="1:14" x14ac:dyDescent="0.25">
      <c r="A15" s="88" t="s">
        <v>151</v>
      </c>
      <c r="B15" s="89" t="s">
        <v>152</v>
      </c>
      <c r="C15" s="90">
        <v>169.36</v>
      </c>
      <c r="D15" s="91">
        <v>206.8</v>
      </c>
      <c r="E15" s="91">
        <v>227.43</v>
      </c>
      <c r="F15" s="91">
        <v>250.75</v>
      </c>
      <c r="G15" s="91">
        <v>289.63</v>
      </c>
      <c r="H15" s="91">
        <v>260.32</v>
      </c>
      <c r="I15" s="91">
        <v>308.06</v>
      </c>
      <c r="J15" s="91">
        <v>305.8</v>
      </c>
      <c r="K15" s="91">
        <v>321.99</v>
      </c>
      <c r="L15" s="91">
        <v>403.01</v>
      </c>
      <c r="M15" s="91">
        <v>274.31</v>
      </c>
    </row>
    <row r="16" spans="1:14" x14ac:dyDescent="0.25">
      <c r="A16" s="88" t="s">
        <v>153</v>
      </c>
      <c r="B16" s="89" t="s">
        <v>154</v>
      </c>
      <c r="C16" s="90">
        <v>49.47</v>
      </c>
      <c r="D16" s="91">
        <v>61.99</v>
      </c>
      <c r="E16" s="91">
        <v>88.1</v>
      </c>
      <c r="F16" s="91">
        <v>75.08</v>
      </c>
      <c r="G16" s="91">
        <v>83.36</v>
      </c>
      <c r="H16" s="91">
        <v>81.94</v>
      </c>
      <c r="I16" s="91">
        <v>79.12</v>
      </c>
      <c r="J16" s="91">
        <v>88.66</v>
      </c>
      <c r="K16" s="91">
        <v>89.3</v>
      </c>
      <c r="L16" s="91">
        <v>85.81</v>
      </c>
      <c r="M16" s="91">
        <v>78.290000000000006</v>
      </c>
    </row>
    <row r="17" spans="1:13" x14ac:dyDescent="0.25">
      <c r="A17" s="88" t="s">
        <v>155</v>
      </c>
      <c r="B17" s="89" t="s">
        <v>156</v>
      </c>
      <c r="C17" s="90">
        <v>59.29</v>
      </c>
      <c r="D17" s="91">
        <v>31.61</v>
      </c>
      <c r="E17" s="91">
        <v>51.8</v>
      </c>
      <c r="F17" s="91">
        <v>40.340000000000003</v>
      </c>
      <c r="G17" s="91">
        <v>46.76</v>
      </c>
      <c r="H17" s="91">
        <v>27.58</v>
      </c>
      <c r="I17" s="91">
        <v>41.81</v>
      </c>
      <c r="J17" s="91">
        <v>50.38</v>
      </c>
      <c r="K17" s="91">
        <v>56.92</v>
      </c>
      <c r="L17" s="91">
        <v>80.48</v>
      </c>
      <c r="M17" s="91">
        <v>48.69</v>
      </c>
    </row>
    <row r="18" spans="1:13" x14ac:dyDescent="0.25">
      <c r="A18" s="88" t="s">
        <v>157</v>
      </c>
      <c r="B18" s="89" t="s">
        <v>158</v>
      </c>
      <c r="C18" s="90">
        <v>106.05</v>
      </c>
      <c r="D18" s="91">
        <v>98.44</v>
      </c>
      <c r="E18" s="91">
        <v>130.53</v>
      </c>
      <c r="F18" s="91">
        <v>129.97</v>
      </c>
      <c r="G18" s="91">
        <v>136.58000000000001</v>
      </c>
      <c r="H18" s="91">
        <v>123.52</v>
      </c>
      <c r="I18" s="91">
        <v>155.75</v>
      </c>
      <c r="J18" s="91">
        <v>154.79</v>
      </c>
      <c r="K18" s="91">
        <v>147.37</v>
      </c>
      <c r="L18" s="91">
        <v>164.04</v>
      </c>
      <c r="M18" s="91">
        <v>134.69999999999999</v>
      </c>
    </row>
    <row r="19" spans="1:13" x14ac:dyDescent="0.25">
      <c r="A19" s="88" t="s">
        <v>159</v>
      </c>
      <c r="B19" s="89" t="s">
        <v>160</v>
      </c>
      <c r="C19" s="90">
        <v>229.07</v>
      </c>
      <c r="D19" s="91">
        <v>274.72000000000003</v>
      </c>
      <c r="E19" s="91">
        <v>318.27</v>
      </c>
      <c r="F19" s="91">
        <v>335.34</v>
      </c>
      <c r="G19" s="91">
        <v>369.99</v>
      </c>
      <c r="H19" s="91">
        <v>367.69</v>
      </c>
      <c r="I19" s="91">
        <v>402.62</v>
      </c>
      <c r="J19" s="91">
        <v>400.72</v>
      </c>
      <c r="K19" s="91">
        <v>429.93</v>
      </c>
      <c r="L19" s="91">
        <v>437.09</v>
      </c>
      <c r="M19" s="91">
        <v>356.54</v>
      </c>
    </row>
    <row r="20" spans="1:13" ht="20" x14ac:dyDescent="0.25">
      <c r="A20" s="88" t="s">
        <v>161</v>
      </c>
      <c r="B20" s="89" t="s">
        <v>162</v>
      </c>
      <c r="C20" s="90">
        <v>60.92</v>
      </c>
      <c r="D20" s="91">
        <v>79.03</v>
      </c>
      <c r="E20" s="91">
        <v>81.8</v>
      </c>
      <c r="F20" s="91">
        <v>94.73</v>
      </c>
      <c r="G20" s="91">
        <v>95.44</v>
      </c>
      <c r="H20" s="91">
        <v>105.25</v>
      </c>
      <c r="I20" s="91">
        <v>100.07</v>
      </c>
      <c r="J20" s="91">
        <v>119.6</v>
      </c>
      <c r="K20" s="91">
        <v>128.74</v>
      </c>
      <c r="L20" s="91">
        <v>139.41</v>
      </c>
      <c r="M20" s="91">
        <v>100.5</v>
      </c>
    </row>
    <row r="21" spans="1:13" ht="20" x14ac:dyDescent="0.25">
      <c r="A21" s="88" t="s">
        <v>163</v>
      </c>
      <c r="B21" s="89" t="s">
        <v>164</v>
      </c>
      <c r="C21" s="90">
        <v>13.3</v>
      </c>
      <c r="D21" s="91">
        <v>17.059999999999999</v>
      </c>
      <c r="E21" s="91">
        <v>27.89</v>
      </c>
      <c r="F21" s="91">
        <v>20.43</v>
      </c>
      <c r="G21" s="91">
        <v>17.829999999999998</v>
      </c>
      <c r="H21" s="91">
        <v>21.3</v>
      </c>
      <c r="I21" s="91">
        <v>19.899999999999999</v>
      </c>
      <c r="J21" s="91">
        <v>30.61</v>
      </c>
      <c r="K21" s="91">
        <v>23.74</v>
      </c>
      <c r="L21" s="91">
        <v>31.8</v>
      </c>
      <c r="M21" s="91">
        <v>22.39</v>
      </c>
    </row>
    <row r="22" spans="1:13" ht="13.25" x14ac:dyDescent="0.25">
      <c r="A22" s="92" t="s">
        <v>165</v>
      </c>
      <c r="B22" s="93" t="s">
        <v>166</v>
      </c>
      <c r="C22" s="94">
        <v>687.46</v>
      </c>
      <c r="D22" s="95">
        <v>769.65</v>
      </c>
      <c r="E22" s="95">
        <v>925.83</v>
      </c>
      <c r="F22" s="95">
        <v>946.63</v>
      </c>
      <c r="G22" s="95">
        <v>1039.5999999999999</v>
      </c>
      <c r="H22" s="95">
        <v>987.6</v>
      </c>
      <c r="I22" s="95">
        <v>1107.33</v>
      </c>
      <c r="J22" s="95">
        <v>1150.57</v>
      </c>
      <c r="K22" s="95">
        <v>1197.99</v>
      </c>
      <c r="L22" s="95">
        <v>1341.64</v>
      </c>
      <c r="M22" s="95">
        <v>1015.42</v>
      </c>
    </row>
    <row r="23" spans="1:13" ht="13.25" x14ac:dyDescent="0.25">
      <c r="A23" s="92" t="s">
        <v>167</v>
      </c>
      <c r="B23" s="93" t="s">
        <v>168</v>
      </c>
      <c r="C23" s="94">
        <v>132.31</v>
      </c>
      <c r="D23" s="95">
        <v>174.95</v>
      </c>
      <c r="E23" s="95">
        <v>190.22</v>
      </c>
      <c r="F23" s="95">
        <v>209.55</v>
      </c>
      <c r="G23" s="95">
        <v>222.56</v>
      </c>
      <c r="H23" s="95">
        <v>234.32</v>
      </c>
      <c r="I23" s="95">
        <v>265.49</v>
      </c>
      <c r="J23" s="95">
        <v>304.93</v>
      </c>
      <c r="K23" s="95">
        <v>339.28</v>
      </c>
      <c r="L23" s="95">
        <v>426.9</v>
      </c>
      <c r="M23" s="95">
        <v>250.04</v>
      </c>
    </row>
    <row r="24" spans="1:13" x14ac:dyDescent="0.25">
      <c r="A24" s="88" t="s">
        <v>169</v>
      </c>
      <c r="B24" s="89" t="s">
        <v>170</v>
      </c>
      <c r="C24" s="90">
        <v>76.13</v>
      </c>
      <c r="D24" s="91">
        <v>81.94</v>
      </c>
      <c r="E24" s="91">
        <v>86.27</v>
      </c>
      <c r="F24" s="91">
        <v>85.21</v>
      </c>
      <c r="G24" s="91">
        <v>78.5</v>
      </c>
      <c r="H24" s="91">
        <v>84.76</v>
      </c>
      <c r="I24" s="91">
        <v>93.21</v>
      </c>
      <c r="J24" s="91">
        <v>90.61</v>
      </c>
      <c r="K24" s="91">
        <v>81.95</v>
      </c>
      <c r="L24" s="91">
        <v>72.930000000000007</v>
      </c>
      <c r="M24" s="91">
        <v>83.15</v>
      </c>
    </row>
    <row r="25" spans="1:13" ht="13.25" x14ac:dyDescent="0.25">
      <c r="A25" s="88" t="s">
        <v>171</v>
      </c>
      <c r="B25" s="89" t="s">
        <v>172</v>
      </c>
      <c r="C25" s="90">
        <v>280.94</v>
      </c>
      <c r="D25" s="91">
        <v>357.2</v>
      </c>
      <c r="E25" s="91">
        <v>399.21</v>
      </c>
      <c r="F25" s="91">
        <v>422.93</v>
      </c>
      <c r="G25" s="91">
        <v>445.83</v>
      </c>
      <c r="H25" s="91">
        <v>473.69</v>
      </c>
      <c r="I25" s="91">
        <v>510.05</v>
      </c>
      <c r="J25" s="91">
        <v>535.9</v>
      </c>
      <c r="K25" s="91">
        <v>554.54</v>
      </c>
      <c r="L25" s="91">
        <v>594.49</v>
      </c>
      <c r="M25" s="91">
        <v>457.48</v>
      </c>
    </row>
    <row r="26" spans="1:13" x14ac:dyDescent="0.25">
      <c r="A26" s="88" t="s">
        <v>173</v>
      </c>
      <c r="B26" s="89" t="s">
        <v>174</v>
      </c>
      <c r="C26" s="90">
        <v>24.8</v>
      </c>
      <c r="D26" s="91">
        <v>26.97</v>
      </c>
      <c r="E26" s="91">
        <v>29.34</v>
      </c>
      <c r="F26" s="91">
        <v>31.59</v>
      </c>
      <c r="G26" s="91">
        <v>32.14</v>
      </c>
      <c r="H26" s="91">
        <v>32.25</v>
      </c>
      <c r="I26" s="91">
        <v>38.85</v>
      </c>
      <c r="J26" s="91">
        <v>36.89</v>
      </c>
      <c r="K26" s="91">
        <v>39.85</v>
      </c>
      <c r="L26" s="91">
        <v>45.5</v>
      </c>
      <c r="M26" s="91">
        <v>33.82</v>
      </c>
    </row>
    <row r="27" spans="1:13" x14ac:dyDescent="0.25">
      <c r="A27" s="92" t="s">
        <v>175</v>
      </c>
      <c r="B27" s="93" t="s">
        <v>176</v>
      </c>
      <c r="C27" s="94">
        <v>381.87</v>
      </c>
      <c r="D27" s="95">
        <v>466.11</v>
      </c>
      <c r="E27" s="95">
        <v>514.82000000000005</v>
      </c>
      <c r="F27" s="95">
        <v>539.74</v>
      </c>
      <c r="G27" s="95">
        <v>556.48</v>
      </c>
      <c r="H27" s="95">
        <v>590.70000000000005</v>
      </c>
      <c r="I27" s="95">
        <v>642.11</v>
      </c>
      <c r="J27" s="95">
        <v>663.4</v>
      </c>
      <c r="K27" s="95">
        <v>676.33</v>
      </c>
      <c r="L27" s="95">
        <v>712.91</v>
      </c>
      <c r="M27" s="95">
        <v>574.45000000000005</v>
      </c>
    </row>
    <row r="28" spans="1:13" ht="13.25" x14ac:dyDescent="0.25">
      <c r="A28" s="88" t="s">
        <v>177</v>
      </c>
      <c r="B28" s="89" t="s">
        <v>178</v>
      </c>
      <c r="C28" s="90">
        <v>28.34</v>
      </c>
      <c r="D28" s="91">
        <v>31.64</v>
      </c>
      <c r="E28" s="91">
        <v>39.03</v>
      </c>
      <c r="F28" s="91">
        <v>39.46</v>
      </c>
      <c r="G28" s="91">
        <v>41.04</v>
      </c>
      <c r="H28" s="91">
        <v>41.99</v>
      </c>
      <c r="I28" s="91">
        <v>43.72</v>
      </c>
      <c r="J28" s="91">
        <v>44.55</v>
      </c>
      <c r="K28" s="91">
        <v>41.48</v>
      </c>
      <c r="L28" s="91">
        <v>48.61</v>
      </c>
      <c r="M28" s="91">
        <v>39.99</v>
      </c>
    </row>
    <row r="29" spans="1:13" ht="13.25" x14ac:dyDescent="0.25">
      <c r="A29" s="88" t="s">
        <v>179</v>
      </c>
      <c r="B29" s="89" t="s">
        <v>180</v>
      </c>
      <c r="C29" s="90">
        <v>27.01</v>
      </c>
      <c r="D29" s="91">
        <v>27.58</v>
      </c>
      <c r="E29" s="91">
        <v>31.5</v>
      </c>
      <c r="F29" s="91">
        <v>27.04</v>
      </c>
      <c r="G29" s="91">
        <v>29.57</v>
      </c>
      <c r="H29" s="91">
        <v>26.38</v>
      </c>
      <c r="I29" s="91">
        <v>30.78</v>
      </c>
      <c r="J29" s="91">
        <v>33.299999999999997</v>
      </c>
      <c r="K29" s="91">
        <v>32.15</v>
      </c>
      <c r="L29" s="91">
        <v>35.85</v>
      </c>
      <c r="M29" s="91">
        <v>30.12</v>
      </c>
    </row>
    <row r="30" spans="1:13" ht="13.25" x14ac:dyDescent="0.25">
      <c r="A30" s="88" t="s">
        <v>181</v>
      </c>
      <c r="B30" s="89" t="s">
        <v>182</v>
      </c>
      <c r="C30" s="90">
        <v>11.91</v>
      </c>
      <c r="D30" s="91">
        <v>18.57</v>
      </c>
      <c r="E30" s="91">
        <v>18.97</v>
      </c>
      <c r="F30" s="91">
        <v>20.91</v>
      </c>
      <c r="G30" s="91">
        <v>18.41</v>
      </c>
      <c r="H30" s="91">
        <v>17.03</v>
      </c>
      <c r="I30" s="91">
        <v>20.81</v>
      </c>
      <c r="J30" s="91">
        <v>19.829999999999998</v>
      </c>
      <c r="K30" s="91">
        <v>20.14</v>
      </c>
      <c r="L30" s="91">
        <v>18.16</v>
      </c>
      <c r="M30" s="91">
        <v>18.47</v>
      </c>
    </row>
    <row r="31" spans="1:13" ht="13.25" x14ac:dyDescent="0.25">
      <c r="A31" s="92" t="s">
        <v>183</v>
      </c>
      <c r="B31" s="93" t="s">
        <v>184</v>
      </c>
      <c r="C31" s="94">
        <v>67.260000000000005</v>
      </c>
      <c r="D31" s="95">
        <v>77.790000000000006</v>
      </c>
      <c r="E31" s="95">
        <v>89.5</v>
      </c>
      <c r="F31" s="95">
        <v>87.41</v>
      </c>
      <c r="G31" s="95">
        <v>89.03</v>
      </c>
      <c r="H31" s="95">
        <v>85.4</v>
      </c>
      <c r="I31" s="95">
        <v>95.3</v>
      </c>
      <c r="J31" s="95">
        <v>97.67</v>
      </c>
      <c r="K31" s="95">
        <v>93.78</v>
      </c>
      <c r="L31" s="95">
        <v>102.62</v>
      </c>
      <c r="M31" s="95">
        <v>88.58</v>
      </c>
    </row>
    <row r="32" spans="1:13" ht="13.25" x14ac:dyDescent="0.25">
      <c r="A32" s="88" t="s">
        <v>185</v>
      </c>
      <c r="B32" s="89" t="s">
        <v>186</v>
      </c>
      <c r="C32" s="90">
        <v>27.31</v>
      </c>
      <c r="D32" s="91">
        <v>32.590000000000003</v>
      </c>
      <c r="E32" s="91">
        <v>33.450000000000003</v>
      </c>
      <c r="F32" s="91">
        <v>37.71</v>
      </c>
      <c r="G32" s="91">
        <v>39.14</v>
      </c>
      <c r="H32" s="91">
        <v>41.51</v>
      </c>
      <c r="I32" s="91">
        <v>47.03</v>
      </c>
      <c r="J32" s="91">
        <v>50.91</v>
      </c>
      <c r="K32" s="91">
        <v>63.1</v>
      </c>
      <c r="L32" s="91">
        <v>76.349999999999994</v>
      </c>
      <c r="M32" s="91">
        <v>44.91</v>
      </c>
    </row>
    <row r="33" spans="1:13" x14ac:dyDescent="0.25">
      <c r="A33" s="88" t="s">
        <v>187</v>
      </c>
      <c r="B33" s="89" t="s">
        <v>188</v>
      </c>
      <c r="C33" s="90">
        <v>20.14</v>
      </c>
      <c r="D33" s="91">
        <v>19.23</v>
      </c>
      <c r="E33" s="91">
        <v>20.85</v>
      </c>
      <c r="F33" s="91">
        <v>20.39</v>
      </c>
      <c r="G33" s="91">
        <v>19.96</v>
      </c>
      <c r="H33" s="91">
        <v>21.2</v>
      </c>
      <c r="I33" s="91">
        <v>21.52</v>
      </c>
      <c r="J33" s="91">
        <v>26.54</v>
      </c>
      <c r="K33" s="91">
        <v>24.41</v>
      </c>
      <c r="L33" s="91">
        <v>23.08</v>
      </c>
      <c r="M33" s="91">
        <v>21.73</v>
      </c>
    </row>
    <row r="34" spans="1:13" ht="13.25" x14ac:dyDescent="0.25">
      <c r="A34" s="88" t="s">
        <v>189</v>
      </c>
      <c r="B34" s="89" t="s">
        <v>190</v>
      </c>
      <c r="C34" s="90">
        <v>101.96</v>
      </c>
      <c r="D34" s="91">
        <v>118.15</v>
      </c>
      <c r="E34" s="91">
        <v>136.4</v>
      </c>
      <c r="F34" s="91">
        <v>135.4</v>
      </c>
      <c r="G34" s="91">
        <v>146.36000000000001</v>
      </c>
      <c r="H34" s="91">
        <v>142.91</v>
      </c>
      <c r="I34" s="91">
        <v>162.66</v>
      </c>
      <c r="J34" s="91">
        <v>172.21</v>
      </c>
      <c r="K34" s="91">
        <v>214.9</v>
      </c>
      <c r="L34" s="91">
        <v>242.85</v>
      </c>
      <c r="M34" s="91">
        <v>157.37</v>
      </c>
    </row>
    <row r="35" spans="1:13" x14ac:dyDescent="0.25">
      <c r="A35" s="88" t="s">
        <v>191</v>
      </c>
      <c r="B35" s="89" t="s">
        <v>192</v>
      </c>
      <c r="C35" s="90">
        <v>15.67</v>
      </c>
      <c r="D35" s="91">
        <v>16.79</v>
      </c>
      <c r="E35" s="91">
        <v>17.579999999999998</v>
      </c>
      <c r="F35" s="91">
        <v>19.489999999999998</v>
      </c>
      <c r="G35" s="91">
        <v>23.07</v>
      </c>
      <c r="H35" s="91">
        <v>24.85</v>
      </c>
      <c r="I35" s="91">
        <v>23.68</v>
      </c>
      <c r="J35" s="91">
        <v>26.92</v>
      </c>
      <c r="K35" s="91">
        <v>30.32</v>
      </c>
      <c r="L35" s="91">
        <v>36.57</v>
      </c>
      <c r="M35" s="91">
        <v>23.49</v>
      </c>
    </row>
    <row r="36" spans="1:13" x14ac:dyDescent="0.25">
      <c r="A36" s="88" t="s">
        <v>193</v>
      </c>
      <c r="B36" s="89" t="s">
        <v>194</v>
      </c>
      <c r="C36" s="90">
        <v>4.22</v>
      </c>
      <c r="D36" s="91">
        <v>5.49</v>
      </c>
      <c r="E36" s="91">
        <v>4.76</v>
      </c>
      <c r="F36" s="91">
        <v>5.96</v>
      </c>
      <c r="G36" s="91">
        <v>8.24</v>
      </c>
      <c r="H36" s="91">
        <v>6.06</v>
      </c>
      <c r="I36" s="91">
        <v>7.74</v>
      </c>
      <c r="J36" s="91">
        <v>6.58</v>
      </c>
      <c r="K36" s="91">
        <v>7.23</v>
      </c>
      <c r="L36" s="91">
        <v>7.42</v>
      </c>
      <c r="M36" s="91">
        <v>6.37</v>
      </c>
    </row>
    <row r="37" spans="1:13" ht="13.25" x14ac:dyDescent="0.25">
      <c r="A37" s="92" t="s">
        <v>195</v>
      </c>
      <c r="B37" s="93" t="s">
        <v>196</v>
      </c>
      <c r="C37" s="94">
        <v>169.32</v>
      </c>
      <c r="D37" s="95">
        <v>192.25</v>
      </c>
      <c r="E37" s="95">
        <v>213.05</v>
      </c>
      <c r="F37" s="95">
        <v>218.96</v>
      </c>
      <c r="G37" s="95">
        <v>236.77</v>
      </c>
      <c r="H37" s="95">
        <v>236.53</v>
      </c>
      <c r="I37" s="95">
        <v>262.63</v>
      </c>
      <c r="J37" s="95">
        <v>283.17</v>
      </c>
      <c r="K37" s="95">
        <v>339.97</v>
      </c>
      <c r="L37" s="95">
        <v>386.26</v>
      </c>
      <c r="M37" s="95">
        <v>253.88</v>
      </c>
    </row>
    <row r="38" spans="1:13" x14ac:dyDescent="0.25">
      <c r="A38" s="88" t="s">
        <v>197</v>
      </c>
      <c r="B38" s="89" t="s">
        <v>198</v>
      </c>
      <c r="C38" s="90">
        <v>157.76</v>
      </c>
      <c r="D38" s="91">
        <v>161.99</v>
      </c>
      <c r="E38" s="91">
        <v>181.14</v>
      </c>
      <c r="F38" s="91">
        <v>184.79</v>
      </c>
      <c r="G38" s="91">
        <v>193.56</v>
      </c>
      <c r="H38" s="91">
        <v>192.31</v>
      </c>
      <c r="I38" s="91">
        <v>222.98</v>
      </c>
      <c r="J38" s="91">
        <v>238.02</v>
      </c>
      <c r="K38" s="91">
        <v>286.58</v>
      </c>
      <c r="L38" s="91">
        <v>341.27</v>
      </c>
      <c r="M38" s="91">
        <v>216.03</v>
      </c>
    </row>
    <row r="39" spans="1:13" x14ac:dyDescent="0.25">
      <c r="A39" s="88" t="s">
        <v>199</v>
      </c>
      <c r="B39" s="89" t="s">
        <v>200</v>
      </c>
      <c r="C39" s="90">
        <v>2.9</v>
      </c>
      <c r="D39" s="91">
        <v>4.3899999999999997</v>
      </c>
      <c r="E39" s="91">
        <v>3.5</v>
      </c>
      <c r="F39" s="91">
        <v>2.5499999999999998</v>
      </c>
      <c r="G39" s="91">
        <v>3.7</v>
      </c>
      <c r="H39" s="91">
        <v>3.93</v>
      </c>
      <c r="I39" s="91">
        <v>4.6399999999999997</v>
      </c>
      <c r="J39" s="91">
        <v>3.94</v>
      </c>
      <c r="K39" s="91">
        <v>3.88</v>
      </c>
      <c r="L39" s="91">
        <v>4.47</v>
      </c>
      <c r="M39" s="91">
        <v>3.79</v>
      </c>
    </row>
    <row r="40" spans="1:13" x14ac:dyDescent="0.25">
      <c r="A40" s="88" t="s">
        <v>201</v>
      </c>
      <c r="B40" s="89" t="s">
        <v>202</v>
      </c>
      <c r="C40" s="90">
        <v>6.27</v>
      </c>
      <c r="D40" s="91">
        <v>7.29</v>
      </c>
      <c r="E40" s="91">
        <v>10.119999999999999</v>
      </c>
      <c r="F40" s="91">
        <v>13</v>
      </c>
      <c r="G40" s="91">
        <v>12.64</v>
      </c>
      <c r="H40" s="91">
        <v>13.56</v>
      </c>
      <c r="I40" s="91">
        <v>12.73</v>
      </c>
      <c r="J40" s="91">
        <v>20.38</v>
      </c>
      <c r="K40" s="91">
        <v>16.3</v>
      </c>
      <c r="L40" s="91">
        <v>18.77</v>
      </c>
      <c r="M40" s="91">
        <v>13.11</v>
      </c>
    </row>
    <row r="41" spans="1:13" ht="20" x14ac:dyDescent="0.25">
      <c r="A41" s="88" t="s">
        <v>203</v>
      </c>
      <c r="B41" s="89" t="s">
        <v>204</v>
      </c>
      <c r="C41" s="90">
        <v>34.33</v>
      </c>
      <c r="D41" s="91">
        <v>40.32</v>
      </c>
      <c r="E41" s="91">
        <v>47.65</v>
      </c>
      <c r="F41" s="91">
        <v>48.97</v>
      </c>
      <c r="G41" s="91">
        <v>56.56</v>
      </c>
      <c r="H41" s="91">
        <v>53.07</v>
      </c>
      <c r="I41" s="91">
        <v>59.64</v>
      </c>
      <c r="J41" s="91">
        <v>68.06</v>
      </c>
      <c r="K41" s="91">
        <v>62.1</v>
      </c>
      <c r="L41" s="91">
        <v>59.05</v>
      </c>
      <c r="M41" s="91">
        <v>52.98</v>
      </c>
    </row>
    <row r="42" spans="1:13" x14ac:dyDescent="0.25">
      <c r="A42" s="88" t="s">
        <v>205</v>
      </c>
      <c r="B42" s="89" t="s">
        <v>206</v>
      </c>
      <c r="C42" s="90">
        <v>20.77</v>
      </c>
      <c r="D42" s="91">
        <v>21.23</v>
      </c>
      <c r="E42" s="91">
        <v>24.96</v>
      </c>
      <c r="F42" s="91">
        <v>26.23</v>
      </c>
      <c r="G42" s="91">
        <v>32.01</v>
      </c>
      <c r="H42" s="91">
        <v>33.51</v>
      </c>
      <c r="I42" s="91">
        <v>41.13</v>
      </c>
      <c r="J42" s="91">
        <v>44.59</v>
      </c>
      <c r="K42" s="91">
        <v>41.35</v>
      </c>
      <c r="L42" s="91">
        <v>59</v>
      </c>
      <c r="M42" s="91">
        <v>34.479999999999997</v>
      </c>
    </row>
    <row r="43" spans="1:13" ht="20" x14ac:dyDescent="0.25">
      <c r="A43" s="88" t="s">
        <v>207</v>
      </c>
      <c r="B43" s="89" t="s">
        <v>208</v>
      </c>
      <c r="C43" s="90">
        <v>49.85</v>
      </c>
      <c r="D43" s="91">
        <v>55.8</v>
      </c>
      <c r="E43" s="91">
        <v>69.16</v>
      </c>
      <c r="F43" s="91">
        <v>62.18</v>
      </c>
      <c r="G43" s="91">
        <v>68.78</v>
      </c>
      <c r="H43" s="91">
        <v>62</v>
      </c>
      <c r="I43" s="91">
        <v>66.12</v>
      </c>
      <c r="J43" s="91">
        <v>68.39</v>
      </c>
      <c r="K43" s="91">
        <v>63.66</v>
      </c>
      <c r="L43" s="91">
        <v>66.69</v>
      </c>
      <c r="M43" s="91">
        <v>63.26</v>
      </c>
    </row>
    <row r="44" spans="1:13" ht="13.25" x14ac:dyDescent="0.25">
      <c r="A44" s="92" t="s">
        <v>209</v>
      </c>
      <c r="B44" s="93" t="s">
        <v>210</v>
      </c>
      <c r="C44" s="94">
        <v>271.88</v>
      </c>
      <c r="D44" s="95">
        <v>291.02</v>
      </c>
      <c r="E44" s="95">
        <v>336.53</v>
      </c>
      <c r="F44" s="95">
        <v>337.73</v>
      </c>
      <c r="G44" s="95">
        <v>367.25</v>
      </c>
      <c r="H44" s="95">
        <v>358.39</v>
      </c>
      <c r="I44" s="95">
        <v>407.23</v>
      </c>
      <c r="J44" s="95">
        <v>443.38</v>
      </c>
      <c r="K44" s="95">
        <v>473.87</v>
      </c>
      <c r="L44" s="95">
        <v>549.25</v>
      </c>
      <c r="M44" s="95">
        <v>383.64</v>
      </c>
    </row>
    <row r="45" spans="1:13" ht="13.25" x14ac:dyDescent="0.25">
      <c r="A45" s="88" t="s">
        <v>211</v>
      </c>
      <c r="B45" s="89" t="s">
        <v>212</v>
      </c>
      <c r="C45" s="90">
        <v>25.77</v>
      </c>
      <c r="D45" s="91">
        <v>24.59</v>
      </c>
      <c r="E45" s="91">
        <v>21.22</v>
      </c>
      <c r="F45" s="91">
        <v>22.49</v>
      </c>
      <c r="G45" s="91">
        <v>23.12</v>
      </c>
      <c r="H45" s="91">
        <v>22.26</v>
      </c>
      <c r="I45" s="91">
        <v>21.11</v>
      </c>
      <c r="J45" s="91">
        <v>20.350000000000001</v>
      </c>
      <c r="K45" s="91">
        <v>19.13</v>
      </c>
      <c r="L45" s="91">
        <v>19.62</v>
      </c>
      <c r="M45" s="91">
        <v>21.96</v>
      </c>
    </row>
    <row r="46" spans="1:13" ht="13.25" x14ac:dyDescent="0.25">
      <c r="A46" s="88" t="s">
        <v>213</v>
      </c>
      <c r="B46" s="89" t="s">
        <v>214</v>
      </c>
      <c r="C46" s="90">
        <v>144.76</v>
      </c>
      <c r="D46" s="91">
        <v>177.31</v>
      </c>
      <c r="E46" s="91">
        <v>188.3</v>
      </c>
      <c r="F46" s="91">
        <v>218.82</v>
      </c>
      <c r="G46" s="91">
        <v>220.2</v>
      </c>
      <c r="H46" s="91">
        <v>224.52</v>
      </c>
      <c r="I46" s="91">
        <v>264.74</v>
      </c>
      <c r="J46" s="91">
        <v>261.37</v>
      </c>
      <c r="K46" s="91">
        <v>283.66000000000003</v>
      </c>
      <c r="L46" s="91">
        <v>309.61</v>
      </c>
      <c r="M46" s="91">
        <v>229.32</v>
      </c>
    </row>
    <row r="47" spans="1:13" ht="20" customHeight="1" x14ac:dyDescent="0.25">
      <c r="A47" s="92" t="s">
        <v>215</v>
      </c>
      <c r="B47" s="93" t="s">
        <v>216</v>
      </c>
      <c r="C47" s="94">
        <v>170.52</v>
      </c>
      <c r="D47" s="95">
        <v>201.9</v>
      </c>
      <c r="E47" s="95">
        <v>209.52</v>
      </c>
      <c r="F47" s="95">
        <v>241.31</v>
      </c>
      <c r="G47" s="95">
        <v>243.32</v>
      </c>
      <c r="H47" s="95">
        <v>246.78</v>
      </c>
      <c r="I47" s="95">
        <v>285.85000000000002</v>
      </c>
      <c r="J47" s="95">
        <v>281.72000000000003</v>
      </c>
      <c r="K47" s="95">
        <v>302.79000000000002</v>
      </c>
      <c r="L47" s="95">
        <v>329.23</v>
      </c>
      <c r="M47" s="95">
        <v>251.29</v>
      </c>
    </row>
    <row r="48" spans="1:13" ht="13.25" x14ac:dyDescent="0.25">
      <c r="A48" s="92" t="s">
        <v>217</v>
      </c>
      <c r="B48" s="93" t="s">
        <v>218</v>
      </c>
      <c r="C48" s="94">
        <v>90.79</v>
      </c>
      <c r="D48" s="95">
        <v>100.07</v>
      </c>
      <c r="E48" s="95">
        <v>112.51</v>
      </c>
      <c r="F48" s="95">
        <v>125.94</v>
      </c>
      <c r="G48" s="95">
        <v>135.58000000000001</v>
      </c>
      <c r="H48" s="95">
        <v>143.71</v>
      </c>
      <c r="I48" s="95">
        <v>143.05000000000001</v>
      </c>
      <c r="J48" s="95">
        <v>153</v>
      </c>
      <c r="K48" s="95">
        <v>151.84</v>
      </c>
      <c r="L48" s="95">
        <v>159.29</v>
      </c>
      <c r="M48" s="95">
        <v>131.58000000000001</v>
      </c>
    </row>
    <row r="49" spans="1:13" x14ac:dyDescent="0.25">
      <c r="A49" s="88" t="s">
        <v>219</v>
      </c>
      <c r="B49" s="89" t="s">
        <v>220</v>
      </c>
      <c r="C49" s="90">
        <v>57.51</v>
      </c>
      <c r="D49" s="91">
        <v>60.8</v>
      </c>
      <c r="E49" s="91">
        <v>72.31</v>
      </c>
      <c r="F49" s="91">
        <v>82.15</v>
      </c>
      <c r="G49" s="91">
        <v>83.37</v>
      </c>
      <c r="H49" s="91">
        <v>88.91</v>
      </c>
      <c r="I49" s="91">
        <v>106.85</v>
      </c>
      <c r="J49" s="91">
        <v>109.3</v>
      </c>
      <c r="K49" s="91">
        <v>109.86</v>
      </c>
      <c r="L49" s="91">
        <v>134.41999999999999</v>
      </c>
      <c r="M49" s="91">
        <v>90.54</v>
      </c>
    </row>
    <row r="50" spans="1:13" ht="13.25" x14ac:dyDescent="0.25">
      <c r="A50" s="88" t="s">
        <v>221</v>
      </c>
      <c r="B50" s="89" t="s">
        <v>222</v>
      </c>
      <c r="C50" s="90">
        <v>4.57</v>
      </c>
      <c r="D50" s="91">
        <v>7.36</v>
      </c>
      <c r="E50" s="91">
        <v>8.3000000000000007</v>
      </c>
      <c r="F50" s="91">
        <v>8.17</v>
      </c>
      <c r="G50" s="91">
        <v>8.11</v>
      </c>
      <c r="H50" s="91">
        <v>8.57</v>
      </c>
      <c r="I50" s="91">
        <v>8.61</v>
      </c>
      <c r="J50" s="91">
        <v>9.51</v>
      </c>
      <c r="K50" s="91">
        <v>7.06</v>
      </c>
      <c r="L50" s="91">
        <v>7.15</v>
      </c>
      <c r="M50" s="91">
        <v>7.74</v>
      </c>
    </row>
    <row r="51" spans="1:13" ht="13.25" x14ac:dyDescent="0.25">
      <c r="A51" s="92" t="s">
        <v>223</v>
      </c>
      <c r="B51" s="93" t="s">
        <v>224</v>
      </c>
      <c r="C51" s="94">
        <v>62.08</v>
      </c>
      <c r="D51" s="95">
        <v>68.16</v>
      </c>
      <c r="E51" s="95">
        <v>80.61</v>
      </c>
      <c r="F51" s="95">
        <v>90.32</v>
      </c>
      <c r="G51" s="95">
        <v>91.48</v>
      </c>
      <c r="H51" s="95">
        <v>97.48</v>
      </c>
      <c r="I51" s="95">
        <v>115.45</v>
      </c>
      <c r="J51" s="95">
        <v>118.81</v>
      </c>
      <c r="K51" s="95">
        <v>116.92</v>
      </c>
      <c r="L51" s="95">
        <v>141.57</v>
      </c>
      <c r="M51" s="95">
        <v>98.29</v>
      </c>
    </row>
    <row r="52" spans="1:13" x14ac:dyDescent="0.25">
      <c r="A52" s="88" t="s">
        <v>225</v>
      </c>
      <c r="B52" s="89" t="s">
        <v>226</v>
      </c>
      <c r="C52" s="90">
        <v>48.91</v>
      </c>
      <c r="D52" s="91">
        <v>56.56</v>
      </c>
      <c r="E52" s="91">
        <v>61.65</v>
      </c>
      <c r="F52" s="91">
        <v>65.459999999999994</v>
      </c>
      <c r="G52" s="91">
        <v>71.959999999999994</v>
      </c>
      <c r="H52" s="91">
        <v>81.08</v>
      </c>
      <c r="I52" s="91">
        <v>90.34</v>
      </c>
      <c r="J52" s="91">
        <v>95.95</v>
      </c>
      <c r="K52" s="91">
        <v>96.78</v>
      </c>
      <c r="L52" s="91">
        <v>112.11</v>
      </c>
      <c r="M52" s="91">
        <v>78.08</v>
      </c>
    </row>
    <row r="53" spans="1:13" ht="13.25" x14ac:dyDescent="0.25">
      <c r="A53" s="88" t="s">
        <v>227</v>
      </c>
      <c r="B53" s="89" t="s">
        <v>228</v>
      </c>
      <c r="C53" s="90">
        <v>40.03</v>
      </c>
      <c r="D53" s="91">
        <v>45</v>
      </c>
      <c r="E53" s="91">
        <v>40.19</v>
      </c>
      <c r="F53" s="91">
        <v>43.97</v>
      </c>
      <c r="G53" s="91">
        <v>46.29</v>
      </c>
      <c r="H53" s="91">
        <v>48.73</v>
      </c>
      <c r="I53" s="91">
        <v>49.13</v>
      </c>
      <c r="J53" s="91">
        <v>44.71</v>
      </c>
      <c r="K53" s="91">
        <v>41.97</v>
      </c>
      <c r="L53" s="91">
        <v>37.909999999999997</v>
      </c>
      <c r="M53" s="91">
        <v>43.79</v>
      </c>
    </row>
    <row r="54" spans="1:13" x14ac:dyDescent="0.25">
      <c r="A54" s="88" t="s">
        <v>229</v>
      </c>
      <c r="B54" s="89" t="s">
        <v>230</v>
      </c>
      <c r="C54" s="90">
        <v>59.02</v>
      </c>
      <c r="D54" s="91">
        <v>60.48</v>
      </c>
      <c r="E54" s="91">
        <v>71.72</v>
      </c>
      <c r="F54" s="91">
        <v>75.319999999999993</v>
      </c>
      <c r="G54" s="91">
        <v>78.459999999999994</v>
      </c>
      <c r="H54" s="91">
        <v>78.61</v>
      </c>
      <c r="I54" s="91">
        <v>89.09</v>
      </c>
      <c r="J54" s="91">
        <v>93.24</v>
      </c>
      <c r="K54" s="91">
        <v>92.74</v>
      </c>
      <c r="L54" s="91">
        <v>85.51</v>
      </c>
      <c r="M54" s="91">
        <v>78.42</v>
      </c>
    </row>
    <row r="55" spans="1:13" ht="13.25" x14ac:dyDescent="0.25">
      <c r="A55" s="92" t="s">
        <v>231</v>
      </c>
      <c r="B55" s="93" t="s">
        <v>232</v>
      </c>
      <c r="C55" s="94">
        <v>147.96</v>
      </c>
      <c r="D55" s="95">
        <v>162.05000000000001</v>
      </c>
      <c r="E55" s="95">
        <v>173.56</v>
      </c>
      <c r="F55" s="95">
        <v>184.75</v>
      </c>
      <c r="G55" s="95">
        <v>196.7</v>
      </c>
      <c r="H55" s="95">
        <v>208.42</v>
      </c>
      <c r="I55" s="95">
        <v>228.55</v>
      </c>
      <c r="J55" s="95">
        <v>233.9</v>
      </c>
      <c r="K55" s="95">
        <v>231.49</v>
      </c>
      <c r="L55" s="95">
        <v>235.53</v>
      </c>
      <c r="M55" s="95">
        <v>200.29</v>
      </c>
    </row>
    <row r="56" spans="1:13" ht="13.25" x14ac:dyDescent="0.25">
      <c r="A56" s="92" t="s">
        <v>233</v>
      </c>
      <c r="B56" s="93" t="s">
        <v>234</v>
      </c>
      <c r="C56" s="94">
        <v>73.31</v>
      </c>
      <c r="D56" s="95">
        <v>75.180000000000007</v>
      </c>
      <c r="E56" s="95">
        <v>95.43</v>
      </c>
      <c r="F56" s="95">
        <v>107.67</v>
      </c>
      <c r="G56" s="95">
        <v>142.71</v>
      </c>
      <c r="H56" s="95">
        <v>163.83000000000001</v>
      </c>
      <c r="I56" s="95">
        <v>177.32</v>
      </c>
      <c r="J56" s="95">
        <v>233.99</v>
      </c>
      <c r="K56" s="95">
        <v>264.76</v>
      </c>
      <c r="L56" s="95">
        <v>390.16</v>
      </c>
      <c r="M56" s="95">
        <v>172.43</v>
      </c>
    </row>
    <row r="57" spans="1:13" ht="13.25" x14ac:dyDescent="0.25">
      <c r="A57" s="88" t="s">
        <v>235</v>
      </c>
      <c r="B57" s="89" t="s">
        <v>236</v>
      </c>
      <c r="C57" s="90">
        <v>49.22</v>
      </c>
      <c r="D57" s="91">
        <v>59.27</v>
      </c>
      <c r="E57" s="91">
        <v>96.62</v>
      </c>
      <c r="F57" s="91">
        <v>84.5</v>
      </c>
      <c r="G57" s="91">
        <v>89.8</v>
      </c>
      <c r="H57" s="91">
        <v>102.17</v>
      </c>
      <c r="I57" s="91">
        <v>108.67</v>
      </c>
      <c r="J57" s="91">
        <v>102.37</v>
      </c>
      <c r="K57" s="91">
        <v>98.36</v>
      </c>
      <c r="L57" s="91">
        <v>112.27</v>
      </c>
      <c r="M57" s="91">
        <v>90.33</v>
      </c>
    </row>
    <row r="58" spans="1:13" x14ac:dyDescent="0.25">
      <c r="A58" s="88" t="s">
        <v>237</v>
      </c>
      <c r="B58" s="89" t="s">
        <v>238</v>
      </c>
      <c r="C58" s="90">
        <v>145.21</v>
      </c>
      <c r="D58" s="91">
        <v>106.48</v>
      </c>
      <c r="E58" s="91">
        <v>152.41999999999999</v>
      </c>
      <c r="F58" s="91">
        <v>151.69999999999999</v>
      </c>
      <c r="G58" s="91">
        <v>231.3</v>
      </c>
      <c r="H58" s="91">
        <v>213.11</v>
      </c>
      <c r="I58" s="91">
        <v>243.97</v>
      </c>
      <c r="J58" s="91">
        <v>274.43</v>
      </c>
      <c r="K58" s="91">
        <v>357.86</v>
      </c>
      <c r="L58" s="91">
        <v>567</v>
      </c>
      <c r="M58" s="91">
        <v>244.32</v>
      </c>
    </row>
    <row r="59" spans="1:13" x14ac:dyDescent="0.25">
      <c r="A59" s="88" t="s">
        <v>239</v>
      </c>
      <c r="B59" s="89" t="s">
        <v>240</v>
      </c>
      <c r="C59" s="90">
        <v>31.06</v>
      </c>
      <c r="D59" s="91">
        <v>32.880000000000003</v>
      </c>
      <c r="E59" s="91">
        <v>41.85</v>
      </c>
      <c r="F59" s="91">
        <v>40.72</v>
      </c>
      <c r="G59" s="91">
        <v>45</v>
      </c>
      <c r="H59" s="91">
        <v>51.31</v>
      </c>
      <c r="I59" s="91">
        <v>44.82</v>
      </c>
      <c r="J59" s="91">
        <v>41.56</v>
      </c>
      <c r="K59" s="91">
        <v>41.74</v>
      </c>
      <c r="L59" s="91">
        <v>41.07</v>
      </c>
      <c r="M59" s="91">
        <v>41.2</v>
      </c>
    </row>
    <row r="60" spans="1:13" ht="13.25" x14ac:dyDescent="0.25">
      <c r="A60" s="92" t="s">
        <v>241</v>
      </c>
      <c r="B60" s="93" t="s">
        <v>242</v>
      </c>
      <c r="C60" s="94">
        <v>225.49</v>
      </c>
      <c r="D60" s="95">
        <v>198.63</v>
      </c>
      <c r="E60" s="95">
        <v>290.89</v>
      </c>
      <c r="F60" s="95">
        <v>276.92</v>
      </c>
      <c r="G60" s="95">
        <v>366.1</v>
      </c>
      <c r="H60" s="95">
        <v>366.59</v>
      </c>
      <c r="I60" s="95">
        <v>397.46</v>
      </c>
      <c r="J60" s="95">
        <v>418.36</v>
      </c>
      <c r="K60" s="95">
        <v>497.96</v>
      </c>
      <c r="L60" s="95">
        <v>720.33</v>
      </c>
      <c r="M60" s="95">
        <v>375.85</v>
      </c>
    </row>
    <row r="61" spans="1:13" ht="13.25" x14ac:dyDescent="0.25">
      <c r="A61" s="96"/>
      <c r="B61" s="85" t="s">
        <v>243</v>
      </c>
      <c r="C61" s="86">
        <v>3061.44</v>
      </c>
      <c r="D61" s="87">
        <v>3443.18</v>
      </c>
      <c r="E61" s="87">
        <v>3945.26</v>
      </c>
      <c r="F61" s="87">
        <v>4129.6000000000004</v>
      </c>
      <c r="G61" s="87">
        <v>4482.9399999999996</v>
      </c>
      <c r="H61" s="87">
        <v>4542.54</v>
      </c>
      <c r="I61" s="87">
        <v>5014.47</v>
      </c>
      <c r="J61" s="87">
        <v>5295.87</v>
      </c>
      <c r="K61" s="87">
        <v>5578.68</v>
      </c>
      <c r="L61" s="87">
        <v>6409.12</v>
      </c>
      <c r="M61" s="87">
        <v>4590.24</v>
      </c>
    </row>
    <row r="62" spans="1:13" ht="13.25" x14ac:dyDescent="0.25">
      <c r="A62" s="88" t="s">
        <v>244</v>
      </c>
      <c r="B62" s="89" t="s">
        <v>245</v>
      </c>
      <c r="C62" s="90">
        <v>77.72</v>
      </c>
      <c r="D62" s="91">
        <v>107.38</v>
      </c>
      <c r="E62" s="91">
        <v>165.6</v>
      </c>
      <c r="F62" s="91">
        <v>206.06</v>
      </c>
      <c r="G62" s="91">
        <v>252.14</v>
      </c>
      <c r="H62" s="91">
        <v>303.5</v>
      </c>
      <c r="I62" s="91">
        <v>459.1</v>
      </c>
      <c r="J62" s="91">
        <v>568.41999999999996</v>
      </c>
      <c r="K62" s="91">
        <v>741.9</v>
      </c>
      <c r="L62" s="91">
        <v>1089.95</v>
      </c>
      <c r="M62" s="91">
        <v>397.11</v>
      </c>
    </row>
    <row r="63" spans="1:13" ht="20" x14ac:dyDescent="0.25">
      <c r="A63" s="88" t="s">
        <v>246</v>
      </c>
      <c r="B63" s="89" t="s">
        <v>247</v>
      </c>
      <c r="C63" s="90">
        <v>157.05000000000001</v>
      </c>
      <c r="D63" s="91">
        <v>178.77</v>
      </c>
      <c r="E63" s="91">
        <v>303.5</v>
      </c>
      <c r="F63" s="91">
        <v>232.97</v>
      </c>
      <c r="G63" s="91">
        <v>288.29000000000002</v>
      </c>
      <c r="H63" s="91">
        <v>325.26</v>
      </c>
      <c r="I63" s="91">
        <v>314.76</v>
      </c>
      <c r="J63" s="91">
        <v>366.6</v>
      </c>
      <c r="K63" s="91">
        <v>429.7</v>
      </c>
      <c r="L63" s="91">
        <v>505.44</v>
      </c>
      <c r="M63" s="91">
        <v>310.24</v>
      </c>
    </row>
    <row r="64" spans="1:13" ht="13.25" x14ac:dyDescent="0.25">
      <c r="A64" s="88" t="s">
        <v>248</v>
      </c>
      <c r="B64" s="89" t="s">
        <v>249</v>
      </c>
      <c r="C64" s="90">
        <v>256.42</v>
      </c>
      <c r="D64" s="91">
        <v>247.07</v>
      </c>
      <c r="E64" s="91">
        <v>348</v>
      </c>
      <c r="F64" s="91">
        <v>382.91</v>
      </c>
      <c r="G64" s="91">
        <v>410.59</v>
      </c>
      <c r="H64" s="91">
        <v>479.74</v>
      </c>
      <c r="I64" s="91">
        <v>542.97</v>
      </c>
      <c r="J64" s="91">
        <v>620.44000000000005</v>
      </c>
      <c r="K64" s="91">
        <v>733.97</v>
      </c>
      <c r="L64" s="91">
        <v>827.33</v>
      </c>
      <c r="M64" s="91">
        <v>484.92</v>
      </c>
    </row>
    <row r="65" spans="1:13" x14ac:dyDescent="0.25">
      <c r="A65" s="88" t="s">
        <v>250</v>
      </c>
      <c r="B65" s="89" t="s">
        <v>251</v>
      </c>
      <c r="C65" s="90">
        <v>40.82</v>
      </c>
      <c r="D65" s="91">
        <v>46.15</v>
      </c>
      <c r="E65" s="91">
        <v>50.72</v>
      </c>
      <c r="F65" s="91">
        <v>56.85</v>
      </c>
      <c r="G65" s="91">
        <v>85.69</v>
      </c>
      <c r="H65" s="91">
        <v>92.63</v>
      </c>
      <c r="I65" s="91">
        <v>127.14</v>
      </c>
      <c r="J65" s="91">
        <v>180.42</v>
      </c>
      <c r="K65" s="91">
        <v>249.79</v>
      </c>
      <c r="L65" s="91">
        <v>345.56</v>
      </c>
      <c r="M65" s="91">
        <v>127.56</v>
      </c>
    </row>
    <row r="66" spans="1:13" ht="13.25" x14ac:dyDescent="0.25">
      <c r="A66" s="92" t="s">
        <v>252</v>
      </c>
      <c r="B66" s="93" t="s">
        <v>253</v>
      </c>
      <c r="C66" s="94">
        <v>532</v>
      </c>
      <c r="D66" s="95">
        <v>579.36</v>
      </c>
      <c r="E66" s="95">
        <v>867.82</v>
      </c>
      <c r="F66" s="95">
        <v>878.79</v>
      </c>
      <c r="G66" s="95">
        <v>1036.71</v>
      </c>
      <c r="H66" s="95">
        <v>1201.1300000000001</v>
      </c>
      <c r="I66" s="95">
        <v>1443.96</v>
      </c>
      <c r="J66" s="95">
        <v>1735.88</v>
      </c>
      <c r="K66" s="95">
        <v>2155.36</v>
      </c>
      <c r="L66" s="95">
        <v>2768.27</v>
      </c>
      <c r="M66" s="95">
        <v>1319.83</v>
      </c>
    </row>
    <row r="67" spans="1:13" ht="13.25" x14ac:dyDescent="0.25">
      <c r="A67" s="96"/>
      <c r="B67" s="85" t="s">
        <v>254</v>
      </c>
      <c r="C67" s="86">
        <v>3593.44</v>
      </c>
      <c r="D67" s="87">
        <v>4022.55</v>
      </c>
      <c r="E67" s="87">
        <v>4813.09</v>
      </c>
      <c r="F67" s="87">
        <v>5008.3900000000003</v>
      </c>
      <c r="G67" s="87">
        <v>5519.65</v>
      </c>
      <c r="H67" s="87">
        <v>5743.67</v>
      </c>
      <c r="I67" s="87">
        <v>6458.43</v>
      </c>
      <c r="J67" s="87">
        <v>7031.75</v>
      </c>
      <c r="K67" s="87">
        <v>7734.03</v>
      </c>
      <c r="L67" s="87">
        <v>9177.39</v>
      </c>
      <c r="M67" s="87">
        <v>5910.07</v>
      </c>
    </row>
    <row r="68" spans="1:13" ht="13.25" x14ac:dyDescent="0.25">
      <c r="A68" s="92" t="s">
        <v>255</v>
      </c>
      <c r="B68" s="93" t="s">
        <v>256</v>
      </c>
      <c r="C68" s="94">
        <v>299.38</v>
      </c>
      <c r="D68" s="95">
        <v>349.86</v>
      </c>
      <c r="E68" s="95">
        <v>347.19</v>
      </c>
      <c r="F68" s="95">
        <v>393.02</v>
      </c>
      <c r="G68" s="95">
        <v>373.45</v>
      </c>
      <c r="H68" s="95">
        <v>329.46</v>
      </c>
      <c r="I68" s="95">
        <v>348.68</v>
      </c>
      <c r="J68" s="95">
        <v>315.26</v>
      </c>
      <c r="K68" s="95">
        <v>293.57</v>
      </c>
      <c r="L68" s="95">
        <v>232.2</v>
      </c>
      <c r="M68" s="95">
        <v>328.21</v>
      </c>
    </row>
    <row r="69" spans="1:13" x14ac:dyDescent="0.25">
      <c r="A69" s="88" t="s">
        <v>257</v>
      </c>
      <c r="B69" s="89" t="s">
        <v>258</v>
      </c>
      <c r="C69" s="90">
        <v>8.11</v>
      </c>
      <c r="D69" s="91">
        <v>0.62</v>
      </c>
      <c r="E69" s="91">
        <v>9.75</v>
      </c>
      <c r="F69" s="91">
        <v>3.95</v>
      </c>
      <c r="G69" s="91">
        <v>6.48</v>
      </c>
      <c r="H69" s="91">
        <v>2.4900000000000002</v>
      </c>
      <c r="I69" s="91">
        <v>9.16</v>
      </c>
      <c r="J69" s="91">
        <v>6.32</v>
      </c>
      <c r="K69" s="91">
        <v>11.43</v>
      </c>
      <c r="L69" s="91">
        <v>33.47</v>
      </c>
      <c r="M69" s="91">
        <v>9.17</v>
      </c>
    </row>
    <row r="70" spans="1:13" x14ac:dyDescent="0.25">
      <c r="A70" s="88" t="s">
        <v>259</v>
      </c>
      <c r="B70" s="89" t="s">
        <v>260</v>
      </c>
      <c r="C70" s="90">
        <v>909.21</v>
      </c>
      <c r="D70" s="91">
        <v>913.35</v>
      </c>
      <c r="E70" s="91">
        <v>1114.8599999999999</v>
      </c>
      <c r="F70" s="91">
        <v>1219.94</v>
      </c>
      <c r="G70" s="91">
        <v>1417.29</v>
      </c>
      <c r="H70" s="91">
        <v>1481.87</v>
      </c>
      <c r="I70" s="91">
        <v>1853.01</v>
      </c>
      <c r="J70" s="91">
        <v>1918.89</v>
      </c>
      <c r="K70" s="91">
        <v>2161.31</v>
      </c>
      <c r="L70" s="91">
        <v>2860.09</v>
      </c>
      <c r="M70" s="91">
        <v>1584.86</v>
      </c>
    </row>
    <row r="71" spans="1:13" x14ac:dyDescent="0.25">
      <c r="A71" s="88" t="s">
        <v>261</v>
      </c>
      <c r="B71" s="89" t="s">
        <v>262</v>
      </c>
      <c r="C71" s="90">
        <v>13.44</v>
      </c>
      <c r="D71" s="91">
        <v>18.010000000000002</v>
      </c>
      <c r="E71" s="91">
        <v>22.76</v>
      </c>
      <c r="F71" s="91">
        <v>31.16</v>
      </c>
      <c r="G71" s="91">
        <v>26.45</v>
      </c>
      <c r="H71" s="91">
        <v>28.88</v>
      </c>
      <c r="I71" s="91">
        <v>43.28</v>
      </c>
      <c r="J71" s="91">
        <v>48.71</v>
      </c>
      <c r="K71" s="91">
        <v>51.96</v>
      </c>
      <c r="L71" s="91">
        <v>88.16</v>
      </c>
      <c r="M71" s="91">
        <v>37.28</v>
      </c>
    </row>
    <row r="72" spans="1:13" x14ac:dyDescent="0.25">
      <c r="A72" s="88" t="s">
        <v>263</v>
      </c>
      <c r="B72" s="89" t="s">
        <v>264</v>
      </c>
      <c r="C72" s="90">
        <v>7.62</v>
      </c>
      <c r="D72" s="91">
        <v>6.35</v>
      </c>
      <c r="E72" s="91">
        <v>8.36</v>
      </c>
      <c r="F72" s="91">
        <v>10.07</v>
      </c>
      <c r="G72" s="91">
        <v>7.82</v>
      </c>
      <c r="H72" s="91">
        <v>11.33</v>
      </c>
      <c r="I72" s="91">
        <v>15.48</v>
      </c>
      <c r="J72" s="91">
        <v>19.21</v>
      </c>
      <c r="K72" s="91">
        <v>29.77</v>
      </c>
      <c r="L72" s="91">
        <v>62.19</v>
      </c>
      <c r="M72" s="91">
        <v>17.82</v>
      </c>
    </row>
    <row r="73" spans="1:13" ht="13.25" x14ac:dyDescent="0.25">
      <c r="A73" s="88" t="s">
        <v>265</v>
      </c>
      <c r="B73" s="89" t="s">
        <v>266</v>
      </c>
      <c r="C73" s="90">
        <v>253.18</v>
      </c>
      <c r="D73" s="91">
        <v>256.86</v>
      </c>
      <c r="E73" s="91">
        <v>275.85000000000002</v>
      </c>
      <c r="F73" s="91">
        <v>291.2</v>
      </c>
      <c r="G73" s="91">
        <v>310.76</v>
      </c>
      <c r="H73" s="91">
        <v>365.8</v>
      </c>
      <c r="I73" s="91">
        <v>373.15</v>
      </c>
      <c r="J73" s="91">
        <v>428.51</v>
      </c>
      <c r="K73" s="91">
        <v>424.42</v>
      </c>
      <c r="L73" s="91">
        <v>547.94000000000005</v>
      </c>
      <c r="M73" s="91">
        <v>352.76</v>
      </c>
    </row>
    <row r="74" spans="1:13" x14ac:dyDescent="0.25">
      <c r="A74" s="88" t="s">
        <v>267</v>
      </c>
      <c r="B74" s="89" t="s">
        <v>268</v>
      </c>
      <c r="C74" s="90">
        <v>0.51</v>
      </c>
      <c r="D74" s="91">
        <v>0.88</v>
      </c>
      <c r="E74" s="91">
        <v>0.88</v>
      </c>
      <c r="F74" s="91">
        <v>1.23</v>
      </c>
      <c r="G74" s="91">
        <v>2.88</v>
      </c>
      <c r="H74" s="91">
        <v>2.72</v>
      </c>
      <c r="I74" s="91">
        <v>4.1500000000000004</v>
      </c>
      <c r="J74" s="91">
        <v>8.9499999999999993</v>
      </c>
      <c r="K74" s="91">
        <v>8.6</v>
      </c>
      <c r="L74" s="91">
        <v>14.63</v>
      </c>
      <c r="M74" s="91">
        <v>4.54</v>
      </c>
    </row>
    <row r="75" spans="1:13" x14ac:dyDescent="0.25">
      <c r="A75" s="88" t="s">
        <v>269</v>
      </c>
      <c r="B75" s="89" t="s">
        <v>270</v>
      </c>
      <c r="C75" s="90">
        <v>80.11</v>
      </c>
      <c r="D75" s="91">
        <v>60.3</v>
      </c>
      <c r="E75" s="91">
        <v>84.46</v>
      </c>
      <c r="F75" s="91">
        <v>80.69</v>
      </c>
      <c r="G75" s="91">
        <v>95.13</v>
      </c>
      <c r="H75" s="91">
        <v>111.48</v>
      </c>
      <c r="I75" s="91">
        <v>124</v>
      </c>
      <c r="J75" s="91">
        <v>182.5</v>
      </c>
      <c r="K75" s="91">
        <v>209.56</v>
      </c>
      <c r="L75" s="91">
        <v>230.32</v>
      </c>
      <c r="M75" s="91">
        <v>125.85</v>
      </c>
    </row>
    <row r="76" spans="1:13" ht="13.25" x14ac:dyDescent="0.25">
      <c r="A76" s="92" t="s">
        <v>271</v>
      </c>
      <c r="B76" s="93" t="s">
        <v>272</v>
      </c>
      <c r="C76" s="94">
        <v>1272.18</v>
      </c>
      <c r="D76" s="95">
        <v>1256.3599999999999</v>
      </c>
      <c r="E76" s="95">
        <v>1516.92</v>
      </c>
      <c r="F76" s="95">
        <v>1638.25</v>
      </c>
      <c r="G76" s="95">
        <v>1866.8</v>
      </c>
      <c r="H76" s="95">
        <v>2004.58</v>
      </c>
      <c r="I76" s="95">
        <v>2422.23</v>
      </c>
      <c r="J76" s="95">
        <v>2613.1</v>
      </c>
      <c r="K76" s="95">
        <v>2897.05</v>
      </c>
      <c r="L76" s="95">
        <v>3836.79</v>
      </c>
      <c r="M76" s="95">
        <v>2132.2800000000002</v>
      </c>
    </row>
    <row r="77" spans="1:13" x14ac:dyDescent="0.25">
      <c r="A77" s="88" t="s">
        <v>273</v>
      </c>
      <c r="B77" s="89" t="s">
        <v>274</v>
      </c>
      <c r="C77" s="90">
        <v>2334.36</v>
      </c>
      <c r="D77" s="91">
        <v>2321.29</v>
      </c>
      <c r="E77" s="91">
        <v>2237.61</v>
      </c>
      <c r="F77" s="91">
        <v>2155.8000000000002</v>
      </c>
      <c r="G77" s="91">
        <v>2073.77</v>
      </c>
      <c r="H77" s="91">
        <v>1907.89</v>
      </c>
      <c r="I77" s="91">
        <v>1778.18</v>
      </c>
      <c r="J77" s="91">
        <v>1785.85</v>
      </c>
      <c r="K77" s="91">
        <v>1606.9</v>
      </c>
      <c r="L77" s="91">
        <v>1378.37</v>
      </c>
      <c r="M77" s="91">
        <v>1958.05</v>
      </c>
    </row>
    <row r="78" spans="1:13" x14ac:dyDescent="0.25">
      <c r="A78" s="88" t="s">
        <v>275</v>
      </c>
      <c r="B78" s="89" t="s">
        <v>276</v>
      </c>
      <c r="C78" s="90">
        <v>16.59</v>
      </c>
      <c r="D78" s="91">
        <v>21.58</v>
      </c>
      <c r="E78" s="91">
        <v>46.14</v>
      </c>
      <c r="F78" s="91">
        <v>39.96</v>
      </c>
      <c r="G78" s="91">
        <v>44.69</v>
      </c>
      <c r="H78" s="91">
        <v>73.73</v>
      </c>
      <c r="I78" s="91">
        <v>75.03</v>
      </c>
      <c r="J78" s="91">
        <v>82.56</v>
      </c>
      <c r="K78" s="91">
        <v>96.35</v>
      </c>
      <c r="L78" s="91">
        <v>124.65</v>
      </c>
      <c r="M78" s="91">
        <v>62.13</v>
      </c>
    </row>
    <row r="79" spans="1:13" ht="20" x14ac:dyDescent="0.25">
      <c r="A79" s="88" t="s">
        <v>277</v>
      </c>
      <c r="B79" s="89" t="s">
        <v>278</v>
      </c>
      <c r="C79" s="90">
        <v>34.549999999999997</v>
      </c>
      <c r="D79" s="91">
        <v>93.53</v>
      </c>
      <c r="E79" s="91">
        <v>97.91</v>
      </c>
      <c r="F79" s="91">
        <v>143.02000000000001</v>
      </c>
      <c r="G79" s="91">
        <v>188.26</v>
      </c>
      <c r="H79" s="91">
        <v>136.21</v>
      </c>
      <c r="I79" s="91">
        <v>248.28</v>
      </c>
      <c r="J79" s="91">
        <v>202.75</v>
      </c>
      <c r="K79" s="91">
        <v>249.19</v>
      </c>
      <c r="L79" s="91">
        <v>212.58</v>
      </c>
      <c r="M79" s="91">
        <v>160.61000000000001</v>
      </c>
    </row>
    <row r="80" spans="1:13" x14ac:dyDescent="0.25">
      <c r="A80" s="88" t="s">
        <v>279</v>
      </c>
      <c r="B80" s="89" t="s">
        <v>280</v>
      </c>
      <c r="C80" s="90">
        <v>4.63</v>
      </c>
      <c r="D80" s="91">
        <v>5.78</v>
      </c>
      <c r="E80" s="91">
        <v>5.19</v>
      </c>
      <c r="F80" s="91">
        <v>4.4800000000000004</v>
      </c>
      <c r="G80" s="91">
        <v>9.3699999999999992</v>
      </c>
      <c r="H80" s="91">
        <v>5.57</v>
      </c>
      <c r="I80" s="91">
        <v>7.96</v>
      </c>
      <c r="J80" s="91">
        <v>9.83</v>
      </c>
      <c r="K80" s="91">
        <v>7.77</v>
      </c>
      <c r="L80" s="91">
        <v>7.75</v>
      </c>
      <c r="M80" s="91">
        <v>6.83</v>
      </c>
    </row>
    <row r="81" spans="1:21" ht="13.25" x14ac:dyDescent="0.25">
      <c r="A81" s="88" t="s">
        <v>281</v>
      </c>
      <c r="B81" s="89" t="s">
        <v>282</v>
      </c>
      <c r="C81" s="90">
        <v>0.56000000000000005</v>
      </c>
      <c r="D81" s="91">
        <v>0.77</v>
      </c>
      <c r="E81" s="91">
        <v>0.5</v>
      </c>
      <c r="F81" s="91">
        <v>0.43</v>
      </c>
      <c r="G81" s="91">
        <v>0.42</v>
      </c>
      <c r="H81" s="91">
        <v>0.55000000000000004</v>
      </c>
      <c r="I81" s="91">
        <v>0.52</v>
      </c>
      <c r="J81" s="91">
        <v>0.28000000000000003</v>
      </c>
      <c r="K81" s="91">
        <v>0.28000000000000003</v>
      </c>
      <c r="L81" s="91">
        <v>0.68</v>
      </c>
      <c r="M81" s="91">
        <v>0.5</v>
      </c>
    </row>
    <row r="82" spans="1:21" ht="20" x14ac:dyDescent="0.25">
      <c r="A82" s="88" t="s">
        <v>283</v>
      </c>
      <c r="B82" s="89" t="s">
        <v>284</v>
      </c>
      <c r="C82" s="90">
        <v>163.79</v>
      </c>
      <c r="D82" s="91">
        <v>190.16</v>
      </c>
      <c r="E82" s="91">
        <v>196.98</v>
      </c>
      <c r="F82" s="91">
        <v>199.48</v>
      </c>
      <c r="G82" s="91">
        <v>215.36</v>
      </c>
      <c r="H82" s="91">
        <v>211.34</v>
      </c>
      <c r="I82" s="91">
        <v>223.91</v>
      </c>
      <c r="J82" s="91">
        <v>245.61</v>
      </c>
      <c r="K82" s="91">
        <v>236.02</v>
      </c>
      <c r="L82" s="91">
        <v>260.22000000000003</v>
      </c>
      <c r="M82" s="91">
        <v>214.29</v>
      </c>
    </row>
    <row r="83" spans="1:21" ht="13.25" x14ac:dyDescent="0.25">
      <c r="A83" s="88" t="s">
        <v>285</v>
      </c>
      <c r="B83" s="89" t="s">
        <v>286</v>
      </c>
      <c r="C83" s="90">
        <v>459.34</v>
      </c>
      <c r="D83" s="91">
        <v>576.15</v>
      </c>
      <c r="E83" s="91">
        <v>429.3</v>
      </c>
      <c r="F83" s="91">
        <v>470.35</v>
      </c>
      <c r="G83" s="91">
        <v>412.17</v>
      </c>
      <c r="H83" s="91">
        <v>473.08</v>
      </c>
      <c r="I83" s="91">
        <v>430.14</v>
      </c>
      <c r="J83" s="91">
        <v>613.66</v>
      </c>
      <c r="K83" s="91">
        <v>626.66999999999996</v>
      </c>
      <c r="L83" s="91">
        <v>1204.75</v>
      </c>
      <c r="M83" s="91">
        <v>569.54</v>
      </c>
    </row>
    <row r="84" spans="1:21" x14ac:dyDescent="0.25">
      <c r="A84" s="88" t="s">
        <v>287</v>
      </c>
      <c r="B84" s="175" t="s">
        <v>288</v>
      </c>
      <c r="C84" s="176">
        <v>320.67</v>
      </c>
      <c r="D84" s="177">
        <v>368.14</v>
      </c>
      <c r="E84" s="177">
        <v>353.72</v>
      </c>
      <c r="F84" s="177">
        <v>382.75</v>
      </c>
      <c r="G84" s="177">
        <v>415.06</v>
      </c>
      <c r="H84" s="177">
        <v>436.15</v>
      </c>
      <c r="I84" s="177">
        <v>434.59</v>
      </c>
      <c r="J84" s="177">
        <v>464.82</v>
      </c>
      <c r="K84" s="177">
        <v>497.75</v>
      </c>
      <c r="L84" s="177">
        <v>567.97</v>
      </c>
      <c r="M84" s="177">
        <v>424.16</v>
      </c>
    </row>
    <row r="85" spans="1:21" x14ac:dyDescent="0.25">
      <c r="A85" s="88" t="s">
        <v>289</v>
      </c>
      <c r="B85" s="175" t="s">
        <v>290</v>
      </c>
      <c r="C85" s="176">
        <v>375.68</v>
      </c>
      <c r="D85" s="177">
        <v>392.56</v>
      </c>
      <c r="E85" s="177">
        <v>504.44</v>
      </c>
      <c r="F85" s="177">
        <v>472.22</v>
      </c>
      <c r="G85" s="177">
        <v>465.51</v>
      </c>
      <c r="H85" s="177">
        <v>489.04</v>
      </c>
      <c r="I85" s="177">
        <v>543.91999999999996</v>
      </c>
      <c r="J85" s="177">
        <v>532.26</v>
      </c>
      <c r="K85" s="177">
        <v>568.92999999999995</v>
      </c>
      <c r="L85" s="177">
        <v>637.04</v>
      </c>
      <c r="M85" s="177">
        <v>498.16</v>
      </c>
    </row>
    <row r="86" spans="1:21" ht="13.25" x14ac:dyDescent="0.25">
      <c r="A86" s="88" t="s">
        <v>291</v>
      </c>
      <c r="B86" s="175" t="s">
        <v>292</v>
      </c>
      <c r="C86" s="176">
        <v>111.44</v>
      </c>
      <c r="D86" s="177">
        <v>150.78</v>
      </c>
      <c r="E86" s="177">
        <v>158.47999999999999</v>
      </c>
      <c r="F86" s="177">
        <v>170.71</v>
      </c>
      <c r="G86" s="177">
        <v>174.14</v>
      </c>
      <c r="H86" s="177">
        <v>185.01</v>
      </c>
      <c r="I86" s="177">
        <v>235.76</v>
      </c>
      <c r="J86" s="177">
        <v>215.27</v>
      </c>
      <c r="K86" s="177">
        <v>189.21</v>
      </c>
      <c r="L86" s="177">
        <v>198.14</v>
      </c>
      <c r="M86" s="177">
        <v>178.89</v>
      </c>
    </row>
    <row r="87" spans="1:21" ht="13.25" x14ac:dyDescent="0.25">
      <c r="A87" s="88" t="s">
        <v>293</v>
      </c>
      <c r="B87" s="175" t="s">
        <v>294</v>
      </c>
      <c r="C87" s="176">
        <v>205.14</v>
      </c>
      <c r="D87" s="177">
        <v>271</v>
      </c>
      <c r="E87" s="177">
        <v>272.64</v>
      </c>
      <c r="F87" s="177">
        <v>227.21</v>
      </c>
      <c r="G87" s="177">
        <v>242.58</v>
      </c>
      <c r="H87" s="177">
        <v>272.62</v>
      </c>
      <c r="I87" s="177">
        <v>319.01</v>
      </c>
      <c r="J87" s="177">
        <v>243.82</v>
      </c>
      <c r="K87" s="177">
        <v>274.05</v>
      </c>
      <c r="L87" s="177">
        <v>369.3</v>
      </c>
      <c r="M87" s="177">
        <v>269.73</v>
      </c>
      <c r="O87" s="78">
        <f>O88/$T$88</f>
        <v>0.79947876473726454</v>
      </c>
      <c r="P87" s="78">
        <f t="shared" ref="P87:S87" si="1">P88/$T$88</f>
        <v>0.93927355478079722</v>
      </c>
      <c r="Q87" s="78">
        <f t="shared" si="1"/>
        <v>0.97428920381947881</v>
      </c>
      <c r="R87" s="78">
        <f t="shared" si="1"/>
        <v>1.0863590138251382</v>
      </c>
      <c r="S87" s="78">
        <f t="shared" si="1"/>
        <v>1.2005994628373213</v>
      </c>
    </row>
    <row r="88" spans="1:21" ht="13.25" x14ac:dyDescent="0.25">
      <c r="A88" s="88" t="s">
        <v>295</v>
      </c>
      <c r="B88" s="175" t="s">
        <v>296</v>
      </c>
      <c r="C88" s="176">
        <v>34.869999999999997</v>
      </c>
      <c r="D88" s="177">
        <v>38.54</v>
      </c>
      <c r="E88" s="177">
        <v>54.92</v>
      </c>
      <c r="F88" s="177">
        <v>68.45</v>
      </c>
      <c r="G88" s="177">
        <v>41.91</v>
      </c>
      <c r="H88" s="177">
        <v>42.89</v>
      </c>
      <c r="I88" s="177">
        <v>43.45</v>
      </c>
      <c r="J88" s="177">
        <v>50.05</v>
      </c>
      <c r="K88" s="177">
        <v>59.74</v>
      </c>
      <c r="L88" s="177">
        <v>45.02</v>
      </c>
      <c r="M88" s="177">
        <v>47.99</v>
      </c>
      <c r="O88" s="179">
        <f>SUM(C84:D88)</f>
        <v>2268.8199999999997</v>
      </c>
      <c r="P88" s="180">
        <f>SUM(E84:F88)</f>
        <v>2665.54</v>
      </c>
      <c r="Q88" s="180">
        <f>SUM(G84:H88)</f>
        <v>2764.9099999999994</v>
      </c>
      <c r="R88" s="180">
        <f>SUM(I84:J88)</f>
        <v>3082.9500000000003</v>
      </c>
      <c r="S88" s="180">
        <f>SUM(K84:L88)</f>
        <v>3407.15</v>
      </c>
      <c r="T88" s="181">
        <f>AVERAGE(O88:S88)</f>
        <v>2837.8739999999998</v>
      </c>
      <c r="U88" s="178"/>
    </row>
    <row r="89" spans="1:21" x14ac:dyDescent="0.25">
      <c r="A89" s="88" t="s">
        <v>297</v>
      </c>
      <c r="B89" s="89" t="s">
        <v>298</v>
      </c>
      <c r="C89" s="90">
        <v>10.71</v>
      </c>
      <c r="D89" s="91">
        <v>10.36</v>
      </c>
      <c r="E89" s="91">
        <v>5.55</v>
      </c>
      <c r="F89" s="91">
        <v>20.5</v>
      </c>
      <c r="G89" s="91">
        <v>12.48</v>
      </c>
      <c r="H89" s="91">
        <v>35.549999999999997</v>
      </c>
      <c r="I89" s="91">
        <v>25.35</v>
      </c>
      <c r="J89" s="91">
        <v>54.2</v>
      </c>
      <c r="K89" s="91">
        <v>52.92</v>
      </c>
      <c r="L89" s="91">
        <v>140.85</v>
      </c>
      <c r="M89" s="91">
        <v>36.85</v>
      </c>
      <c r="O89" s="78">
        <f>O88/$T$89</f>
        <v>0.1598957529474529</v>
      </c>
      <c r="P89" s="78">
        <f t="shared" ref="P89:S89" si="2">P88/$T$89</f>
        <v>0.18785471095615944</v>
      </c>
      <c r="Q89" s="78">
        <f t="shared" si="2"/>
        <v>0.19485784076389576</v>
      </c>
      <c r="R89" s="78">
        <f t="shared" si="2"/>
        <v>0.21727180276502767</v>
      </c>
      <c r="S89" s="78">
        <f t="shared" si="2"/>
        <v>0.24011989256746427</v>
      </c>
      <c r="T89" s="178">
        <f>SUM(O88:S88)</f>
        <v>14189.369999999999</v>
      </c>
    </row>
    <row r="90" spans="1:21" ht="20.399999999999999" customHeight="1" x14ac:dyDescent="0.25">
      <c r="A90" s="92" t="s">
        <v>299</v>
      </c>
      <c r="B90" s="93" t="s">
        <v>300</v>
      </c>
      <c r="C90" s="94">
        <v>4072.35</v>
      </c>
      <c r="D90" s="95">
        <v>4440.6499999999996</v>
      </c>
      <c r="E90" s="95">
        <v>4363.3599999999997</v>
      </c>
      <c r="F90" s="95">
        <v>4355.37</v>
      </c>
      <c r="G90" s="95">
        <v>4295.7299999999996</v>
      </c>
      <c r="H90" s="95">
        <v>4269.6400000000003</v>
      </c>
      <c r="I90" s="95">
        <v>4366.09</v>
      </c>
      <c r="J90" s="95">
        <v>4500.9799999999996</v>
      </c>
      <c r="K90" s="95">
        <v>4465.8</v>
      </c>
      <c r="L90" s="95">
        <v>5147.3100000000004</v>
      </c>
      <c r="M90" s="95">
        <v>4427.72</v>
      </c>
    </row>
    <row r="91" spans="1:21" x14ac:dyDescent="0.25">
      <c r="A91" s="88" t="s">
        <v>301</v>
      </c>
      <c r="B91" s="89" t="s">
        <v>302</v>
      </c>
      <c r="C91" s="90">
        <v>234.72</v>
      </c>
      <c r="D91" s="91">
        <v>393.48</v>
      </c>
      <c r="E91" s="91">
        <v>387</v>
      </c>
      <c r="F91" s="91">
        <v>533.55999999999995</v>
      </c>
      <c r="G91" s="91">
        <v>591.98</v>
      </c>
      <c r="H91" s="91">
        <v>622.9</v>
      </c>
      <c r="I91" s="91">
        <v>871.11</v>
      </c>
      <c r="J91" s="91">
        <v>843.51</v>
      </c>
      <c r="K91" s="91">
        <v>1020.31</v>
      </c>
      <c r="L91" s="91">
        <v>1505.96</v>
      </c>
      <c r="M91" s="91">
        <v>700.37</v>
      </c>
    </row>
    <row r="92" spans="1:21" ht="20" x14ac:dyDescent="0.25">
      <c r="A92" s="88" t="s">
        <v>303</v>
      </c>
      <c r="B92" s="89" t="s">
        <v>304</v>
      </c>
      <c r="C92" s="90">
        <v>11.18</v>
      </c>
      <c r="D92" s="91">
        <v>4.0599999999999996</v>
      </c>
      <c r="E92" s="91">
        <v>7.14</v>
      </c>
      <c r="F92" s="91">
        <v>9.1300000000000008</v>
      </c>
      <c r="G92" s="91">
        <v>21.24</v>
      </c>
      <c r="H92" s="91">
        <v>7.24</v>
      </c>
      <c r="I92" s="91">
        <v>23.66</v>
      </c>
      <c r="J92" s="91">
        <v>17.309999999999999</v>
      </c>
      <c r="K92" s="91">
        <v>26</v>
      </c>
      <c r="L92" s="91">
        <v>47.88</v>
      </c>
      <c r="M92" s="91">
        <v>17.48</v>
      </c>
    </row>
    <row r="93" spans="1:21" x14ac:dyDescent="0.25">
      <c r="A93" s="88" t="s">
        <v>305</v>
      </c>
      <c r="B93" s="89" t="s">
        <v>306</v>
      </c>
      <c r="C93" s="90">
        <v>74.94</v>
      </c>
      <c r="D93" s="91">
        <v>66.53</v>
      </c>
      <c r="E93" s="91">
        <v>99.43</v>
      </c>
      <c r="F93" s="91">
        <v>127.36</v>
      </c>
      <c r="G93" s="91">
        <v>140.81</v>
      </c>
      <c r="H93" s="91">
        <v>164.46</v>
      </c>
      <c r="I93" s="91">
        <v>169.97</v>
      </c>
      <c r="J93" s="91">
        <v>178.04</v>
      </c>
      <c r="K93" s="91">
        <v>240.14</v>
      </c>
      <c r="L93" s="91">
        <v>265.41000000000003</v>
      </c>
      <c r="M93" s="91">
        <v>152.69999999999999</v>
      </c>
    </row>
    <row r="94" spans="1:21" x14ac:dyDescent="0.25">
      <c r="A94" s="88" t="s">
        <v>307</v>
      </c>
      <c r="B94" s="89" t="s">
        <v>308</v>
      </c>
      <c r="C94" s="90">
        <v>119.91</v>
      </c>
      <c r="D94" s="91">
        <v>121.75</v>
      </c>
      <c r="E94" s="91">
        <v>132.08000000000001</v>
      </c>
      <c r="F94" s="91">
        <v>208.57</v>
      </c>
      <c r="G94" s="91">
        <v>201.3</v>
      </c>
      <c r="H94" s="91">
        <v>209.87</v>
      </c>
      <c r="I94" s="91">
        <v>231.63</v>
      </c>
      <c r="J94" s="91">
        <v>223.27</v>
      </c>
      <c r="K94" s="91">
        <v>257.12</v>
      </c>
      <c r="L94" s="91">
        <v>324.49</v>
      </c>
      <c r="M94" s="91">
        <v>202.99</v>
      </c>
    </row>
    <row r="95" spans="1:21" x14ac:dyDescent="0.25">
      <c r="A95" s="88" t="s">
        <v>309</v>
      </c>
      <c r="B95" s="89" t="s">
        <v>310</v>
      </c>
      <c r="C95" s="90">
        <v>13.38</v>
      </c>
      <c r="D95" s="91">
        <v>14.42</v>
      </c>
      <c r="E95" s="91">
        <v>19.829999999999998</v>
      </c>
      <c r="F95" s="91">
        <v>21.77</v>
      </c>
      <c r="G95" s="91">
        <v>38.53</v>
      </c>
      <c r="H95" s="91">
        <v>37.479999999999997</v>
      </c>
      <c r="I95" s="91">
        <v>37.64</v>
      </c>
      <c r="J95" s="91">
        <v>35.409999999999997</v>
      </c>
      <c r="K95" s="91">
        <v>35.49</v>
      </c>
      <c r="L95" s="91">
        <v>41.6</v>
      </c>
      <c r="M95" s="91">
        <v>29.56</v>
      </c>
    </row>
    <row r="96" spans="1:21" x14ac:dyDescent="0.25">
      <c r="A96" s="88" t="s">
        <v>311</v>
      </c>
      <c r="B96" s="89" t="s">
        <v>312</v>
      </c>
      <c r="C96" s="90">
        <v>4.2300000000000004</v>
      </c>
      <c r="D96" s="91">
        <v>3.24</v>
      </c>
      <c r="E96" s="91">
        <v>0.91</v>
      </c>
      <c r="F96" s="91">
        <v>8.5500000000000007</v>
      </c>
      <c r="G96" s="91">
        <v>14.26</v>
      </c>
      <c r="H96" s="91">
        <v>5.18</v>
      </c>
      <c r="I96" s="91">
        <v>15.94</v>
      </c>
      <c r="J96" s="91">
        <v>6.64</v>
      </c>
      <c r="K96" s="91">
        <v>24.22</v>
      </c>
      <c r="L96" s="91">
        <v>20.41</v>
      </c>
      <c r="M96" s="91">
        <v>10.35</v>
      </c>
    </row>
    <row r="97" spans="1:13" x14ac:dyDescent="0.25">
      <c r="A97" s="88" t="s">
        <v>313</v>
      </c>
      <c r="B97" s="89" t="s">
        <v>314</v>
      </c>
      <c r="C97" s="90">
        <v>52.68</v>
      </c>
      <c r="D97" s="91">
        <v>51.98</v>
      </c>
      <c r="E97" s="91">
        <v>57.94</v>
      </c>
      <c r="F97" s="91">
        <v>71.069999999999993</v>
      </c>
      <c r="G97" s="91">
        <v>69.36</v>
      </c>
      <c r="H97" s="91">
        <v>71.510000000000005</v>
      </c>
      <c r="I97" s="91">
        <v>96.09</v>
      </c>
      <c r="J97" s="91">
        <v>92.55</v>
      </c>
      <c r="K97" s="91">
        <v>108.69</v>
      </c>
      <c r="L97" s="91">
        <v>175.93</v>
      </c>
      <c r="M97" s="91">
        <v>84.77</v>
      </c>
    </row>
    <row r="98" spans="1:13" x14ac:dyDescent="0.25">
      <c r="A98" s="88" t="s">
        <v>315</v>
      </c>
      <c r="B98" s="89" t="s">
        <v>316</v>
      </c>
      <c r="C98" s="90">
        <v>19.71</v>
      </c>
      <c r="D98" s="91">
        <v>42.21</v>
      </c>
      <c r="E98" s="91">
        <v>37.700000000000003</v>
      </c>
      <c r="F98" s="91">
        <v>44.62</v>
      </c>
      <c r="G98" s="91">
        <v>70.239999999999995</v>
      </c>
      <c r="H98" s="91">
        <v>79.81</v>
      </c>
      <c r="I98" s="91">
        <v>88.72</v>
      </c>
      <c r="J98" s="91">
        <v>104.81</v>
      </c>
      <c r="K98" s="91">
        <v>93.93</v>
      </c>
      <c r="L98" s="91">
        <v>140.91</v>
      </c>
      <c r="M98" s="91">
        <v>72.27</v>
      </c>
    </row>
    <row r="99" spans="1:13" x14ac:dyDescent="0.25">
      <c r="A99" s="88" t="s">
        <v>317</v>
      </c>
      <c r="B99" s="89" t="s">
        <v>318</v>
      </c>
      <c r="C99" s="90">
        <v>50.77</v>
      </c>
      <c r="D99" s="91">
        <v>58.96</v>
      </c>
      <c r="E99" s="91">
        <v>53.06</v>
      </c>
      <c r="F99" s="91">
        <v>79.27</v>
      </c>
      <c r="G99" s="91">
        <v>94.73</v>
      </c>
      <c r="H99" s="91">
        <v>96.85</v>
      </c>
      <c r="I99" s="91">
        <v>147.01</v>
      </c>
      <c r="J99" s="91">
        <v>123.09</v>
      </c>
      <c r="K99" s="91">
        <v>193.48</v>
      </c>
      <c r="L99" s="91">
        <v>228.98</v>
      </c>
      <c r="M99" s="91">
        <v>112.6</v>
      </c>
    </row>
    <row r="100" spans="1:13" x14ac:dyDescent="0.25">
      <c r="A100" s="88" t="s">
        <v>319</v>
      </c>
      <c r="B100" s="89" t="s">
        <v>320</v>
      </c>
      <c r="C100" s="90">
        <v>168.06</v>
      </c>
      <c r="D100" s="91">
        <v>176.03</v>
      </c>
      <c r="E100" s="91">
        <v>207.05</v>
      </c>
      <c r="F100" s="91">
        <v>229.56</v>
      </c>
      <c r="G100" s="91">
        <v>239.47</v>
      </c>
      <c r="H100" s="91">
        <v>240.39</v>
      </c>
      <c r="I100" s="91">
        <v>274.74</v>
      </c>
      <c r="J100" s="91">
        <v>266.39</v>
      </c>
      <c r="K100" s="91">
        <v>278.63</v>
      </c>
      <c r="L100" s="91">
        <v>295.75</v>
      </c>
      <c r="M100" s="91">
        <v>237.6</v>
      </c>
    </row>
    <row r="101" spans="1:13" x14ac:dyDescent="0.25">
      <c r="A101" s="88" t="s">
        <v>321</v>
      </c>
      <c r="B101" s="89" t="s">
        <v>322</v>
      </c>
      <c r="C101" s="90">
        <v>70.63</v>
      </c>
      <c r="D101" s="91">
        <v>71.75</v>
      </c>
      <c r="E101" s="91">
        <v>78.89</v>
      </c>
      <c r="F101" s="91">
        <v>189.54</v>
      </c>
      <c r="G101" s="91">
        <v>100.32</v>
      </c>
      <c r="H101" s="91">
        <v>121.22</v>
      </c>
      <c r="I101" s="91">
        <v>194.82</v>
      </c>
      <c r="J101" s="91">
        <v>170.14</v>
      </c>
      <c r="K101" s="91">
        <v>262.33</v>
      </c>
      <c r="L101" s="91">
        <v>960.19</v>
      </c>
      <c r="M101" s="91">
        <v>221.93</v>
      </c>
    </row>
    <row r="102" spans="1:13" x14ac:dyDescent="0.25">
      <c r="A102" s="88" t="s">
        <v>323</v>
      </c>
      <c r="B102" s="89" t="s">
        <v>324</v>
      </c>
      <c r="C102" s="90">
        <v>55.22</v>
      </c>
      <c r="D102" s="91">
        <v>46.78</v>
      </c>
      <c r="E102" s="91">
        <v>106.8</v>
      </c>
      <c r="F102" s="91">
        <v>95.18</v>
      </c>
      <c r="G102" s="91">
        <v>94.45</v>
      </c>
      <c r="H102" s="91">
        <v>149.02000000000001</v>
      </c>
      <c r="I102" s="91">
        <v>153.16999999999999</v>
      </c>
      <c r="J102" s="91">
        <v>235.04</v>
      </c>
      <c r="K102" s="91">
        <v>193.4</v>
      </c>
      <c r="L102" s="91">
        <v>304.58999999999997</v>
      </c>
      <c r="M102" s="91">
        <v>143.37</v>
      </c>
    </row>
    <row r="103" spans="1:13" ht="21" x14ac:dyDescent="0.25">
      <c r="A103" s="92" t="s">
        <v>325</v>
      </c>
      <c r="B103" s="93" t="s">
        <v>326</v>
      </c>
      <c r="C103" s="94">
        <v>875.44</v>
      </c>
      <c r="D103" s="95">
        <v>1051.2</v>
      </c>
      <c r="E103" s="95">
        <v>1187.83</v>
      </c>
      <c r="F103" s="95">
        <v>1618.17</v>
      </c>
      <c r="G103" s="95">
        <v>1676.7</v>
      </c>
      <c r="H103" s="95">
        <v>1805.92</v>
      </c>
      <c r="I103" s="95">
        <v>2304.5100000000002</v>
      </c>
      <c r="J103" s="95">
        <v>2296.21</v>
      </c>
      <c r="K103" s="95">
        <v>2733.74</v>
      </c>
      <c r="L103" s="95">
        <v>4312.1000000000004</v>
      </c>
      <c r="M103" s="95">
        <v>1986</v>
      </c>
    </row>
    <row r="104" spans="1:13" x14ac:dyDescent="0.25">
      <c r="A104" s="88" t="s">
        <v>327</v>
      </c>
      <c r="B104" s="89" t="s">
        <v>328</v>
      </c>
      <c r="C104" s="90">
        <v>224.74</v>
      </c>
      <c r="D104" s="91">
        <v>240.95</v>
      </c>
      <c r="E104" s="91">
        <v>317.10000000000002</v>
      </c>
      <c r="F104" s="91">
        <v>377.2</v>
      </c>
      <c r="G104" s="91">
        <v>304.35000000000002</v>
      </c>
      <c r="H104" s="91">
        <v>359.81</v>
      </c>
      <c r="I104" s="91">
        <v>430.52</v>
      </c>
      <c r="J104" s="91">
        <v>467.25</v>
      </c>
      <c r="K104" s="91">
        <v>570.97</v>
      </c>
      <c r="L104" s="91">
        <v>743.74</v>
      </c>
      <c r="M104" s="91">
        <v>403.64</v>
      </c>
    </row>
    <row r="105" spans="1:13" x14ac:dyDescent="0.25">
      <c r="A105" s="88" t="s">
        <v>329</v>
      </c>
      <c r="B105" s="89" t="s">
        <v>330</v>
      </c>
      <c r="C105" s="90">
        <v>150.5</v>
      </c>
      <c r="D105" s="91">
        <v>202.19</v>
      </c>
      <c r="E105" s="91">
        <v>269.01</v>
      </c>
      <c r="F105" s="91">
        <v>230.98</v>
      </c>
      <c r="G105" s="91">
        <v>287.25</v>
      </c>
      <c r="H105" s="91">
        <v>316.82</v>
      </c>
      <c r="I105" s="91">
        <v>313.70999999999998</v>
      </c>
      <c r="J105" s="91">
        <v>347.58</v>
      </c>
      <c r="K105" s="91">
        <v>345.73</v>
      </c>
      <c r="L105" s="91">
        <v>473.08</v>
      </c>
      <c r="M105" s="91">
        <v>293.69</v>
      </c>
    </row>
    <row r="106" spans="1:13" x14ac:dyDescent="0.25">
      <c r="A106" s="88" t="s">
        <v>331</v>
      </c>
      <c r="B106" s="89" t="s">
        <v>332</v>
      </c>
      <c r="C106" s="90">
        <v>39.08</v>
      </c>
      <c r="D106" s="91">
        <v>38.68</v>
      </c>
      <c r="E106" s="91">
        <v>266.88</v>
      </c>
      <c r="F106" s="91">
        <v>133.07</v>
      </c>
      <c r="G106" s="91">
        <v>158.99</v>
      </c>
      <c r="H106" s="91">
        <v>98.21</v>
      </c>
      <c r="I106" s="91">
        <v>120.89</v>
      </c>
      <c r="J106" s="91">
        <v>90.89</v>
      </c>
      <c r="K106" s="91">
        <v>164.3</v>
      </c>
      <c r="L106" s="91">
        <v>270.60000000000002</v>
      </c>
      <c r="M106" s="91">
        <v>138.16</v>
      </c>
    </row>
    <row r="107" spans="1:13" x14ac:dyDescent="0.25">
      <c r="A107" s="88" t="s">
        <v>333</v>
      </c>
      <c r="B107" s="89" t="s">
        <v>334</v>
      </c>
      <c r="C107" s="90">
        <v>47.51</v>
      </c>
      <c r="D107" s="91">
        <v>40.4</v>
      </c>
      <c r="E107" s="91">
        <v>95.05</v>
      </c>
      <c r="F107" s="91">
        <v>103.87</v>
      </c>
      <c r="G107" s="91">
        <v>93.97</v>
      </c>
      <c r="H107" s="91">
        <v>96.52</v>
      </c>
      <c r="I107" s="91">
        <v>118.57</v>
      </c>
      <c r="J107" s="91">
        <v>150.75</v>
      </c>
      <c r="K107" s="91">
        <v>192.2</v>
      </c>
      <c r="L107" s="91">
        <v>205.18</v>
      </c>
      <c r="M107" s="91">
        <v>114.4</v>
      </c>
    </row>
    <row r="108" spans="1:13" x14ac:dyDescent="0.25">
      <c r="A108" s="88" t="s">
        <v>335</v>
      </c>
      <c r="B108" s="89" t="s">
        <v>336</v>
      </c>
      <c r="C108" s="90">
        <v>23.04</v>
      </c>
      <c r="D108" s="91">
        <v>14.46</v>
      </c>
      <c r="E108" s="91">
        <v>10.58</v>
      </c>
      <c r="F108" s="91">
        <v>34.22</v>
      </c>
      <c r="G108" s="91">
        <v>19.47</v>
      </c>
      <c r="H108" s="91">
        <v>18.37</v>
      </c>
      <c r="I108" s="91">
        <v>41.59</v>
      </c>
      <c r="J108" s="91">
        <v>27.57</v>
      </c>
      <c r="K108" s="91">
        <v>28.9</v>
      </c>
      <c r="L108" s="91">
        <v>73.94</v>
      </c>
      <c r="M108" s="91">
        <v>29.21</v>
      </c>
    </row>
    <row r="109" spans="1:13" x14ac:dyDescent="0.25">
      <c r="A109" s="88" t="s">
        <v>337</v>
      </c>
      <c r="B109" s="89" t="s">
        <v>338</v>
      </c>
      <c r="C109" s="90">
        <v>0.69</v>
      </c>
      <c r="D109" s="91">
        <v>0.24</v>
      </c>
      <c r="E109" s="91">
        <v>0.22</v>
      </c>
      <c r="F109" s="91">
        <v>0.12</v>
      </c>
      <c r="G109" s="91">
        <v>0.91</v>
      </c>
      <c r="H109" s="91">
        <v>1.82</v>
      </c>
      <c r="I109" s="91">
        <v>2.5299999999999998</v>
      </c>
      <c r="J109" s="91">
        <v>1.77</v>
      </c>
      <c r="K109" s="91">
        <v>4.2</v>
      </c>
      <c r="L109" s="91">
        <v>9.01</v>
      </c>
      <c r="M109" s="91">
        <v>2.15</v>
      </c>
    </row>
    <row r="110" spans="1:13" x14ac:dyDescent="0.25">
      <c r="A110" s="92" t="s">
        <v>339</v>
      </c>
      <c r="B110" s="93" t="s">
        <v>340</v>
      </c>
      <c r="C110" s="94">
        <v>485.56</v>
      </c>
      <c r="D110" s="95">
        <v>536.91999999999996</v>
      </c>
      <c r="E110" s="95">
        <v>958.84</v>
      </c>
      <c r="F110" s="95">
        <v>879.46</v>
      </c>
      <c r="G110" s="95">
        <v>864.95</v>
      </c>
      <c r="H110" s="95">
        <v>891.55</v>
      </c>
      <c r="I110" s="95">
        <v>1027.8</v>
      </c>
      <c r="J110" s="95">
        <v>1085.8</v>
      </c>
      <c r="K110" s="95">
        <v>1306.3</v>
      </c>
      <c r="L110" s="95">
        <v>1775.55</v>
      </c>
      <c r="M110" s="95">
        <v>981.25</v>
      </c>
    </row>
    <row r="111" spans="1:13" x14ac:dyDescent="0.25">
      <c r="A111" s="88" t="s">
        <v>341</v>
      </c>
      <c r="B111" s="89" t="s">
        <v>342</v>
      </c>
      <c r="C111" s="90">
        <v>418.21</v>
      </c>
      <c r="D111" s="91">
        <v>614.45000000000005</v>
      </c>
      <c r="E111" s="91">
        <v>1254.03</v>
      </c>
      <c r="F111" s="91">
        <v>1611.24</v>
      </c>
      <c r="G111" s="91">
        <v>1556.8</v>
      </c>
      <c r="H111" s="91">
        <v>2264.4899999999998</v>
      </c>
      <c r="I111" s="91">
        <v>2010.05</v>
      </c>
      <c r="J111" s="91">
        <v>2574.7600000000002</v>
      </c>
      <c r="K111" s="91">
        <v>2849.96</v>
      </c>
      <c r="L111" s="91">
        <v>3395.08</v>
      </c>
      <c r="M111" s="91">
        <v>1855.01</v>
      </c>
    </row>
    <row r="112" spans="1:13" x14ac:dyDescent="0.25">
      <c r="A112" s="88" t="s">
        <v>343</v>
      </c>
      <c r="B112" s="89" t="s">
        <v>344</v>
      </c>
      <c r="C112" s="90">
        <v>17.3</v>
      </c>
      <c r="D112" s="91">
        <v>20.56</v>
      </c>
      <c r="E112" s="91">
        <v>61.51</v>
      </c>
      <c r="F112" s="91">
        <v>53.06</v>
      </c>
      <c r="G112" s="91">
        <v>54.26</v>
      </c>
      <c r="H112" s="91">
        <v>62.94</v>
      </c>
      <c r="I112" s="91">
        <v>98.39</v>
      </c>
      <c r="J112" s="91">
        <v>76.849999999999994</v>
      </c>
      <c r="K112" s="91">
        <v>105.85</v>
      </c>
      <c r="L112" s="91">
        <v>145.5</v>
      </c>
      <c r="M112" s="91">
        <v>69.61</v>
      </c>
    </row>
    <row r="113" spans="1:19" x14ac:dyDescent="0.25">
      <c r="A113" s="88" t="s">
        <v>345</v>
      </c>
      <c r="B113" s="89" t="s">
        <v>346</v>
      </c>
      <c r="C113" s="90">
        <v>10.28</v>
      </c>
      <c r="D113" s="91">
        <v>19.190000000000001</v>
      </c>
      <c r="E113" s="91">
        <v>17.8</v>
      </c>
      <c r="F113" s="91">
        <v>25.03</v>
      </c>
      <c r="G113" s="91">
        <v>24.53</v>
      </c>
      <c r="H113" s="91">
        <v>39.119999999999997</v>
      </c>
      <c r="I113" s="91">
        <v>42.45</v>
      </c>
      <c r="J113" s="91">
        <v>37.04</v>
      </c>
      <c r="K113" s="91">
        <v>35.450000000000003</v>
      </c>
      <c r="L113" s="91">
        <v>47.5</v>
      </c>
      <c r="M113" s="91">
        <v>29.84</v>
      </c>
    </row>
    <row r="114" spans="1:19" x14ac:dyDescent="0.25">
      <c r="A114" s="88" t="s">
        <v>347</v>
      </c>
      <c r="B114" s="89" t="s">
        <v>348</v>
      </c>
      <c r="C114" s="90">
        <v>0</v>
      </c>
      <c r="D114" s="91">
        <v>60.23</v>
      </c>
      <c r="E114" s="91">
        <v>155.78</v>
      </c>
      <c r="F114" s="91">
        <v>58.84</v>
      </c>
      <c r="G114" s="91">
        <v>32.869999999999997</v>
      </c>
      <c r="H114" s="91">
        <v>45.38</v>
      </c>
      <c r="I114" s="91">
        <v>33.67</v>
      </c>
      <c r="J114" s="91">
        <v>52.42</v>
      </c>
      <c r="K114" s="91">
        <v>0</v>
      </c>
      <c r="L114" s="91">
        <v>127.91</v>
      </c>
      <c r="M114" s="91">
        <v>56.73</v>
      </c>
    </row>
    <row r="115" spans="1:19" x14ac:dyDescent="0.25">
      <c r="A115" s="88" t="s">
        <v>349</v>
      </c>
      <c r="B115" s="89" t="s">
        <v>350</v>
      </c>
      <c r="C115" s="90">
        <v>52.48</v>
      </c>
      <c r="D115" s="91">
        <v>70.73</v>
      </c>
      <c r="E115" s="91">
        <v>75.36</v>
      </c>
      <c r="F115" s="91">
        <v>140.63</v>
      </c>
      <c r="G115" s="91">
        <v>148.34</v>
      </c>
      <c r="H115" s="91">
        <v>123.41</v>
      </c>
      <c r="I115" s="91">
        <v>186.57</v>
      </c>
      <c r="J115" s="91">
        <v>130.91</v>
      </c>
      <c r="K115" s="91">
        <v>156.57</v>
      </c>
      <c r="L115" s="91">
        <v>149.13999999999999</v>
      </c>
      <c r="M115" s="91">
        <v>123.4</v>
      </c>
      <c r="N115" s="178"/>
    </row>
    <row r="116" spans="1:19" x14ac:dyDescent="0.25">
      <c r="A116" s="88" t="s">
        <v>351</v>
      </c>
      <c r="B116" s="175" t="s">
        <v>352</v>
      </c>
      <c r="C116" s="176">
        <v>539.77</v>
      </c>
      <c r="D116" s="177">
        <v>618.91999999999996</v>
      </c>
      <c r="E116" s="177">
        <v>793.54</v>
      </c>
      <c r="F116" s="177">
        <v>870.41</v>
      </c>
      <c r="G116" s="177">
        <v>1020.41</v>
      </c>
      <c r="H116" s="177">
        <v>1102.8499999999999</v>
      </c>
      <c r="I116" s="177">
        <v>1223.1099999999999</v>
      </c>
      <c r="J116" s="177">
        <v>1167.1099999999999</v>
      </c>
      <c r="K116" s="177">
        <v>1281.4100000000001</v>
      </c>
      <c r="L116" s="177">
        <v>1251.05</v>
      </c>
      <c r="M116" s="177">
        <v>986.85</v>
      </c>
      <c r="N116" s="178">
        <f>C116+D116</f>
        <v>1158.69</v>
      </c>
      <c r="O116" s="178">
        <f>F116+E116</f>
        <v>1663.9499999999998</v>
      </c>
      <c r="P116" s="178">
        <f>H116+G116</f>
        <v>2123.2599999999998</v>
      </c>
      <c r="Q116" s="178">
        <f>I116+J116</f>
        <v>2390.2199999999998</v>
      </c>
      <c r="R116" s="178">
        <f>L116+K116</f>
        <v>2532.46</v>
      </c>
      <c r="S116" s="178"/>
    </row>
    <row r="117" spans="1:19" ht="20" x14ac:dyDescent="0.25">
      <c r="A117" s="88" t="s">
        <v>353</v>
      </c>
      <c r="B117" s="89" t="s">
        <v>354</v>
      </c>
      <c r="C117" s="90">
        <v>165.33</v>
      </c>
      <c r="D117" s="91">
        <v>208.91</v>
      </c>
      <c r="E117" s="91">
        <v>201.1</v>
      </c>
      <c r="F117" s="91">
        <v>360.45</v>
      </c>
      <c r="G117" s="91">
        <v>249.09</v>
      </c>
      <c r="H117" s="91">
        <v>424.49</v>
      </c>
      <c r="I117" s="91">
        <v>526.35</v>
      </c>
      <c r="J117" s="91">
        <v>492.16</v>
      </c>
      <c r="K117" s="91">
        <v>597.11</v>
      </c>
      <c r="L117" s="91">
        <v>589.41</v>
      </c>
      <c r="M117" s="91">
        <v>381.41</v>
      </c>
    </row>
    <row r="118" spans="1:19" x14ac:dyDescent="0.25">
      <c r="A118" s="88" t="s">
        <v>355</v>
      </c>
      <c r="B118" s="89" t="s">
        <v>356</v>
      </c>
      <c r="C118" s="90">
        <v>47.56</v>
      </c>
      <c r="D118" s="91">
        <v>50.64</v>
      </c>
      <c r="E118" s="91">
        <v>94.86</v>
      </c>
      <c r="F118" s="91">
        <v>106.37</v>
      </c>
      <c r="G118" s="91">
        <v>94.4</v>
      </c>
      <c r="H118" s="91">
        <v>98.31</v>
      </c>
      <c r="I118" s="91">
        <v>130.32</v>
      </c>
      <c r="J118" s="91">
        <v>169.6</v>
      </c>
      <c r="K118" s="91">
        <v>176.6</v>
      </c>
      <c r="L118" s="91">
        <v>303.44</v>
      </c>
      <c r="M118" s="91">
        <v>127.2</v>
      </c>
    </row>
    <row r="119" spans="1:19" x14ac:dyDescent="0.25">
      <c r="A119" s="88" t="s">
        <v>357</v>
      </c>
      <c r="B119" s="89" t="s">
        <v>358</v>
      </c>
      <c r="C119" s="90">
        <v>349.13</v>
      </c>
      <c r="D119" s="91">
        <v>304.06</v>
      </c>
      <c r="E119" s="91">
        <v>293.45999999999998</v>
      </c>
      <c r="F119" s="91">
        <v>287.8</v>
      </c>
      <c r="G119" s="91">
        <v>339.58</v>
      </c>
      <c r="H119" s="91">
        <v>301.17</v>
      </c>
      <c r="I119" s="91">
        <v>435.99</v>
      </c>
      <c r="J119" s="91">
        <v>424.85</v>
      </c>
      <c r="K119" s="91">
        <v>537.1</v>
      </c>
      <c r="L119" s="91">
        <v>868.34</v>
      </c>
      <c r="M119" s="91">
        <v>414.08</v>
      </c>
    </row>
    <row r="120" spans="1:19" x14ac:dyDescent="0.25">
      <c r="A120" s="88" t="s">
        <v>359</v>
      </c>
      <c r="B120" s="89" t="s">
        <v>360</v>
      </c>
      <c r="C120" s="90">
        <v>122.81</v>
      </c>
      <c r="D120" s="91">
        <v>121.51</v>
      </c>
      <c r="E120" s="91">
        <v>119.84</v>
      </c>
      <c r="F120" s="91">
        <v>144.81</v>
      </c>
      <c r="G120" s="91">
        <v>191.39</v>
      </c>
      <c r="H120" s="91">
        <v>188.55</v>
      </c>
      <c r="I120" s="91">
        <v>244.78</v>
      </c>
      <c r="J120" s="91">
        <v>285.22000000000003</v>
      </c>
      <c r="K120" s="91">
        <v>408.44</v>
      </c>
      <c r="L120" s="91">
        <v>580.91</v>
      </c>
      <c r="M120" s="91">
        <v>240.79</v>
      </c>
    </row>
    <row r="121" spans="1:19" x14ac:dyDescent="0.25">
      <c r="A121" s="92" t="s">
        <v>361</v>
      </c>
      <c r="B121" s="93" t="s">
        <v>362</v>
      </c>
      <c r="C121" s="94">
        <v>1722.87</v>
      </c>
      <c r="D121" s="95">
        <v>2089.19</v>
      </c>
      <c r="E121" s="95">
        <v>3067.28</v>
      </c>
      <c r="F121" s="95">
        <v>3658.63</v>
      </c>
      <c r="G121" s="95">
        <v>3711.67</v>
      </c>
      <c r="H121" s="95">
        <v>4650.72</v>
      </c>
      <c r="I121" s="95">
        <v>4931.6899999999996</v>
      </c>
      <c r="J121" s="95">
        <v>5410.92</v>
      </c>
      <c r="K121" s="95">
        <v>6148.48</v>
      </c>
      <c r="L121" s="95">
        <v>7458.28</v>
      </c>
      <c r="M121" s="95">
        <v>4284.93</v>
      </c>
    </row>
    <row r="122" spans="1:19" x14ac:dyDescent="0.25">
      <c r="A122" s="88" t="s">
        <v>363</v>
      </c>
      <c r="B122" s="89" t="s">
        <v>364</v>
      </c>
      <c r="C122" s="90">
        <v>18.79</v>
      </c>
      <c r="D122" s="91">
        <v>24.62</v>
      </c>
      <c r="E122" s="91">
        <v>25.07</v>
      </c>
      <c r="F122" s="91">
        <v>27.24</v>
      </c>
      <c r="G122" s="91">
        <v>27.63</v>
      </c>
      <c r="H122" s="91">
        <v>26.86</v>
      </c>
      <c r="I122" s="91">
        <v>49.39</v>
      </c>
      <c r="J122" s="91">
        <v>33.97</v>
      </c>
      <c r="K122" s="91">
        <v>37.64</v>
      </c>
      <c r="L122" s="91">
        <v>40.76</v>
      </c>
      <c r="M122" s="91">
        <v>31.19</v>
      </c>
    </row>
    <row r="123" spans="1:19" x14ac:dyDescent="0.25">
      <c r="A123" s="88" t="s">
        <v>365</v>
      </c>
      <c r="B123" s="89" t="s">
        <v>366</v>
      </c>
      <c r="C123" s="90">
        <v>35.33</v>
      </c>
      <c r="D123" s="91">
        <v>62.79</v>
      </c>
      <c r="E123" s="91">
        <v>25.89</v>
      </c>
      <c r="F123" s="91">
        <v>36.24</v>
      </c>
      <c r="G123" s="91">
        <v>45.16</v>
      </c>
      <c r="H123" s="91">
        <v>35.08</v>
      </c>
      <c r="I123" s="91">
        <v>56.47</v>
      </c>
      <c r="J123" s="91">
        <v>74.3</v>
      </c>
      <c r="K123" s="91">
        <v>58.95</v>
      </c>
      <c r="L123" s="91">
        <v>58.34</v>
      </c>
      <c r="M123" s="91">
        <v>48.85</v>
      </c>
    </row>
    <row r="124" spans="1:19" x14ac:dyDescent="0.25">
      <c r="A124" s="88" t="s">
        <v>367</v>
      </c>
      <c r="B124" s="89" t="s">
        <v>368</v>
      </c>
      <c r="C124" s="90">
        <v>672.58</v>
      </c>
      <c r="D124" s="91">
        <v>708.91</v>
      </c>
      <c r="E124" s="91">
        <v>755.49</v>
      </c>
      <c r="F124" s="91">
        <v>831.87</v>
      </c>
      <c r="G124" s="91">
        <v>921.58</v>
      </c>
      <c r="H124" s="91">
        <v>903.75</v>
      </c>
      <c r="I124" s="91">
        <v>1025.9000000000001</v>
      </c>
      <c r="J124" s="91">
        <v>1039.1300000000001</v>
      </c>
      <c r="K124" s="91">
        <v>1102.3</v>
      </c>
      <c r="L124" s="91">
        <v>1130.94</v>
      </c>
      <c r="M124" s="91">
        <v>909.22</v>
      </c>
    </row>
    <row r="125" spans="1:19" x14ac:dyDescent="0.25">
      <c r="A125" s="92" t="s">
        <v>369</v>
      </c>
      <c r="B125" s="93" t="s">
        <v>370</v>
      </c>
      <c r="C125" s="94">
        <v>726.7</v>
      </c>
      <c r="D125" s="95">
        <v>796.33</v>
      </c>
      <c r="E125" s="95">
        <v>806.45</v>
      </c>
      <c r="F125" s="95">
        <v>895.35</v>
      </c>
      <c r="G125" s="95">
        <v>994.36</v>
      </c>
      <c r="H125" s="95">
        <v>965.69</v>
      </c>
      <c r="I125" s="95">
        <v>1131.77</v>
      </c>
      <c r="J125" s="95">
        <v>1147.4100000000001</v>
      </c>
      <c r="K125" s="95">
        <v>1198.8800000000001</v>
      </c>
      <c r="L125" s="95">
        <v>1230.05</v>
      </c>
      <c r="M125" s="95">
        <v>989.26</v>
      </c>
    </row>
    <row r="126" spans="1:19" ht="20" x14ac:dyDescent="0.25">
      <c r="A126" s="88" t="s">
        <v>371</v>
      </c>
      <c r="B126" s="89" t="s">
        <v>372</v>
      </c>
      <c r="C126" s="90">
        <v>49.12</v>
      </c>
      <c r="D126" s="91">
        <v>58.29</v>
      </c>
      <c r="E126" s="91">
        <v>74.48</v>
      </c>
      <c r="F126" s="91">
        <v>62.9</v>
      </c>
      <c r="G126" s="91">
        <v>95.73</v>
      </c>
      <c r="H126" s="91">
        <v>93.24</v>
      </c>
      <c r="I126" s="91">
        <v>92.4</v>
      </c>
      <c r="J126" s="91">
        <v>125.03</v>
      </c>
      <c r="K126" s="91">
        <v>153.37</v>
      </c>
      <c r="L126" s="91">
        <v>203.55</v>
      </c>
      <c r="M126" s="91">
        <v>100.81</v>
      </c>
    </row>
    <row r="127" spans="1:19" x14ac:dyDescent="0.25">
      <c r="A127" s="88" t="s">
        <v>373</v>
      </c>
      <c r="B127" s="89" t="s">
        <v>374</v>
      </c>
      <c r="C127" s="90">
        <v>11.71</v>
      </c>
      <c r="D127" s="91">
        <v>18.170000000000002</v>
      </c>
      <c r="E127" s="91">
        <v>27.69</v>
      </c>
      <c r="F127" s="91">
        <v>30.89</v>
      </c>
      <c r="G127" s="91">
        <v>31.24</v>
      </c>
      <c r="H127" s="91">
        <v>34.700000000000003</v>
      </c>
      <c r="I127" s="91">
        <v>52.57</v>
      </c>
      <c r="J127" s="91">
        <v>62.38</v>
      </c>
      <c r="K127" s="91">
        <v>73.599999999999994</v>
      </c>
      <c r="L127" s="91">
        <v>97.9</v>
      </c>
      <c r="M127" s="91">
        <v>44.08</v>
      </c>
    </row>
    <row r="128" spans="1:19" ht="20" x14ac:dyDescent="0.25">
      <c r="A128" s="88" t="s">
        <v>375</v>
      </c>
      <c r="B128" s="89" t="s">
        <v>376</v>
      </c>
      <c r="C128" s="90">
        <v>51.24</v>
      </c>
      <c r="D128" s="91">
        <v>45.53</v>
      </c>
      <c r="E128" s="91">
        <v>59.76</v>
      </c>
      <c r="F128" s="91">
        <v>82.17</v>
      </c>
      <c r="G128" s="91">
        <v>98.39</v>
      </c>
      <c r="H128" s="91">
        <v>86.72</v>
      </c>
      <c r="I128" s="91">
        <v>107.13</v>
      </c>
      <c r="J128" s="91">
        <v>121.89</v>
      </c>
      <c r="K128" s="91">
        <v>164.31</v>
      </c>
      <c r="L128" s="91">
        <v>199.89</v>
      </c>
      <c r="M128" s="91">
        <v>101.69</v>
      </c>
    </row>
    <row r="129" spans="1:13" x14ac:dyDescent="0.25">
      <c r="A129" s="88" t="s">
        <v>377</v>
      </c>
      <c r="B129" s="89" t="s">
        <v>378</v>
      </c>
      <c r="C129" s="90">
        <v>50.07</v>
      </c>
      <c r="D129" s="91">
        <v>60.26</v>
      </c>
      <c r="E129" s="91">
        <v>55.28</v>
      </c>
      <c r="F129" s="91">
        <v>72.569999999999993</v>
      </c>
      <c r="G129" s="91">
        <v>81.14</v>
      </c>
      <c r="H129" s="91">
        <v>90.54</v>
      </c>
      <c r="I129" s="91">
        <v>104.2</v>
      </c>
      <c r="J129" s="91">
        <v>114.11</v>
      </c>
      <c r="K129" s="91">
        <v>145.6</v>
      </c>
      <c r="L129" s="91">
        <v>163.98</v>
      </c>
      <c r="M129" s="91">
        <v>93.77</v>
      </c>
    </row>
    <row r="130" spans="1:13" ht="20" x14ac:dyDescent="0.25">
      <c r="A130" s="88" t="s">
        <v>379</v>
      </c>
      <c r="B130" s="89" t="s">
        <v>380</v>
      </c>
      <c r="C130" s="90">
        <v>12.75</v>
      </c>
      <c r="D130" s="91">
        <v>10.61</v>
      </c>
      <c r="E130" s="91">
        <v>5.34</v>
      </c>
      <c r="F130" s="91">
        <v>8.33</v>
      </c>
      <c r="G130" s="91">
        <v>19.14</v>
      </c>
      <c r="H130" s="91">
        <v>18.14</v>
      </c>
      <c r="I130" s="91">
        <v>36.92</v>
      </c>
      <c r="J130" s="91">
        <v>22</v>
      </c>
      <c r="K130" s="91">
        <v>285.89999999999998</v>
      </c>
      <c r="L130" s="91">
        <v>60.46</v>
      </c>
      <c r="M130" s="91">
        <v>47.93</v>
      </c>
    </row>
    <row r="131" spans="1:13" x14ac:dyDescent="0.25">
      <c r="A131" s="88" t="s">
        <v>381</v>
      </c>
      <c r="B131" s="89" t="s">
        <v>382</v>
      </c>
      <c r="C131" s="90">
        <v>72.61</v>
      </c>
      <c r="D131" s="91">
        <v>80.61</v>
      </c>
      <c r="E131" s="91">
        <v>107.57</v>
      </c>
      <c r="F131" s="91">
        <v>132.33000000000001</v>
      </c>
      <c r="G131" s="91">
        <v>128.91999999999999</v>
      </c>
      <c r="H131" s="91">
        <v>130.78</v>
      </c>
      <c r="I131" s="91">
        <v>184.22</v>
      </c>
      <c r="J131" s="91">
        <v>169.85</v>
      </c>
      <c r="K131" s="91">
        <v>242.54</v>
      </c>
      <c r="L131" s="91">
        <v>217.1</v>
      </c>
      <c r="M131" s="91">
        <v>146.63999999999999</v>
      </c>
    </row>
    <row r="132" spans="1:13" x14ac:dyDescent="0.25">
      <c r="A132" s="88" t="s">
        <v>383</v>
      </c>
      <c r="B132" s="89" t="s">
        <v>384</v>
      </c>
      <c r="C132" s="90">
        <v>79.86</v>
      </c>
      <c r="D132" s="91">
        <v>119.55</v>
      </c>
      <c r="E132" s="91">
        <v>130.51</v>
      </c>
      <c r="F132" s="91">
        <v>141.38999999999999</v>
      </c>
      <c r="G132" s="91">
        <v>179.57</v>
      </c>
      <c r="H132" s="91">
        <v>174.12</v>
      </c>
      <c r="I132" s="91">
        <v>258.39</v>
      </c>
      <c r="J132" s="91">
        <v>260.20999999999998</v>
      </c>
      <c r="K132" s="91">
        <v>253.08</v>
      </c>
      <c r="L132" s="91">
        <v>402.8</v>
      </c>
      <c r="M132" s="91">
        <v>199.93</v>
      </c>
    </row>
    <row r="133" spans="1:13" x14ac:dyDescent="0.25">
      <c r="A133" s="88" t="s">
        <v>385</v>
      </c>
      <c r="B133" s="89" t="s">
        <v>386</v>
      </c>
      <c r="C133" s="90">
        <v>92.11</v>
      </c>
      <c r="D133" s="91">
        <v>106.13</v>
      </c>
      <c r="E133" s="91">
        <v>108.11</v>
      </c>
      <c r="F133" s="91">
        <v>120.13</v>
      </c>
      <c r="G133" s="91">
        <v>115.72</v>
      </c>
      <c r="H133" s="91">
        <v>150.25</v>
      </c>
      <c r="I133" s="91">
        <v>156.86000000000001</v>
      </c>
      <c r="J133" s="91">
        <v>163.5</v>
      </c>
      <c r="K133" s="91">
        <v>144.46</v>
      </c>
      <c r="L133" s="91">
        <v>141.88999999999999</v>
      </c>
      <c r="M133" s="91">
        <v>129.91999999999999</v>
      </c>
    </row>
    <row r="134" spans="1:13" x14ac:dyDescent="0.25">
      <c r="A134" s="88" t="s">
        <v>387</v>
      </c>
      <c r="B134" s="89" t="s">
        <v>388</v>
      </c>
      <c r="C134" s="90">
        <v>85.35</v>
      </c>
      <c r="D134" s="91">
        <v>144.22</v>
      </c>
      <c r="E134" s="91">
        <v>129.96</v>
      </c>
      <c r="F134" s="91">
        <v>184.72</v>
      </c>
      <c r="G134" s="91">
        <v>232.87</v>
      </c>
      <c r="H134" s="91">
        <v>267.89</v>
      </c>
      <c r="I134" s="91">
        <v>282.22000000000003</v>
      </c>
      <c r="J134" s="91">
        <v>352.11</v>
      </c>
      <c r="K134" s="91">
        <v>387.22</v>
      </c>
      <c r="L134" s="91">
        <v>529.21</v>
      </c>
      <c r="M134" s="91">
        <v>259.57</v>
      </c>
    </row>
    <row r="135" spans="1:13" x14ac:dyDescent="0.25">
      <c r="A135" s="88" t="s">
        <v>389</v>
      </c>
      <c r="B135" s="89" t="s">
        <v>390</v>
      </c>
      <c r="C135" s="90">
        <v>174.88</v>
      </c>
      <c r="D135" s="91">
        <v>222.85</v>
      </c>
      <c r="E135" s="91">
        <v>272.26</v>
      </c>
      <c r="F135" s="91">
        <v>345.51</v>
      </c>
      <c r="G135" s="91">
        <v>403.91</v>
      </c>
      <c r="H135" s="91">
        <v>418.23</v>
      </c>
      <c r="I135" s="91">
        <v>503.85</v>
      </c>
      <c r="J135" s="91">
        <v>547.66</v>
      </c>
      <c r="K135" s="91">
        <v>607.48</v>
      </c>
      <c r="L135" s="91">
        <v>754.76</v>
      </c>
      <c r="M135" s="91">
        <v>425.12</v>
      </c>
    </row>
    <row r="136" spans="1:13" x14ac:dyDescent="0.25">
      <c r="A136" s="88" t="s">
        <v>391</v>
      </c>
      <c r="B136" s="89" t="s">
        <v>392</v>
      </c>
      <c r="C136" s="90">
        <v>27.02</v>
      </c>
      <c r="D136" s="91">
        <v>32.93</v>
      </c>
      <c r="E136" s="91">
        <v>42.31</v>
      </c>
      <c r="F136" s="91">
        <v>57.27</v>
      </c>
      <c r="G136" s="91">
        <v>81.44</v>
      </c>
      <c r="H136" s="91">
        <v>65.709999999999994</v>
      </c>
      <c r="I136" s="91">
        <v>60.36</v>
      </c>
      <c r="J136" s="91">
        <v>103.45</v>
      </c>
      <c r="K136" s="91">
        <v>112.72</v>
      </c>
      <c r="L136" s="91">
        <v>69.540000000000006</v>
      </c>
      <c r="M136" s="91">
        <v>65.28</v>
      </c>
    </row>
    <row r="137" spans="1:13" x14ac:dyDescent="0.25">
      <c r="A137" s="88" t="s">
        <v>393</v>
      </c>
      <c r="B137" s="89" t="s">
        <v>394</v>
      </c>
      <c r="C137" s="90">
        <v>47.66</v>
      </c>
      <c r="D137" s="91">
        <v>41.02</v>
      </c>
      <c r="E137" s="91">
        <v>49.14</v>
      </c>
      <c r="F137" s="91">
        <v>53.8</v>
      </c>
      <c r="G137" s="91">
        <v>64.67</v>
      </c>
      <c r="H137" s="91">
        <v>72.97</v>
      </c>
      <c r="I137" s="91">
        <v>96.42</v>
      </c>
      <c r="J137" s="91">
        <v>119.73</v>
      </c>
      <c r="K137" s="91">
        <v>184.38</v>
      </c>
      <c r="L137" s="91">
        <v>204.29</v>
      </c>
      <c r="M137" s="91">
        <v>93.39</v>
      </c>
    </row>
    <row r="138" spans="1:13" x14ac:dyDescent="0.25">
      <c r="A138" s="88" t="s">
        <v>395</v>
      </c>
      <c r="B138" s="89" t="s">
        <v>396</v>
      </c>
      <c r="C138" s="90">
        <v>88.89</v>
      </c>
      <c r="D138" s="91">
        <v>102.68</v>
      </c>
      <c r="E138" s="91">
        <v>128.93</v>
      </c>
      <c r="F138" s="91">
        <v>154.09</v>
      </c>
      <c r="G138" s="91">
        <v>146.26</v>
      </c>
      <c r="H138" s="91">
        <v>145.84</v>
      </c>
      <c r="I138" s="91">
        <v>190.96</v>
      </c>
      <c r="J138" s="91">
        <v>193.95</v>
      </c>
      <c r="K138" s="91">
        <v>222.39</v>
      </c>
      <c r="L138" s="91">
        <v>336.96</v>
      </c>
      <c r="M138" s="91">
        <v>171.08</v>
      </c>
    </row>
    <row r="139" spans="1:13" x14ac:dyDescent="0.25">
      <c r="A139" s="88" t="s">
        <v>397</v>
      </c>
      <c r="B139" s="89" t="s">
        <v>398</v>
      </c>
      <c r="C139" s="90">
        <v>6.84</v>
      </c>
      <c r="D139" s="91">
        <v>7.27</v>
      </c>
      <c r="E139" s="91">
        <v>11.36</v>
      </c>
      <c r="F139" s="91">
        <v>13.25</v>
      </c>
      <c r="G139" s="91">
        <v>18.07</v>
      </c>
      <c r="H139" s="91">
        <v>24.62</v>
      </c>
      <c r="I139" s="91">
        <v>31.63</v>
      </c>
      <c r="J139" s="91">
        <v>26.93</v>
      </c>
      <c r="K139" s="91">
        <v>26.96</v>
      </c>
      <c r="L139" s="91">
        <v>27.97</v>
      </c>
      <c r="M139" s="91">
        <v>19.489999999999998</v>
      </c>
    </row>
    <row r="140" spans="1:13" x14ac:dyDescent="0.25">
      <c r="A140" s="88" t="s">
        <v>399</v>
      </c>
      <c r="B140" s="89" t="s">
        <v>400</v>
      </c>
      <c r="C140" s="90">
        <v>44.39</v>
      </c>
      <c r="D140" s="91">
        <v>35.92</v>
      </c>
      <c r="E140" s="91">
        <v>59.51</v>
      </c>
      <c r="F140" s="91">
        <v>52.82</v>
      </c>
      <c r="G140" s="91">
        <v>49.97</v>
      </c>
      <c r="H140" s="91">
        <v>48.99</v>
      </c>
      <c r="I140" s="91">
        <v>76.81</v>
      </c>
      <c r="J140" s="91">
        <v>62.39</v>
      </c>
      <c r="K140" s="91">
        <v>71.150000000000006</v>
      </c>
      <c r="L140" s="91">
        <v>85.72</v>
      </c>
      <c r="M140" s="91">
        <v>58.76</v>
      </c>
    </row>
    <row r="141" spans="1:13" x14ac:dyDescent="0.25">
      <c r="A141" s="88" t="s">
        <v>401</v>
      </c>
      <c r="B141" s="89" t="s">
        <v>402</v>
      </c>
      <c r="C141" s="90">
        <v>80.52</v>
      </c>
      <c r="D141" s="91">
        <v>119.84</v>
      </c>
      <c r="E141" s="91">
        <v>129.19</v>
      </c>
      <c r="F141" s="91">
        <v>179.15</v>
      </c>
      <c r="G141" s="91">
        <v>209.32</v>
      </c>
      <c r="H141" s="91">
        <v>236.79</v>
      </c>
      <c r="I141" s="91">
        <v>279.54000000000002</v>
      </c>
      <c r="J141" s="91">
        <v>479.9</v>
      </c>
      <c r="K141" s="91">
        <v>583.84</v>
      </c>
      <c r="L141" s="91">
        <v>1076.74</v>
      </c>
      <c r="M141" s="91">
        <v>337.44</v>
      </c>
    </row>
    <row r="142" spans="1:13" x14ac:dyDescent="0.25">
      <c r="A142" s="88" t="s">
        <v>403</v>
      </c>
      <c r="B142" s="89" t="s">
        <v>404</v>
      </c>
      <c r="C142" s="90">
        <v>44.41</v>
      </c>
      <c r="D142" s="91">
        <v>73.08</v>
      </c>
      <c r="E142" s="91">
        <v>77.81</v>
      </c>
      <c r="F142" s="91">
        <v>111.39</v>
      </c>
      <c r="G142" s="91">
        <v>119.26</v>
      </c>
      <c r="H142" s="91">
        <v>159.1</v>
      </c>
      <c r="I142" s="91">
        <v>165.02</v>
      </c>
      <c r="J142" s="91">
        <v>235.09</v>
      </c>
      <c r="K142" s="91">
        <v>267.23</v>
      </c>
      <c r="L142" s="91">
        <v>394.89</v>
      </c>
      <c r="M142" s="91">
        <v>164.72</v>
      </c>
    </row>
    <row r="143" spans="1:13" x14ac:dyDescent="0.25">
      <c r="A143" s="92" t="s">
        <v>405</v>
      </c>
      <c r="B143" s="93" t="s">
        <v>406</v>
      </c>
      <c r="C143" s="94">
        <v>1019.43</v>
      </c>
      <c r="D143" s="95">
        <v>1278.96</v>
      </c>
      <c r="E143" s="95">
        <v>1469.21</v>
      </c>
      <c r="F143" s="95">
        <v>1802.7</v>
      </c>
      <c r="G143" s="95">
        <v>2075.62</v>
      </c>
      <c r="H143" s="95">
        <v>2218.62</v>
      </c>
      <c r="I143" s="95">
        <v>2679.48</v>
      </c>
      <c r="J143" s="95">
        <v>3160.17</v>
      </c>
      <c r="K143" s="95">
        <v>3926.22</v>
      </c>
      <c r="L143" s="95">
        <v>4967.6499999999996</v>
      </c>
      <c r="M143" s="95">
        <v>2459.61</v>
      </c>
    </row>
    <row r="144" spans="1:13" x14ac:dyDescent="0.25">
      <c r="A144" s="88" t="s">
        <v>407</v>
      </c>
      <c r="B144" s="89" t="s">
        <v>408</v>
      </c>
      <c r="C144" s="90">
        <v>8.1</v>
      </c>
      <c r="D144" s="91">
        <v>7.39</v>
      </c>
      <c r="E144" s="91">
        <v>9.9600000000000009</v>
      </c>
      <c r="F144" s="91">
        <v>25.67</v>
      </c>
      <c r="G144" s="91">
        <v>24.11</v>
      </c>
      <c r="H144" s="91">
        <v>17.34</v>
      </c>
      <c r="I144" s="91">
        <v>16.7</v>
      </c>
      <c r="J144" s="91">
        <v>15.77</v>
      </c>
      <c r="K144" s="91">
        <v>16.420000000000002</v>
      </c>
      <c r="L144" s="91">
        <v>43.39</v>
      </c>
      <c r="M144" s="91">
        <v>18.48</v>
      </c>
    </row>
    <row r="145" spans="1:13" x14ac:dyDescent="0.25">
      <c r="A145" s="88" t="s">
        <v>409</v>
      </c>
      <c r="B145" s="89" t="s">
        <v>410</v>
      </c>
      <c r="C145" s="90">
        <v>47.44</v>
      </c>
      <c r="D145" s="91">
        <v>36.659999999999997</v>
      </c>
      <c r="E145" s="91">
        <v>37.869999999999997</v>
      </c>
      <c r="F145" s="91">
        <v>47.72</v>
      </c>
      <c r="G145" s="91">
        <v>59.45</v>
      </c>
      <c r="H145" s="91">
        <v>54.95</v>
      </c>
      <c r="I145" s="91">
        <v>71.67</v>
      </c>
      <c r="J145" s="91">
        <v>67.98</v>
      </c>
      <c r="K145" s="91">
        <v>110.7</v>
      </c>
      <c r="L145" s="91">
        <v>52.51</v>
      </c>
      <c r="M145" s="91">
        <v>58.69</v>
      </c>
    </row>
    <row r="146" spans="1:13" x14ac:dyDescent="0.25">
      <c r="A146" s="88" t="s">
        <v>411</v>
      </c>
      <c r="B146" s="89" t="s">
        <v>412</v>
      </c>
      <c r="C146" s="90">
        <v>55.51</v>
      </c>
      <c r="D146" s="91">
        <v>72.64</v>
      </c>
      <c r="E146" s="91">
        <v>67.73</v>
      </c>
      <c r="F146" s="91">
        <v>44.19</v>
      </c>
      <c r="G146" s="91">
        <v>30.82</v>
      </c>
      <c r="H146" s="91">
        <v>50.73</v>
      </c>
      <c r="I146" s="91">
        <v>91.03</v>
      </c>
      <c r="J146" s="91">
        <v>75.739999999999995</v>
      </c>
      <c r="K146" s="91">
        <v>60.62</v>
      </c>
      <c r="L146" s="91">
        <v>190.6</v>
      </c>
      <c r="M146" s="91">
        <v>73.95</v>
      </c>
    </row>
    <row r="147" spans="1:13" x14ac:dyDescent="0.25">
      <c r="A147" s="88" t="s">
        <v>413</v>
      </c>
      <c r="B147" s="89" t="s">
        <v>414</v>
      </c>
      <c r="C147" s="90">
        <v>5.74</v>
      </c>
      <c r="D147" s="91">
        <v>12.96</v>
      </c>
      <c r="E147" s="91">
        <v>5.9</v>
      </c>
      <c r="F147" s="91">
        <v>17.5</v>
      </c>
      <c r="G147" s="91">
        <v>7.53</v>
      </c>
      <c r="H147" s="91">
        <v>41.23</v>
      </c>
      <c r="I147" s="91">
        <v>57.38</v>
      </c>
      <c r="J147" s="91">
        <v>39.729999999999997</v>
      </c>
      <c r="K147" s="91">
        <v>21.98</v>
      </c>
      <c r="L147" s="91">
        <v>64.28</v>
      </c>
      <c r="M147" s="91">
        <v>27.42</v>
      </c>
    </row>
    <row r="148" spans="1:13" x14ac:dyDescent="0.25">
      <c r="A148" s="88" t="s">
        <v>415</v>
      </c>
      <c r="B148" s="89" t="s">
        <v>416</v>
      </c>
      <c r="C148" s="90">
        <v>1.1200000000000001</v>
      </c>
      <c r="D148" s="91">
        <v>4.2</v>
      </c>
      <c r="E148" s="91">
        <v>16.39</v>
      </c>
      <c r="F148" s="91">
        <v>0.99</v>
      </c>
      <c r="G148" s="91">
        <v>2.72</v>
      </c>
      <c r="H148" s="91">
        <v>4.8600000000000003</v>
      </c>
      <c r="I148" s="91">
        <v>10.1</v>
      </c>
      <c r="J148" s="91">
        <v>7.81</v>
      </c>
      <c r="K148" s="91">
        <v>26.06</v>
      </c>
      <c r="L148" s="91">
        <v>25.97</v>
      </c>
      <c r="M148" s="91">
        <v>10.02</v>
      </c>
    </row>
    <row r="149" spans="1:13" x14ac:dyDescent="0.25">
      <c r="A149" s="92" t="s">
        <v>417</v>
      </c>
      <c r="B149" s="93" t="s">
        <v>418</v>
      </c>
      <c r="C149" s="94">
        <v>117.9</v>
      </c>
      <c r="D149" s="95">
        <v>133.85</v>
      </c>
      <c r="E149" s="95">
        <v>137.85</v>
      </c>
      <c r="F149" s="95">
        <v>136.07</v>
      </c>
      <c r="G149" s="95">
        <v>124.63</v>
      </c>
      <c r="H149" s="95">
        <v>169.11</v>
      </c>
      <c r="I149" s="95">
        <v>246.89</v>
      </c>
      <c r="J149" s="95">
        <v>207.03</v>
      </c>
      <c r="K149" s="95">
        <v>235.78</v>
      </c>
      <c r="L149" s="95">
        <v>376.76</v>
      </c>
      <c r="M149" s="95">
        <v>188.56</v>
      </c>
    </row>
    <row r="150" spans="1:13" x14ac:dyDescent="0.25">
      <c r="A150" s="92" t="s">
        <v>419</v>
      </c>
      <c r="B150" s="93" t="s">
        <v>420</v>
      </c>
      <c r="C150" s="94">
        <v>60.96</v>
      </c>
      <c r="D150" s="95">
        <v>68.88</v>
      </c>
      <c r="E150" s="95">
        <v>114.55</v>
      </c>
      <c r="F150" s="95">
        <v>117.5</v>
      </c>
      <c r="G150" s="95">
        <v>139.13</v>
      </c>
      <c r="H150" s="95">
        <v>160.09</v>
      </c>
      <c r="I150" s="95">
        <v>205.19</v>
      </c>
      <c r="J150" s="95">
        <v>276.52999999999997</v>
      </c>
      <c r="K150" s="95">
        <v>344.19</v>
      </c>
      <c r="L150" s="95">
        <v>464.47</v>
      </c>
      <c r="M150" s="95">
        <v>195.13</v>
      </c>
    </row>
    <row r="151" spans="1:13" x14ac:dyDescent="0.25">
      <c r="A151" s="88" t="s">
        <v>421</v>
      </c>
      <c r="B151" s="89" t="s">
        <v>422</v>
      </c>
      <c r="C151" s="90">
        <v>79.03</v>
      </c>
      <c r="D151" s="91">
        <v>139.6</v>
      </c>
      <c r="E151" s="91">
        <v>149.4</v>
      </c>
      <c r="F151" s="91">
        <v>167.98</v>
      </c>
      <c r="G151" s="91">
        <v>197.46</v>
      </c>
      <c r="H151" s="91">
        <v>245.76</v>
      </c>
      <c r="I151" s="91">
        <v>293.45999999999998</v>
      </c>
      <c r="J151" s="91">
        <v>307.26</v>
      </c>
      <c r="K151" s="91">
        <v>422.93</v>
      </c>
      <c r="L151" s="91">
        <v>526.36</v>
      </c>
      <c r="M151" s="91">
        <v>252.9</v>
      </c>
    </row>
    <row r="152" spans="1:13" x14ac:dyDescent="0.25">
      <c r="A152" s="88" t="s">
        <v>423</v>
      </c>
      <c r="B152" s="89" t="s">
        <v>424</v>
      </c>
      <c r="C152" s="90">
        <v>228.45</v>
      </c>
      <c r="D152" s="91">
        <v>239.18</v>
      </c>
      <c r="E152" s="91">
        <v>315.99</v>
      </c>
      <c r="F152" s="91">
        <v>299.11</v>
      </c>
      <c r="G152" s="91">
        <v>360.16</v>
      </c>
      <c r="H152" s="91">
        <v>370.26</v>
      </c>
      <c r="I152" s="91">
        <v>436.2</v>
      </c>
      <c r="J152" s="91">
        <v>507.74</v>
      </c>
      <c r="K152" s="91">
        <v>509.51</v>
      </c>
      <c r="L152" s="91">
        <v>579.59</v>
      </c>
      <c r="M152" s="91">
        <v>384.61</v>
      </c>
    </row>
    <row r="153" spans="1:13" x14ac:dyDescent="0.25">
      <c r="A153" s="88" t="s">
        <v>425</v>
      </c>
      <c r="B153" s="89" t="s">
        <v>426</v>
      </c>
      <c r="C153" s="90">
        <v>29.27</v>
      </c>
      <c r="D153" s="91">
        <v>37.22</v>
      </c>
      <c r="E153" s="91">
        <v>27.07</v>
      </c>
      <c r="F153" s="91">
        <v>58.74</v>
      </c>
      <c r="G153" s="91">
        <v>52.13</v>
      </c>
      <c r="H153" s="91">
        <v>63.56</v>
      </c>
      <c r="I153" s="91">
        <v>66.739999999999995</v>
      </c>
      <c r="J153" s="91">
        <v>68.52</v>
      </c>
      <c r="K153" s="91">
        <v>127.97</v>
      </c>
      <c r="L153" s="91">
        <v>161.25</v>
      </c>
      <c r="M153" s="91">
        <v>69.239999999999995</v>
      </c>
    </row>
    <row r="154" spans="1:13" x14ac:dyDescent="0.25">
      <c r="A154" s="88" t="s">
        <v>427</v>
      </c>
      <c r="B154" s="89" t="s">
        <v>428</v>
      </c>
      <c r="C154" s="90">
        <v>38.99</v>
      </c>
      <c r="D154" s="91">
        <v>27.1</v>
      </c>
      <c r="E154" s="91">
        <v>44.44</v>
      </c>
      <c r="F154" s="91">
        <v>34.6</v>
      </c>
      <c r="G154" s="91">
        <v>64.03</v>
      </c>
      <c r="H154" s="91">
        <v>58.14</v>
      </c>
      <c r="I154" s="91">
        <v>98.9</v>
      </c>
      <c r="J154" s="91">
        <v>64.31</v>
      </c>
      <c r="K154" s="91">
        <v>108.64</v>
      </c>
      <c r="L154" s="91">
        <v>131.41</v>
      </c>
      <c r="M154" s="91">
        <v>67.040000000000006</v>
      </c>
    </row>
    <row r="155" spans="1:13" x14ac:dyDescent="0.25">
      <c r="A155" s="88" t="s">
        <v>429</v>
      </c>
      <c r="B155" s="89" t="s">
        <v>430</v>
      </c>
      <c r="C155" s="90">
        <v>29.94</v>
      </c>
      <c r="D155" s="91">
        <v>62.84</v>
      </c>
      <c r="E155" s="91">
        <v>55.35</v>
      </c>
      <c r="F155" s="91">
        <v>78.28</v>
      </c>
      <c r="G155" s="91">
        <v>107.43</v>
      </c>
      <c r="H155" s="91">
        <v>148.66999999999999</v>
      </c>
      <c r="I155" s="91">
        <v>187.7</v>
      </c>
      <c r="J155" s="91">
        <v>197.57</v>
      </c>
      <c r="K155" s="91">
        <v>383.99</v>
      </c>
      <c r="L155" s="91">
        <v>245.93</v>
      </c>
      <c r="M155" s="91">
        <v>149.75</v>
      </c>
    </row>
    <row r="156" spans="1:13" x14ac:dyDescent="0.25">
      <c r="A156" s="88" t="s">
        <v>431</v>
      </c>
      <c r="B156" s="89" t="s">
        <v>432</v>
      </c>
      <c r="C156" s="90">
        <v>17.71</v>
      </c>
      <c r="D156" s="91">
        <v>25.43</v>
      </c>
      <c r="E156" s="91">
        <v>24.36</v>
      </c>
      <c r="F156" s="91">
        <v>46.62</v>
      </c>
      <c r="G156" s="91">
        <v>40.51</v>
      </c>
      <c r="H156" s="91">
        <v>37.53</v>
      </c>
      <c r="I156" s="91">
        <v>46.11</v>
      </c>
      <c r="J156" s="91">
        <v>78.150000000000006</v>
      </c>
      <c r="K156" s="91">
        <v>48.69</v>
      </c>
      <c r="L156" s="91">
        <v>84.07</v>
      </c>
      <c r="M156" s="91">
        <v>44.92</v>
      </c>
    </row>
    <row r="157" spans="1:13" x14ac:dyDescent="0.25">
      <c r="A157" s="88" t="s">
        <v>433</v>
      </c>
      <c r="B157" s="89" t="s">
        <v>434</v>
      </c>
      <c r="C157" s="90">
        <v>192.24</v>
      </c>
      <c r="D157" s="91">
        <v>236.94</v>
      </c>
      <c r="E157" s="91">
        <v>260.23</v>
      </c>
      <c r="F157" s="91">
        <v>241.17</v>
      </c>
      <c r="G157" s="91">
        <v>243.59</v>
      </c>
      <c r="H157" s="91">
        <v>265.54000000000002</v>
      </c>
      <c r="I157" s="91">
        <v>285.08</v>
      </c>
      <c r="J157" s="91">
        <v>320.31</v>
      </c>
      <c r="K157" s="91">
        <v>321.37</v>
      </c>
      <c r="L157" s="91">
        <v>516.82000000000005</v>
      </c>
      <c r="M157" s="91">
        <v>288.32</v>
      </c>
    </row>
    <row r="158" spans="1:13" x14ac:dyDescent="0.25">
      <c r="A158" s="88" t="s">
        <v>435</v>
      </c>
      <c r="B158" s="89" t="s">
        <v>436</v>
      </c>
      <c r="C158" s="90">
        <v>506.23</v>
      </c>
      <c r="D158" s="91">
        <v>688.46</v>
      </c>
      <c r="E158" s="91">
        <v>796.75</v>
      </c>
      <c r="F158" s="91">
        <v>777.68</v>
      </c>
      <c r="G158" s="91">
        <v>806.23</v>
      </c>
      <c r="H158" s="91">
        <v>857.04</v>
      </c>
      <c r="I158" s="91">
        <v>876.23</v>
      </c>
      <c r="J158" s="91">
        <v>868.3</v>
      </c>
      <c r="K158" s="91">
        <v>1002.65</v>
      </c>
      <c r="L158" s="91">
        <v>1229.83</v>
      </c>
      <c r="M158" s="91">
        <v>840.95</v>
      </c>
    </row>
    <row r="159" spans="1:13" x14ac:dyDescent="0.25">
      <c r="A159" s="88" t="s">
        <v>437</v>
      </c>
      <c r="B159" s="89" t="s">
        <v>438</v>
      </c>
      <c r="C159" s="90">
        <v>359.1</v>
      </c>
      <c r="D159" s="91">
        <v>393.12</v>
      </c>
      <c r="E159" s="91">
        <v>494.42</v>
      </c>
      <c r="F159" s="91">
        <v>533.07000000000005</v>
      </c>
      <c r="G159" s="91">
        <v>614.9</v>
      </c>
      <c r="H159" s="91">
        <v>669.17</v>
      </c>
      <c r="I159" s="91">
        <v>704.19</v>
      </c>
      <c r="J159" s="91">
        <v>755.91</v>
      </c>
      <c r="K159" s="91">
        <v>731.67</v>
      </c>
      <c r="L159" s="91">
        <v>883.48</v>
      </c>
      <c r="M159" s="91">
        <v>613.91</v>
      </c>
    </row>
    <row r="160" spans="1:13" x14ac:dyDescent="0.25">
      <c r="A160" s="88" t="s">
        <v>439</v>
      </c>
      <c r="B160" s="89" t="s">
        <v>440</v>
      </c>
      <c r="C160" s="90">
        <v>90.2</v>
      </c>
      <c r="D160" s="91">
        <v>74.44</v>
      </c>
      <c r="E160" s="91">
        <v>83.75</v>
      </c>
      <c r="F160" s="91">
        <v>111.09</v>
      </c>
      <c r="G160" s="91">
        <v>134.32</v>
      </c>
      <c r="H160" s="91">
        <v>121.57</v>
      </c>
      <c r="I160" s="91">
        <v>186</v>
      </c>
      <c r="J160" s="91">
        <v>209.18</v>
      </c>
      <c r="K160" s="91">
        <v>231.82</v>
      </c>
      <c r="L160" s="91">
        <v>365.18</v>
      </c>
      <c r="M160" s="91">
        <v>160.72999999999999</v>
      </c>
    </row>
    <row r="161" spans="1:13" x14ac:dyDescent="0.25">
      <c r="A161" s="88" t="s">
        <v>441</v>
      </c>
      <c r="B161" s="89" t="s">
        <v>442</v>
      </c>
      <c r="C161" s="90">
        <v>60.21</v>
      </c>
      <c r="D161" s="91">
        <v>64.22</v>
      </c>
      <c r="E161" s="91">
        <v>71.08</v>
      </c>
      <c r="F161" s="91">
        <v>84.46</v>
      </c>
      <c r="G161" s="91">
        <v>93.06</v>
      </c>
      <c r="H161" s="91">
        <v>91.25</v>
      </c>
      <c r="I161" s="91">
        <v>127.09</v>
      </c>
      <c r="J161" s="91">
        <v>120.47</v>
      </c>
      <c r="K161" s="91">
        <v>124.39</v>
      </c>
      <c r="L161" s="91">
        <v>188.69</v>
      </c>
      <c r="M161" s="91">
        <v>102.48</v>
      </c>
    </row>
    <row r="162" spans="1:13" x14ac:dyDescent="0.25">
      <c r="A162" s="88" t="s">
        <v>443</v>
      </c>
      <c r="B162" s="89" t="s">
        <v>444</v>
      </c>
      <c r="C162" s="90">
        <v>270.12</v>
      </c>
      <c r="D162" s="91">
        <v>148.25</v>
      </c>
      <c r="E162" s="91">
        <v>146.76</v>
      </c>
      <c r="F162" s="91">
        <v>181.11</v>
      </c>
      <c r="G162" s="91">
        <v>480.99</v>
      </c>
      <c r="H162" s="91">
        <v>273.47000000000003</v>
      </c>
      <c r="I162" s="91">
        <v>407.63</v>
      </c>
      <c r="J162" s="91">
        <v>491.19</v>
      </c>
      <c r="K162" s="91">
        <v>645.03</v>
      </c>
      <c r="L162" s="91">
        <v>775.44</v>
      </c>
      <c r="M162" s="91">
        <v>381.92</v>
      </c>
    </row>
    <row r="163" spans="1:13" x14ac:dyDescent="0.25">
      <c r="A163" s="88" t="s">
        <v>445</v>
      </c>
      <c r="B163" s="89" t="s">
        <v>446</v>
      </c>
      <c r="C163" s="90">
        <v>49.54</v>
      </c>
      <c r="D163" s="91">
        <v>18.329999999999998</v>
      </c>
      <c r="E163" s="91">
        <v>11.14</v>
      </c>
      <c r="F163" s="91">
        <v>21.45</v>
      </c>
      <c r="G163" s="91">
        <v>15.85</v>
      </c>
      <c r="H163" s="91">
        <v>19.8</v>
      </c>
      <c r="I163" s="91">
        <v>24.93</v>
      </c>
      <c r="J163" s="91">
        <v>39.090000000000003</v>
      </c>
      <c r="K163" s="91">
        <v>25.36</v>
      </c>
      <c r="L163" s="91">
        <v>48.49</v>
      </c>
      <c r="M163" s="91">
        <v>27.39</v>
      </c>
    </row>
    <row r="164" spans="1:13" x14ac:dyDescent="0.25">
      <c r="A164" s="92" t="s">
        <v>447</v>
      </c>
      <c r="B164" s="93" t="s">
        <v>448</v>
      </c>
      <c r="C164" s="94">
        <v>1951.03</v>
      </c>
      <c r="D164" s="95">
        <v>2155.13</v>
      </c>
      <c r="E164" s="95">
        <v>2480.7399999999998</v>
      </c>
      <c r="F164" s="95">
        <v>2635.36</v>
      </c>
      <c r="G164" s="95">
        <v>3210.64</v>
      </c>
      <c r="H164" s="95">
        <v>3221.77</v>
      </c>
      <c r="I164" s="95">
        <v>3740.27</v>
      </c>
      <c r="J164" s="95">
        <v>4028</v>
      </c>
      <c r="K164" s="95">
        <v>4684.01</v>
      </c>
      <c r="L164" s="95">
        <v>5736.55</v>
      </c>
      <c r="M164" s="95">
        <v>3384.16</v>
      </c>
    </row>
    <row r="165" spans="1:13" x14ac:dyDescent="0.25">
      <c r="A165" s="97"/>
      <c r="B165" s="85" t="s">
        <v>449</v>
      </c>
      <c r="C165" s="86">
        <v>12603.79</v>
      </c>
      <c r="D165" s="87">
        <v>14157.32</v>
      </c>
      <c r="E165" s="87">
        <v>16450.23</v>
      </c>
      <c r="F165" s="87">
        <v>18129.87</v>
      </c>
      <c r="G165" s="87">
        <v>19333.689999999999</v>
      </c>
      <c r="H165" s="87">
        <v>20687.16</v>
      </c>
      <c r="I165" s="87">
        <v>23404.59</v>
      </c>
      <c r="J165" s="87">
        <v>25041.38</v>
      </c>
      <c r="K165" s="87">
        <v>28234.02</v>
      </c>
      <c r="L165" s="87">
        <v>35537.72</v>
      </c>
      <c r="M165" s="87">
        <v>21357.119999999999</v>
      </c>
    </row>
    <row r="166" spans="1:13" x14ac:dyDescent="0.25">
      <c r="A166" s="88" t="s">
        <v>450</v>
      </c>
      <c r="B166" s="89" t="s">
        <v>451</v>
      </c>
      <c r="C166" s="90">
        <v>267.89</v>
      </c>
      <c r="D166" s="91">
        <v>331.39</v>
      </c>
      <c r="E166" s="91">
        <v>416.16</v>
      </c>
      <c r="F166" s="91">
        <v>500.17</v>
      </c>
      <c r="G166" s="91">
        <v>564.72</v>
      </c>
      <c r="H166" s="91">
        <v>650.39</v>
      </c>
      <c r="I166" s="91">
        <v>768.55</v>
      </c>
      <c r="J166" s="91">
        <v>955.64</v>
      </c>
      <c r="K166" s="91">
        <v>1158.07</v>
      </c>
      <c r="L166" s="91">
        <v>1709.37</v>
      </c>
      <c r="M166" s="91">
        <v>732.18</v>
      </c>
    </row>
    <row r="167" spans="1:13" x14ac:dyDescent="0.25">
      <c r="A167" s="88" t="s">
        <v>452</v>
      </c>
      <c r="B167" s="89" t="s">
        <v>453</v>
      </c>
      <c r="C167" s="90">
        <v>128.78</v>
      </c>
      <c r="D167" s="91">
        <v>143.43</v>
      </c>
      <c r="E167" s="91">
        <v>181.44</v>
      </c>
      <c r="F167" s="91">
        <v>289.37</v>
      </c>
      <c r="G167" s="91">
        <v>426.12</v>
      </c>
      <c r="H167" s="91">
        <v>736.79</v>
      </c>
      <c r="I167" s="91">
        <v>1048.4000000000001</v>
      </c>
      <c r="J167" s="91">
        <v>1615.87</v>
      </c>
      <c r="K167" s="91">
        <v>2714.3</v>
      </c>
      <c r="L167" s="91">
        <v>7844.37</v>
      </c>
      <c r="M167" s="91">
        <v>1512.47</v>
      </c>
    </row>
    <row r="168" spans="1:13" x14ac:dyDescent="0.25">
      <c r="A168" s="88" t="s">
        <v>454</v>
      </c>
      <c r="B168" s="89" t="s">
        <v>455</v>
      </c>
      <c r="C168" s="90">
        <v>7.92</v>
      </c>
      <c r="D168" s="91">
        <v>12.92</v>
      </c>
      <c r="E168" s="91">
        <v>4.58</v>
      </c>
      <c r="F168" s="91">
        <v>8.09</v>
      </c>
      <c r="G168" s="91">
        <v>14.26</v>
      </c>
      <c r="H168" s="91">
        <v>21.63</v>
      </c>
      <c r="I168" s="91">
        <v>208.95</v>
      </c>
      <c r="J168" s="91">
        <v>19.63</v>
      </c>
      <c r="K168" s="91">
        <v>34.68</v>
      </c>
      <c r="L168" s="91">
        <v>41.19</v>
      </c>
      <c r="M168" s="91">
        <v>37.340000000000003</v>
      </c>
    </row>
    <row r="169" spans="1:13" x14ac:dyDescent="0.25">
      <c r="A169" s="88" t="s">
        <v>456</v>
      </c>
      <c r="B169" s="89" t="s">
        <v>457</v>
      </c>
      <c r="C169" s="90">
        <v>4.21</v>
      </c>
      <c r="D169" s="91">
        <v>4.67</v>
      </c>
      <c r="E169" s="91">
        <v>2.93</v>
      </c>
      <c r="F169" s="91">
        <v>7.28</v>
      </c>
      <c r="G169" s="91">
        <v>14.32</v>
      </c>
      <c r="H169" s="91">
        <v>16.84</v>
      </c>
      <c r="I169" s="91">
        <v>13.75</v>
      </c>
      <c r="J169" s="91">
        <v>50.91</v>
      </c>
      <c r="K169" s="91">
        <v>56.68</v>
      </c>
      <c r="L169" s="91">
        <v>238.85</v>
      </c>
      <c r="M169" s="91">
        <v>41.04</v>
      </c>
    </row>
    <row r="170" spans="1:13" x14ac:dyDescent="0.25">
      <c r="A170" s="88" t="s">
        <v>458</v>
      </c>
      <c r="B170" s="89" t="s">
        <v>459</v>
      </c>
      <c r="C170" s="90">
        <v>445.85</v>
      </c>
      <c r="D170" s="91">
        <v>746.27</v>
      </c>
      <c r="E170" s="91">
        <v>824.36</v>
      </c>
      <c r="F170" s="91">
        <v>893.83</v>
      </c>
      <c r="G170" s="91">
        <v>874.9</v>
      </c>
      <c r="H170" s="91">
        <v>1446.21</v>
      </c>
      <c r="I170" s="91">
        <v>1493.39</v>
      </c>
      <c r="J170" s="91">
        <v>1763.78</v>
      </c>
      <c r="K170" s="91">
        <v>2688.53</v>
      </c>
      <c r="L170" s="91">
        <v>4120.54</v>
      </c>
      <c r="M170" s="91">
        <v>1529.63</v>
      </c>
    </row>
    <row r="171" spans="1:13" x14ac:dyDescent="0.25">
      <c r="A171" s="88" t="s">
        <v>460</v>
      </c>
      <c r="B171" s="89" t="s">
        <v>461</v>
      </c>
      <c r="C171" s="90">
        <v>448.49</v>
      </c>
      <c r="D171" s="91">
        <v>623.24</v>
      </c>
      <c r="E171" s="91">
        <v>1016.73</v>
      </c>
      <c r="F171" s="91">
        <v>1434.56</v>
      </c>
      <c r="G171" s="91">
        <v>1734.48</v>
      </c>
      <c r="H171" s="91">
        <v>1832.49</v>
      </c>
      <c r="I171" s="91">
        <v>2374.89</v>
      </c>
      <c r="J171" s="91">
        <v>2687.43</v>
      </c>
      <c r="K171" s="91">
        <v>3194.49</v>
      </c>
      <c r="L171" s="91">
        <v>4668.46</v>
      </c>
      <c r="M171" s="91">
        <v>2001.35</v>
      </c>
    </row>
    <row r="172" spans="1:13" x14ac:dyDescent="0.25">
      <c r="A172" s="88" t="s">
        <v>462</v>
      </c>
      <c r="B172" s="89" t="s">
        <v>463</v>
      </c>
      <c r="C172" s="90">
        <v>357.18</v>
      </c>
      <c r="D172" s="91">
        <v>496.88</v>
      </c>
      <c r="E172" s="91">
        <v>815.76</v>
      </c>
      <c r="F172" s="91">
        <v>1001.5</v>
      </c>
      <c r="G172" s="91">
        <v>1112.48</v>
      </c>
      <c r="H172" s="91">
        <v>1051.58</v>
      </c>
      <c r="I172" s="91">
        <v>1259.04</v>
      </c>
      <c r="J172" s="91">
        <v>1302.26</v>
      </c>
      <c r="K172" s="91">
        <v>1273.08</v>
      </c>
      <c r="L172" s="91">
        <v>1475.61</v>
      </c>
      <c r="M172" s="91">
        <v>1014.54</v>
      </c>
    </row>
    <row r="173" spans="1:13" x14ac:dyDescent="0.25">
      <c r="A173" s="88" t="s">
        <v>464</v>
      </c>
      <c r="B173" s="89" t="s">
        <v>465</v>
      </c>
      <c r="C173" s="90">
        <v>461.68</v>
      </c>
      <c r="D173" s="91">
        <v>576.22</v>
      </c>
      <c r="E173" s="91">
        <v>810.42</v>
      </c>
      <c r="F173" s="91">
        <v>632.58000000000004</v>
      </c>
      <c r="G173" s="91">
        <v>1069.6300000000001</v>
      </c>
      <c r="H173" s="91">
        <v>1099.5</v>
      </c>
      <c r="I173" s="91">
        <v>1364.15</v>
      </c>
      <c r="J173" s="91">
        <v>1094.49</v>
      </c>
      <c r="K173" s="91">
        <v>2433.0500000000002</v>
      </c>
      <c r="L173" s="91">
        <v>5689.97</v>
      </c>
      <c r="M173" s="91">
        <v>1522.84</v>
      </c>
    </row>
    <row r="174" spans="1:13" x14ac:dyDescent="0.25">
      <c r="A174" s="88" t="s">
        <v>466</v>
      </c>
      <c r="B174" s="89" t="s">
        <v>467</v>
      </c>
      <c r="C174" s="90">
        <v>52.89</v>
      </c>
      <c r="D174" s="91">
        <v>120.64</v>
      </c>
      <c r="E174" s="91">
        <v>188.65</v>
      </c>
      <c r="F174" s="91">
        <v>253.06</v>
      </c>
      <c r="G174" s="91">
        <v>358.49</v>
      </c>
      <c r="H174" s="91">
        <v>389.68</v>
      </c>
      <c r="I174" s="91">
        <v>515.22</v>
      </c>
      <c r="J174" s="91">
        <v>551.13</v>
      </c>
      <c r="K174" s="91">
        <v>727.82</v>
      </c>
      <c r="L174" s="91">
        <v>906.98</v>
      </c>
      <c r="M174" s="91">
        <v>406.41</v>
      </c>
    </row>
    <row r="175" spans="1:13" ht="21" x14ac:dyDescent="0.25">
      <c r="A175" s="98" t="s">
        <v>468</v>
      </c>
      <c r="B175" s="99" t="s">
        <v>469</v>
      </c>
      <c r="C175" s="100">
        <v>2174.89</v>
      </c>
      <c r="D175" s="101">
        <v>3055.66</v>
      </c>
      <c r="E175" s="101">
        <v>4261.03</v>
      </c>
      <c r="F175" s="101">
        <v>5020.45</v>
      </c>
      <c r="G175" s="101">
        <v>6169.39</v>
      </c>
      <c r="H175" s="101">
        <v>7245.11</v>
      </c>
      <c r="I175" s="101">
        <v>9046.35</v>
      </c>
      <c r="J175" s="101">
        <v>10041.129999999999</v>
      </c>
      <c r="K175" s="101">
        <v>14280.72</v>
      </c>
      <c r="L175" s="101">
        <v>26695.34</v>
      </c>
      <c r="M175" s="101">
        <v>8797.7800000000007</v>
      </c>
    </row>
    <row r="176" spans="1:13" x14ac:dyDescent="0.25">
      <c r="A176" s="102" t="s">
        <v>470</v>
      </c>
      <c r="B176" s="102"/>
    </row>
    <row r="177" spans="1:2" x14ac:dyDescent="0.25">
      <c r="A177" s="102" t="s">
        <v>471</v>
      </c>
      <c r="B177" s="102"/>
    </row>
  </sheetData>
  <mergeCells count="3">
    <mergeCell ref="A6:A7"/>
    <mergeCell ref="C6:L6"/>
    <mergeCell ref="M6:M7"/>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37"/>
  <sheetViews>
    <sheetView workbookViewId="0"/>
  </sheetViews>
  <sheetFormatPr baseColWidth="10" defaultColWidth="11.453125" defaultRowHeight="14.5" x14ac:dyDescent="0.35"/>
  <cols>
    <col min="1" max="1" width="29.36328125" customWidth="1"/>
  </cols>
  <sheetData>
    <row r="1" spans="1:4" x14ac:dyDescent="0.35">
      <c r="A1" s="111" t="s">
        <v>485</v>
      </c>
      <c r="B1" s="111"/>
      <c r="C1" s="111"/>
      <c r="D1" s="111"/>
    </row>
    <row r="2" spans="1:4" ht="14.4" x14ac:dyDescent="0.3">
      <c r="B2">
        <v>2002</v>
      </c>
      <c r="C2">
        <v>2006</v>
      </c>
    </row>
    <row r="3" spans="1:4" x14ac:dyDescent="0.35">
      <c r="A3" t="s">
        <v>486</v>
      </c>
      <c r="B3" s="112">
        <v>39.5</v>
      </c>
      <c r="C3" s="112">
        <v>40</v>
      </c>
    </row>
    <row r="4" spans="1:4" ht="14.4" x14ac:dyDescent="0.3">
      <c r="A4" t="s">
        <v>487</v>
      </c>
      <c r="B4" s="112">
        <v>4.0999999999999996</v>
      </c>
      <c r="C4" s="112">
        <v>3.5</v>
      </c>
    </row>
    <row r="5" spans="1:4" x14ac:dyDescent="0.35">
      <c r="A5" t="s">
        <v>488</v>
      </c>
      <c r="B5">
        <v>2.5</v>
      </c>
      <c r="C5">
        <v>2.5</v>
      </c>
    </row>
    <row r="6" spans="1:4" x14ac:dyDescent="0.35">
      <c r="A6" t="s">
        <v>489</v>
      </c>
      <c r="B6">
        <v>19.8</v>
      </c>
      <c r="C6">
        <v>49.4</v>
      </c>
    </row>
    <row r="7" spans="1:4" x14ac:dyDescent="0.35">
      <c r="A7" t="s">
        <v>490</v>
      </c>
      <c r="B7">
        <v>40.1</v>
      </c>
      <c r="C7">
        <v>4.5999999999999996</v>
      </c>
    </row>
    <row r="8" spans="1:4" ht="14.4" x14ac:dyDescent="0.3">
      <c r="A8" t="s">
        <v>491</v>
      </c>
      <c r="B8">
        <v>100</v>
      </c>
      <c r="C8">
        <v>100</v>
      </c>
    </row>
    <row r="10" spans="1:4" x14ac:dyDescent="0.35">
      <c r="A10" s="111" t="s">
        <v>519</v>
      </c>
    </row>
    <row r="11" spans="1:4" x14ac:dyDescent="0.35">
      <c r="B11" t="s">
        <v>495</v>
      </c>
      <c r="C11" t="s">
        <v>496</v>
      </c>
    </row>
    <row r="12" spans="1:4" ht="14.4" x14ac:dyDescent="0.3">
      <c r="A12" t="s">
        <v>492</v>
      </c>
    </row>
    <row r="13" spans="1:4" ht="14.4" x14ac:dyDescent="0.3">
      <c r="A13" t="s">
        <v>497</v>
      </c>
      <c r="B13">
        <v>21</v>
      </c>
      <c r="C13">
        <v>23</v>
      </c>
    </row>
    <row r="14" spans="1:4" ht="14.4" x14ac:dyDescent="0.3">
      <c r="A14" t="s">
        <v>498</v>
      </c>
      <c r="B14">
        <v>79</v>
      </c>
      <c r="C14">
        <v>77</v>
      </c>
    </row>
    <row r="15" spans="1:4" x14ac:dyDescent="0.35">
      <c r="A15" t="s">
        <v>493</v>
      </c>
    </row>
    <row r="16" spans="1:4" ht="14.4" x14ac:dyDescent="0.3">
      <c r="A16" t="s">
        <v>499</v>
      </c>
      <c r="B16">
        <v>4</v>
      </c>
      <c r="C16" s="112">
        <v>4</v>
      </c>
    </row>
    <row r="17" spans="1:7" x14ac:dyDescent="0.35">
      <c r="A17" t="s">
        <v>500</v>
      </c>
      <c r="B17">
        <v>26</v>
      </c>
      <c r="C17" s="112">
        <v>21</v>
      </c>
    </row>
    <row r="18" spans="1:7" x14ac:dyDescent="0.35">
      <c r="A18" t="s">
        <v>501</v>
      </c>
      <c r="B18">
        <v>19</v>
      </c>
      <c r="C18" s="112">
        <v>18</v>
      </c>
    </row>
    <row r="19" spans="1:7" x14ac:dyDescent="0.35">
      <c r="A19" t="s">
        <v>502</v>
      </c>
      <c r="B19">
        <v>49</v>
      </c>
      <c r="C19" s="112">
        <v>43</v>
      </c>
    </row>
    <row r="20" spans="1:7" x14ac:dyDescent="0.35">
      <c r="A20" t="s">
        <v>494</v>
      </c>
    </row>
    <row r="21" spans="1:7" x14ac:dyDescent="0.35">
      <c r="A21" t="s">
        <v>499</v>
      </c>
      <c r="B21">
        <v>25</v>
      </c>
      <c r="C21">
        <v>25</v>
      </c>
    </row>
    <row r="22" spans="1:7" x14ac:dyDescent="0.35">
      <c r="A22" t="s">
        <v>500</v>
      </c>
      <c r="B22">
        <v>13</v>
      </c>
      <c r="C22">
        <v>15</v>
      </c>
    </row>
    <row r="23" spans="1:7" x14ac:dyDescent="0.35">
      <c r="A23" t="s">
        <v>501</v>
      </c>
      <c r="B23">
        <v>13</v>
      </c>
      <c r="C23">
        <v>17</v>
      </c>
    </row>
    <row r="24" spans="1:7" x14ac:dyDescent="0.35">
      <c r="A24" t="s">
        <v>503</v>
      </c>
      <c r="B24">
        <v>51</v>
      </c>
      <c r="C24">
        <v>57</v>
      </c>
    </row>
    <row r="25" spans="1:7" x14ac:dyDescent="0.35">
      <c r="A25" t="s">
        <v>504</v>
      </c>
      <c r="B25">
        <v>100</v>
      </c>
      <c r="C25">
        <v>100</v>
      </c>
    </row>
    <row r="27" spans="1:7" x14ac:dyDescent="0.35">
      <c r="A27" s="111" t="s">
        <v>518</v>
      </c>
    </row>
    <row r="28" spans="1:7" x14ac:dyDescent="0.35">
      <c r="B28" t="s">
        <v>504</v>
      </c>
      <c r="C28" t="s">
        <v>505</v>
      </c>
      <c r="D28" t="s">
        <v>506</v>
      </c>
      <c r="E28" t="s">
        <v>507</v>
      </c>
      <c r="F28" t="s">
        <v>508</v>
      </c>
    </row>
    <row r="29" spans="1:7" x14ac:dyDescent="0.35">
      <c r="A29" t="s">
        <v>509</v>
      </c>
      <c r="B29" s="110">
        <v>1</v>
      </c>
      <c r="C29" s="110">
        <v>0.25</v>
      </c>
      <c r="D29" s="110">
        <v>0.25</v>
      </c>
      <c r="E29" s="110">
        <v>0.25</v>
      </c>
      <c r="F29" s="110">
        <v>0.25</v>
      </c>
    </row>
    <row r="30" spans="1:7" x14ac:dyDescent="0.35">
      <c r="A30" t="s">
        <v>510</v>
      </c>
      <c r="B30" s="110">
        <v>1</v>
      </c>
      <c r="C30">
        <v>17.100000000000001</v>
      </c>
      <c r="D30">
        <v>23.6</v>
      </c>
      <c r="E30">
        <v>27.6</v>
      </c>
      <c r="F30">
        <v>31.7</v>
      </c>
    </row>
    <row r="31" spans="1:7" x14ac:dyDescent="0.35">
      <c r="A31" t="s">
        <v>511</v>
      </c>
      <c r="B31" s="110">
        <v>1</v>
      </c>
      <c r="C31">
        <v>16.100000000000001</v>
      </c>
      <c r="D31">
        <v>23.4</v>
      </c>
      <c r="E31">
        <v>27.6</v>
      </c>
      <c r="F31">
        <v>32.9</v>
      </c>
    </row>
    <row r="32" spans="1:7" x14ac:dyDescent="0.35">
      <c r="A32" t="s">
        <v>512</v>
      </c>
      <c r="B32" s="110">
        <v>1</v>
      </c>
      <c r="C32" s="112">
        <v>38.5</v>
      </c>
      <c r="D32" s="112">
        <v>30.4</v>
      </c>
      <c r="E32" s="112">
        <v>21.4</v>
      </c>
      <c r="F32" s="112">
        <v>9.8000000000000007</v>
      </c>
      <c r="G32">
        <f>AVERAGE(C32:F32)</f>
        <v>25.025000000000002</v>
      </c>
    </row>
    <row r="33" spans="1:7" x14ac:dyDescent="0.35">
      <c r="A33" t="s">
        <v>513</v>
      </c>
      <c r="B33" s="110">
        <v>1</v>
      </c>
      <c r="C33" s="112">
        <v>42</v>
      </c>
      <c r="D33" s="112">
        <v>29.8</v>
      </c>
      <c r="E33" s="112">
        <v>19.399999999999999</v>
      </c>
      <c r="F33" s="112">
        <v>8.8000000000000007</v>
      </c>
      <c r="G33">
        <f>AVERAGE(C33:F33)</f>
        <v>24.999999999999996</v>
      </c>
    </row>
    <row r="34" spans="1:7" x14ac:dyDescent="0.35">
      <c r="A34" t="s">
        <v>514</v>
      </c>
      <c r="B34" s="110">
        <v>1</v>
      </c>
      <c r="C34">
        <v>30.1</v>
      </c>
      <c r="D34">
        <v>24.4</v>
      </c>
      <c r="E34">
        <v>22.8</v>
      </c>
      <c r="F34">
        <v>22.7</v>
      </c>
    </row>
    <row r="35" spans="1:7" x14ac:dyDescent="0.35">
      <c r="A35" t="s">
        <v>515</v>
      </c>
      <c r="B35" s="110">
        <v>1</v>
      </c>
      <c r="C35">
        <v>32.1</v>
      </c>
      <c r="D35">
        <v>26</v>
      </c>
      <c r="E35">
        <v>23.1</v>
      </c>
      <c r="F35">
        <v>18.8</v>
      </c>
    </row>
    <row r="36" spans="1:7" x14ac:dyDescent="0.35">
      <c r="A36" t="s">
        <v>516</v>
      </c>
      <c r="B36" s="110">
        <v>1</v>
      </c>
      <c r="C36">
        <v>42.4</v>
      </c>
      <c r="D36">
        <v>24.9</v>
      </c>
      <c r="E36">
        <v>18.899999999999999</v>
      </c>
      <c r="F36">
        <v>13.8</v>
      </c>
    </row>
    <row r="37" spans="1:7" x14ac:dyDescent="0.35">
      <c r="A37" t="s">
        <v>517</v>
      </c>
      <c r="B37" s="110">
        <v>1</v>
      </c>
      <c r="C37">
        <v>38.6</v>
      </c>
      <c r="D37">
        <v>23.1</v>
      </c>
      <c r="E37">
        <v>21.9</v>
      </c>
      <c r="F37">
        <v>19.399999999999999</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C140"/>
  <sheetViews>
    <sheetView tabSelected="1" topLeftCell="I16" workbookViewId="0">
      <selection activeCell="P26" sqref="P26:P31"/>
    </sheetView>
  </sheetViews>
  <sheetFormatPr baseColWidth="10" defaultColWidth="11.453125" defaultRowHeight="15.5" x14ac:dyDescent="0.35"/>
  <cols>
    <col min="1" max="1" width="54.36328125" style="185" customWidth="1"/>
    <col min="2" max="5" width="15.6328125" style="185" customWidth="1"/>
    <col min="6" max="6" width="14" style="185" customWidth="1"/>
    <col min="7" max="8" width="14.08984375" style="185" customWidth="1"/>
    <col min="9" max="9" width="15.6328125" style="185" customWidth="1"/>
    <col min="10" max="10" width="19.7265625" style="185" customWidth="1"/>
    <col min="11" max="29" width="15.6328125" style="185" customWidth="1"/>
    <col min="30" max="259" width="11.453125" style="185"/>
    <col min="260" max="260" width="54.36328125" style="185" customWidth="1"/>
    <col min="261" max="264" width="15.6328125" style="185" customWidth="1"/>
    <col min="265" max="265" width="14" style="185" customWidth="1"/>
    <col min="266" max="267" width="14.08984375" style="185" customWidth="1"/>
    <col min="268" max="285" width="15.6328125" style="185" customWidth="1"/>
    <col min="286" max="515" width="11.453125" style="185"/>
    <col min="516" max="516" width="54.36328125" style="185" customWidth="1"/>
    <col min="517" max="520" width="15.6328125" style="185" customWidth="1"/>
    <col min="521" max="521" width="14" style="185" customWidth="1"/>
    <col min="522" max="523" width="14.08984375" style="185" customWidth="1"/>
    <col min="524" max="541" width="15.6328125" style="185" customWidth="1"/>
    <col min="542" max="771" width="11.453125" style="185"/>
    <col min="772" max="772" width="54.36328125" style="185" customWidth="1"/>
    <col min="773" max="776" width="15.6328125" style="185" customWidth="1"/>
    <col min="777" max="777" width="14" style="185" customWidth="1"/>
    <col min="778" max="779" width="14.08984375" style="185" customWidth="1"/>
    <col min="780" max="797" width="15.6328125" style="185" customWidth="1"/>
    <col min="798" max="1027" width="11.453125" style="185"/>
    <col min="1028" max="1028" width="54.36328125" style="185" customWidth="1"/>
    <col min="1029" max="1032" width="15.6328125" style="185" customWidth="1"/>
    <col min="1033" max="1033" width="14" style="185" customWidth="1"/>
    <col min="1034" max="1035" width="14.08984375" style="185" customWidth="1"/>
    <col min="1036" max="1053" width="15.6328125" style="185" customWidth="1"/>
    <col min="1054" max="1283" width="11.453125" style="185"/>
    <col min="1284" max="1284" width="54.36328125" style="185" customWidth="1"/>
    <col min="1285" max="1288" width="15.6328125" style="185" customWidth="1"/>
    <col min="1289" max="1289" width="14" style="185" customWidth="1"/>
    <col min="1290" max="1291" width="14.08984375" style="185" customWidth="1"/>
    <col min="1292" max="1309" width="15.6328125" style="185" customWidth="1"/>
    <col min="1310" max="1539" width="11.453125" style="185"/>
    <col min="1540" max="1540" width="54.36328125" style="185" customWidth="1"/>
    <col min="1541" max="1544" width="15.6328125" style="185" customWidth="1"/>
    <col min="1545" max="1545" width="14" style="185" customWidth="1"/>
    <col min="1546" max="1547" width="14.08984375" style="185" customWidth="1"/>
    <col min="1548" max="1565" width="15.6328125" style="185" customWidth="1"/>
    <col min="1566" max="1795" width="11.453125" style="185"/>
    <col min="1796" max="1796" width="54.36328125" style="185" customWidth="1"/>
    <col min="1797" max="1800" width="15.6328125" style="185" customWidth="1"/>
    <col min="1801" max="1801" width="14" style="185" customWidth="1"/>
    <col min="1802" max="1803" width="14.08984375" style="185" customWidth="1"/>
    <col min="1804" max="1821" width="15.6328125" style="185" customWidth="1"/>
    <col min="1822" max="2051" width="11.453125" style="185"/>
    <col min="2052" max="2052" width="54.36328125" style="185" customWidth="1"/>
    <col min="2053" max="2056" width="15.6328125" style="185" customWidth="1"/>
    <col min="2057" max="2057" width="14" style="185" customWidth="1"/>
    <col min="2058" max="2059" width="14.08984375" style="185" customWidth="1"/>
    <col min="2060" max="2077" width="15.6328125" style="185" customWidth="1"/>
    <col min="2078" max="2307" width="11.453125" style="185"/>
    <col min="2308" max="2308" width="54.36328125" style="185" customWidth="1"/>
    <col min="2309" max="2312" width="15.6328125" style="185" customWidth="1"/>
    <col min="2313" max="2313" width="14" style="185" customWidth="1"/>
    <col min="2314" max="2315" width="14.08984375" style="185" customWidth="1"/>
    <col min="2316" max="2333" width="15.6328125" style="185" customWidth="1"/>
    <col min="2334" max="2563" width="11.453125" style="185"/>
    <col min="2564" max="2564" width="54.36328125" style="185" customWidth="1"/>
    <col min="2565" max="2568" width="15.6328125" style="185" customWidth="1"/>
    <col min="2569" max="2569" width="14" style="185" customWidth="1"/>
    <col min="2570" max="2571" width="14.08984375" style="185" customWidth="1"/>
    <col min="2572" max="2589" width="15.6328125" style="185" customWidth="1"/>
    <col min="2590" max="2819" width="11.453125" style="185"/>
    <col min="2820" max="2820" width="54.36328125" style="185" customWidth="1"/>
    <col min="2821" max="2824" width="15.6328125" style="185" customWidth="1"/>
    <col min="2825" max="2825" width="14" style="185" customWidth="1"/>
    <col min="2826" max="2827" width="14.08984375" style="185" customWidth="1"/>
    <col min="2828" max="2845" width="15.6328125" style="185" customWidth="1"/>
    <col min="2846" max="3075" width="11.453125" style="185"/>
    <col min="3076" max="3076" width="54.36328125" style="185" customWidth="1"/>
    <col min="3077" max="3080" width="15.6328125" style="185" customWidth="1"/>
    <col min="3081" max="3081" width="14" style="185" customWidth="1"/>
    <col min="3082" max="3083" width="14.08984375" style="185" customWidth="1"/>
    <col min="3084" max="3101" width="15.6328125" style="185" customWidth="1"/>
    <col min="3102" max="3331" width="11.453125" style="185"/>
    <col min="3332" max="3332" width="54.36328125" style="185" customWidth="1"/>
    <col min="3333" max="3336" width="15.6328125" style="185" customWidth="1"/>
    <col min="3337" max="3337" width="14" style="185" customWidth="1"/>
    <col min="3338" max="3339" width="14.08984375" style="185" customWidth="1"/>
    <col min="3340" max="3357" width="15.6328125" style="185" customWidth="1"/>
    <col min="3358" max="3587" width="11.453125" style="185"/>
    <col min="3588" max="3588" width="54.36328125" style="185" customWidth="1"/>
    <col min="3589" max="3592" width="15.6328125" style="185" customWidth="1"/>
    <col min="3593" max="3593" width="14" style="185" customWidth="1"/>
    <col min="3594" max="3595" width="14.08984375" style="185" customWidth="1"/>
    <col min="3596" max="3613" width="15.6328125" style="185" customWidth="1"/>
    <col min="3614" max="3843" width="11.453125" style="185"/>
    <col min="3844" max="3844" width="54.36328125" style="185" customWidth="1"/>
    <col min="3845" max="3848" width="15.6328125" style="185" customWidth="1"/>
    <col min="3849" max="3849" width="14" style="185" customWidth="1"/>
    <col min="3850" max="3851" width="14.08984375" style="185" customWidth="1"/>
    <col min="3852" max="3869" width="15.6328125" style="185" customWidth="1"/>
    <col min="3870" max="4099" width="11.453125" style="185"/>
    <col min="4100" max="4100" width="54.36328125" style="185" customWidth="1"/>
    <col min="4101" max="4104" width="15.6328125" style="185" customWidth="1"/>
    <col min="4105" max="4105" width="14" style="185" customWidth="1"/>
    <col min="4106" max="4107" width="14.08984375" style="185" customWidth="1"/>
    <col min="4108" max="4125" width="15.6328125" style="185" customWidth="1"/>
    <col min="4126" max="4355" width="11.453125" style="185"/>
    <col min="4356" max="4356" width="54.36328125" style="185" customWidth="1"/>
    <col min="4357" max="4360" width="15.6328125" style="185" customWidth="1"/>
    <col min="4361" max="4361" width="14" style="185" customWidth="1"/>
    <col min="4362" max="4363" width="14.08984375" style="185" customWidth="1"/>
    <col min="4364" max="4381" width="15.6328125" style="185" customWidth="1"/>
    <col min="4382" max="4611" width="11.453125" style="185"/>
    <col min="4612" max="4612" width="54.36328125" style="185" customWidth="1"/>
    <col min="4613" max="4616" width="15.6328125" style="185" customWidth="1"/>
    <col min="4617" max="4617" width="14" style="185" customWidth="1"/>
    <col min="4618" max="4619" width="14.08984375" style="185" customWidth="1"/>
    <col min="4620" max="4637" width="15.6328125" style="185" customWidth="1"/>
    <col min="4638" max="4867" width="11.453125" style="185"/>
    <col min="4868" max="4868" width="54.36328125" style="185" customWidth="1"/>
    <col min="4869" max="4872" width="15.6328125" style="185" customWidth="1"/>
    <col min="4873" max="4873" width="14" style="185" customWidth="1"/>
    <col min="4874" max="4875" width="14.08984375" style="185" customWidth="1"/>
    <col min="4876" max="4893" width="15.6328125" style="185" customWidth="1"/>
    <col min="4894" max="5123" width="11.453125" style="185"/>
    <col min="5124" max="5124" width="54.36328125" style="185" customWidth="1"/>
    <col min="5125" max="5128" width="15.6328125" style="185" customWidth="1"/>
    <col min="5129" max="5129" width="14" style="185" customWidth="1"/>
    <col min="5130" max="5131" width="14.08984375" style="185" customWidth="1"/>
    <col min="5132" max="5149" width="15.6328125" style="185" customWidth="1"/>
    <col min="5150" max="5379" width="11.453125" style="185"/>
    <col min="5380" max="5380" width="54.36328125" style="185" customWidth="1"/>
    <col min="5381" max="5384" width="15.6328125" style="185" customWidth="1"/>
    <col min="5385" max="5385" width="14" style="185" customWidth="1"/>
    <col min="5386" max="5387" width="14.08984375" style="185" customWidth="1"/>
    <col min="5388" max="5405" width="15.6328125" style="185" customWidth="1"/>
    <col min="5406" max="5635" width="11.453125" style="185"/>
    <col min="5636" max="5636" width="54.36328125" style="185" customWidth="1"/>
    <col min="5637" max="5640" width="15.6328125" style="185" customWidth="1"/>
    <col min="5641" max="5641" width="14" style="185" customWidth="1"/>
    <col min="5642" max="5643" width="14.08984375" style="185" customWidth="1"/>
    <col min="5644" max="5661" width="15.6328125" style="185" customWidth="1"/>
    <col min="5662" max="5891" width="11.453125" style="185"/>
    <col min="5892" max="5892" width="54.36328125" style="185" customWidth="1"/>
    <col min="5893" max="5896" width="15.6328125" style="185" customWidth="1"/>
    <col min="5897" max="5897" width="14" style="185" customWidth="1"/>
    <col min="5898" max="5899" width="14.08984375" style="185" customWidth="1"/>
    <col min="5900" max="5917" width="15.6328125" style="185" customWidth="1"/>
    <col min="5918" max="6147" width="11.453125" style="185"/>
    <col min="6148" max="6148" width="54.36328125" style="185" customWidth="1"/>
    <col min="6149" max="6152" width="15.6328125" style="185" customWidth="1"/>
    <col min="6153" max="6153" width="14" style="185" customWidth="1"/>
    <col min="6154" max="6155" width="14.08984375" style="185" customWidth="1"/>
    <col min="6156" max="6173" width="15.6328125" style="185" customWidth="1"/>
    <col min="6174" max="6403" width="11.453125" style="185"/>
    <col min="6404" max="6404" width="54.36328125" style="185" customWidth="1"/>
    <col min="6405" max="6408" width="15.6328125" style="185" customWidth="1"/>
    <col min="6409" max="6409" width="14" style="185" customWidth="1"/>
    <col min="6410" max="6411" width="14.08984375" style="185" customWidth="1"/>
    <col min="6412" max="6429" width="15.6328125" style="185" customWidth="1"/>
    <col min="6430" max="6659" width="11.453125" style="185"/>
    <col min="6660" max="6660" width="54.36328125" style="185" customWidth="1"/>
    <col min="6661" max="6664" width="15.6328125" style="185" customWidth="1"/>
    <col min="6665" max="6665" width="14" style="185" customWidth="1"/>
    <col min="6666" max="6667" width="14.08984375" style="185" customWidth="1"/>
    <col min="6668" max="6685" width="15.6328125" style="185" customWidth="1"/>
    <col min="6686" max="6915" width="11.453125" style="185"/>
    <col min="6916" max="6916" width="54.36328125" style="185" customWidth="1"/>
    <col min="6917" max="6920" width="15.6328125" style="185" customWidth="1"/>
    <col min="6921" max="6921" width="14" style="185" customWidth="1"/>
    <col min="6922" max="6923" width="14.08984375" style="185" customWidth="1"/>
    <col min="6924" max="6941" width="15.6328125" style="185" customWidth="1"/>
    <col min="6942" max="7171" width="11.453125" style="185"/>
    <col min="7172" max="7172" width="54.36328125" style="185" customWidth="1"/>
    <col min="7173" max="7176" width="15.6328125" style="185" customWidth="1"/>
    <col min="7177" max="7177" width="14" style="185" customWidth="1"/>
    <col min="7178" max="7179" width="14.08984375" style="185" customWidth="1"/>
    <col min="7180" max="7197" width="15.6328125" style="185" customWidth="1"/>
    <col min="7198" max="7427" width="11.453125" style="185"/>
    <col min="7428" max="7428" width="54.36328125" style="185" customWidth="1"/>
    <col min="7429" max="7432" width="15.6328125" style="185" customWidth="1"/>
    <col min="7433" max="7433" width="14" style="185" customWidth="1"/>
    <col min="7434" max="7435" width="14.08984375" style="185" customWidth="1"/>
    <col min="7436" max="7453" width="15.6328125" style="185" customWidth="1"/>
    <col min="7454" max="7683" width="11.453125" style="185"/>
    <col min="7684" max="7684" width="54.36328125" style="185" customWidth="1"/>
    <col min="7685" max="7688" width="15.6328125" style="185" customWidth="1"/>
    <col min="7689" max="7689" width="14" style="185" customWidth="1"/>
    <col min="7690" max="7691" width="14.08984375" style="185" customWidth="1"/>
    <col min="7692" max="7709" width="15.6328125" style="185" customWidth="1"/>
    <col min="7710" max="7939" width="11.453125" style="185"/>
    <col min="7940" max="7940" width="54.36328125" style="185" customWidth="1"/>
    <col min="7941" max="7944" width="15.6328125" style="185" customWidth="1"/>
    <col min="7945" max="7945" width="14" style="185" customWidth="1"/>
    <col min="7946" max="7947" width="14.08984375" style="185" customWidth="1"/>
    <col min="7948" max="7965" width="15.6328125" style="185" customWidth="1"/>
    <col min="7966" max="8195" width="11.453125" style="185"/>
    <col min="8196" max="8196" width="54.36328125" style="185" customWidth="1"/>
    <col min="8197" max="8200" width="15.6328125" style="185" customWidth="1"/>
    <col min="8201" max="8201" width="14" style="185" customWidth="1"/>
    <col min="8202" max="8203" width="14.08984375" style="185" customWidth="1"/>
    <col min="8204" max="8221" width="15.6328125" style="185" customWidth="1"/>
    <col min="8222" max="8451" width="11.453125" style="185"/>
    <col min="8452" max="8452" width="54.36328125" style="185" customWidth="1"/>
    <col min="8453" max="8456" width="15.6328125" style="185" customWidth="1"/>
    <col min="8457" max="8457" width="14" style="185" customWidth="1"/>
    <col min="8458" max="8459" width="14.08984375" style="185" customWidth="1"/>
    <col min="8460" max="8477" width="15.6328125" style="185" customWidth="1"/>
    <col min="8478" max="8707" width="11.453125" style="185"/>
    <col min="8708" max="8708" width="54.36328125" style="185" customWidth="1"/>
    <col min="8709" max="8712" width="15.6328125" style="185" customWidth="1"/>
    <col min="8713" max="8713" width="14" style="185" customWidth="1"/>
    <col min="8714" max="8715" width="14.08984375" style="185" customWidth="1"/>
    <col min="8716" max="8733" width="15.6328125" style="185" customWidth="1"/>
    <col min="8734" max="8963" width="11.453125" style="185"/>
    <col min="8964" max="8964" width="54.36328125" style="185" customWidth="1"/>
    <col min="8965" max="8968" width="15.6328125" style="185" customWidth="1"/>
    <col min="8969" max="8969" width="14" style="185" customWidth="1"/>
    <col min="8970" max="8971" width="14.08984375" style="185" customWidth="1"/>
    <col min="8972" max="8989" width="15.6328125" style="185" customWidth="1"/>
    <col min="8990" max="9219" width="11.453125" style="185"/>
    <col min="9220" max="9220" width="54.36328125" style="185" customWidth="1"/>
    <col min="9221" max="9224" width="15.6328125" style="185" customWidth="1"/>
    <col min="9225" max="9225" width="14" style="185" customWidth="1"/>
    <col min="9226" max="9227" width="14.08984375" style="185" customWidth="1"/>
    <col min="9228" max="9245" width="15.6328125" style="185" customWidth="1"/>
    <col min="9246" max="9475" width="11.453125" style="185"/>
    <col min="9476" max="9476" width="54.36328125" style="185" customWidth="1"/>
    <col min="9477" max="9480" width="15.6328125" style="185" customWidth="1"/>
    <col min="9481" max="9481" width="14" style="185" customWidth="1"/>
    <col min="9482" max="9483" width="14.08984375" style="185" customWidth="1"/>
    <col min="9484" max="9501" width="15.6328125" style="185" customWidth="1"/>
    <col min="9502" max="9731" width="11.453125" style="185"/>
    <col min="9732" max="9732" width="54.36328125" style="185" customWidth="1"/>
    <col min="9733" max="9736" width="15.6328125" style="185" customWidth="1"/>
    <col min="9737" max="9737" width="14" style="185" customWidth="1"/>
    <col min="9738" max="9739" width="14.08984375" style="185" customWidth="1"/>
    <col min="9740" max="9757" width="15.6328125" style="185" customWidth="1"/>
    <col min="9758" max="9987" width="11.453125" style="185"/>
    <col min="9988" max="9988" width="54.36328125" style="185" customWidth="1"/>
    <col min="9989" max="9992" width="15.6328125" style="185" customWidth="1"/>
    <col min="9993" max="9993" width="14" style="185" customWidth="1"/>
    <col min="9994" max="9995" width="14.08984375" style="185" customWidth="1"/>
    <col min="9996" max="10013" width="15.6328125" style="185" customWidth="1"/>
    <col min="10014" max="10243" width="11.453125" style="185"/>
    <col min="10244" max="10244" width="54.36328125" style="185" customWidth="1"/>
    <col min="10245" max="10248" width="15.6328125" style="185" customWidth="1"/>
    <col min="10249" max="10249" width="14" style="185" customWidth="1"/>
    <col min="10250" max="10251" width="14.08984375" style="185" customWidth="1"/>
    <col min="10252" max="10269" width="15.6328125" style="185" customWidth="1"/>
    <col min="10270" max="10499" width="11.453125" style="185"/>
    <col min="10500" max="10500" width="54.36328125" style="185" customWidth="1"/>
    <col min="10501" max="10504" width="15.6328125" style="185" customWidth="1"/>
    <col min="10505" max="10505" width="14" style="185" customWidth="1"/>
    <col min="10506" max="10507" width="14.08984375" style="185" customWidth="1"/>
    <col min="10508" max="10525" width="15.6328125" style="185" customWidth="1"/>
    <col min="10526" max="10755" width="11.453125" style="185"/>
    <col min="10756" max="10756" width="54.36328125" style="185" customWidth="1"/>
    <col min="10757" max="10760" width="15.6328125" style="185" customWidth="1"/>
    <col min="10761" max="10761" width="14" style="185" customWidth="1"/>
    <col min="10762" max="10763" width="14.08984375" style="185" customWidth="1"/>
    <col min="10764" max="10781" width="15.6328125" style="185" customWidth="1"/>
    <col min="10782" max="11011" width="11.453125" style="185"/>
    <col min="11012" max="11012" width="54.36328125" style="185" customWidth="1"/>
    <col min="11013" max="11016" width="15.6328125" style="185" customWidth="1"/>
    <col min="11017" max="11017" width="14" style="185" customWidth="1"/>
    <col min="11018" max="11019" width="14.08984375" style="185" customWidth="1"/>
    <col min="11020" max="11037" width="15.6328125" style="185" customWidth="1"/>
    <col min="11038" max="11267" width="11.453125" style="185"/>
    <col min="11268" max="11268" width="54.36328125" style="185" customWidth="1"/>
    <col min="11269" max="11272" width="15.6328125" style="185" customWidth="1"/>
    <col min="11273" max="11273" width="14" style="185" customWidth="1"/>
    <col min="11274" max="11275" width="14.08984375" style="185" customWidth="1"/>
    <col min="11276" max="11293" width="15.6328125" style="185" customWidth="1"/>
    <col min="11294" max="11523" width="11.453125" style="185"/>
    <col min="11524" max="11524" width="54.36328125" style="185" customWidth="1"/>
    <col min="11525" max="11528" width="15.6328125" style="185" customWidth="1"/>
    <col min="11529" max="11529" width="14" style="185" customWidth="1"/>
    <col min="11530" max="11531" width="14.08984375" style="185" customWidth="1"/>
    <col min="11532" max="11549" width="15.6328125" style="185" customWidth="1"/>
    <col min="11550" max="11779" width="11.453125" style="185"/>
    <col min="11780" max="11780" width="54.36328125" style="185" customWidth="1"/>
    <col min="11781" max="11784" width="15.6328125" style="185" customWidth="1"/>
    <col min="11785" max="11785" width="14" style="185" customWidth="1"/>
    <col min="11786" max="11787" width="14.08984375" style="185" customWidth="1"/>
    <col min="11788" max="11805" width="15.6328125" style="185" customWidth="1"/>
    <col min="11806" max="12035" width="11.453125" style="185"/>
    <col min="12036" max="12036" width="54.36328125" style="185" customWidth="1"/>
    <col min="12037" max="12040" width="15.6328125" style="185" customWidth="1"/>
    <col min="12041" max="12041" width="14" style="185" customWidth="1"/>
    <col min="12042" max="12043" width="14.08984375" style="185" customWidth="1"/>
    <col min="12044" max="12061" width="15.6328125" style="185" customWidth="1"/>
    <col min="12062" max="12291" width="11.453125" style="185"/>
    <col min="12292" max="12292" width="54.36328125" style="185" customWidth="1"/>
    <col min="12293" max="12296" width="15.6328125" style="185" customWidth="1"/>
    <col min="12297" max="12297" width="14" style="185" customWidth="1"/>
    <col min="12298" max="12299" width="14.08984375" style="185" customWidth="1"/>
    <col min="12300" max="12317" width="15.6328125" style="185" customWidth="1"/>
    <col min="12318" max="12547" width="11.453125" style="185"/>
    <col min="12548" max="12548" width="54.36328125" style="185" customWidth="1"/>
    <col min="12549" max="12552" width="15.6328125" style="185" customWidth="1"/>
    <col min="12553" max="12553" width="14" style="185" customWidth="1"/>
    <col min="12554" max="12555" width="14.08984375" style="185" customWidth="1"/>
    <col min="12556" max="12573" width="15.6328125" style="185" customWidth="1"/>
    <col min="12574" max="12803" width="11.453125" style="185"/>
    <col min="12804" max="12804" width="54.36328125" style="185" customWidth="1"/>
    <col min="12805" max="12808" width="15.6328125" style="185" customWidth="1"/>
    <col min="12809" max="12809" width="14" style="185" customWidth="1"/>
    <col min="12810" max="12811" width="14.08984375" style="185" customWidth="1"/>
    <col min="12812" max="12829" width="15.6328125" style="185" customWidth="1"/>
    <col min="12830" max="13059" width="11.453125" style="185"/>
    <col min="13060" max="13060" width="54.36328125" style="185" customWidth="1"/>
    <col min="13061" max="13064" width="15.6328125" style="185" customWidth="1"/>
    <col min="13065" max="13065" width="14" style="185" customWidth="1"/>
    <col min="13066" max="13067" width="14.08984375" style="185" customWidth="1"/>
    <col min="13068" max="13085" width="15.6328125" style="185" customWidth="1"/>
    <col min="13086" max="13315" width="11.453125" style="185"/>
    <col min="13316" max="13316" width="54.36328125" style="185" customWidth="1"/>
    <col min="13317" max="13320" width="15.6328125" style="185" customWidth="1"/>
    <col min="13321" max="13321" width="14" style="185" customWidth="1"/>
    <col min="13322" max="13323" width="14.08984375" style="185" customWidth="1"/>
    <col min="13324" max="13341" width="15.6328125" style="185" customWidth="1"/>
    <col min="13342" max="13571" width="11.453125" style="185"/>
    <col min="13572" max="13572" width="54.36328125" style="185" customWidth="1"/>
    <col min="13573" max="13576" width="15.6328125" style="185" customWidth="1"/>
    <col min="13577" max="13577" width="14" style="185" customWidth="1"/>
    <col min="13578" max="13579" width="14.08984375" style="185" customWidth="1"/>
    <col min="13580" max="13597" width="15.6328125" style="185" customWidth="1"/>
    <col min="13598" max="13827" width="11.453125" style="185"/>
    <col min="13828" max="13828" width="54.36328125" style="185" customWidth="1"/>
    <col min="13829" max="13832" width="15.6328125" style="185" customWidth="1"/>
    <col min="13833" max="13833" width="14" style="185" customWidth="1"/>
    <col min="13834" max="13835" width="14.08984375" style="185" customWidth="1"/>
    <col min="13836" max="13853" width="15.6328125" style="185" customWidth="1"/>
    <col min="13854" max="14083" width="11.453125" style="185"/>
    <col min="14084" max="14084" width="54.36328125" style="185" customWidth="1"/>
    <col min="14085" max="14088" width="15.6328125" style="185" customWidth="1"/>
    <col min="14089" max="14089" width="14" style="185" customWidth="1"/>
    <col min="14090" max="14091" width="14.08984375" style="185" customWidth="1"/>
    <col min="14092" max="14109" width="15.6328125" style="185" customWidth="1"/>
    <col min="14110" max="14339" width="11.453125" style="185"/>
    <col min="14340" max="14340" width="54.36328125" style="185" customWidth="1"/>
    <col min="14341" max="14344" width="15.6328125" style="185" customWidth="1"/>
    <col min="14345" max="14345" width="14" style="185" customWidth="1"/>
    <col min="14346" max="14347" width="14.08984375" style="185" customWidth="1"/>
    <col min="14348" max="14365" width="15.6328125" style="185" customWidth="1"/>
    <col min="14366" max="14595" width="11.453125" style="185"/>
    <col min="14596" max="14596" width="54.36328125" style="185" customWidth="1"/>
    <col min="14597" max="14600" width="15.6328125" style="185" customWidth="1"/>
    <col min="14601" max="14601" width="14" style="185" customWidth="1"/>
    <col min="14602" max="14603" width="14.08984375" style="185" customWidth="1"/>
    <col min="14604" max="14621" width="15.6328125" style="185" customWidth="1"/>
    <col min="14622" max="14851" width="11.453125" style="185"/>
    <col min="14852" max="14852" width="54.36328125" style="185" customWidth="1"/>
    <col min="14853" max="14856" width="15.6328125" style="185" customWidth="1"/>
    <col min="14857" max="14857" width="14" style="185" customWidth="1"/>
    <col min="14858" max="14859" width="14.08984375" style="185" customWidth="1"/>
    <col min="14860" max="14877" width="15.6328125" style="185" customWidth="1"/>
    <col min="14878" max="15107" width="11.453125" style="185"/>
    <col min="15108" max="15108" width="54.36328125" style="185" customWidth="1"/>
    <col min="15109" max="15112" width="15.6328125" style="185" customWidth="1"/>
    <col min="15113" max="15113" width="14" style="185" customWidth="1"/>
    <col min="15114" max="15115" width="14.08984375" style="185" customWidth="1"/>
    <col min="15116" max="15133" width="15.6328125" style="185" customWidth="1"/>
    <col min="15134" max="15363" width="11.453125" style="185"/>
    <col min="15364" max="15364" width="54.36328125" style="185" customWidth="1"/>
    <col min="15365" max="15368" width="15.6328125" style="185" customWidth="1"/>
    <col min="15369" max="15369" width="14" style="185" customWidth="1"/>
    <col min="15370" max="15371" width="14.08984375" style="185" customWidth="1"/>
    <col min="15372" max="15389" width="15.6328125" style="185" customWidth="1"/>
    <col min="15390" max="15619" width="11.453125" style="185"/>
    <col min="15620" max="15620" width="54.36328125" style="185" customWidth="1"/>
    <col min="15621" max="15624" width="15.6328125" style="185" customWidth="1"/>
    <col min="15625" max="15625" width="14" style="185" customWidth="1"/>
    <col min="15626" max="15627" width="14.08984375" style="185" customWidth="1"/>
    <col min="15628" max="15645" width="15.6328125" style="185" customWidth="1"/>
    <col min="15646" max="15875" width="11.453125" style="185"/>
    <col min="15876" max="15876" width="54.36328125" style="185" customWidth="1"/>
    <col min="15877" max="15880" width="15.6328125" style="185" customWidth="1"/>
    <col min="15881" max="15881" width="14" style="185" customWidth="1"/>
    <col min="15882" max="15883" width="14.08984375" style="185" customWidth="1"/>
    <col min="15884" max="15901" width="15.6328125" style="185" customWidth="1"/>
    <col min="15902" max="16131" width="11.453125" style="185"/>
    <col min="16132" max="16132" width="54.36328125" style="185" customWidth="1"/>
    <col min="16133" max="16136" width="15.6328125" style="185" customWidth="1"/>
    <col min="16137" max="16137" width="14" style="185" customWidth="1"/>
    <col min="16138" max="16139" width="14.08984375" style="185" customWidth="1"/>
    <col min="16140" max="16157" width="15.6328125" style="185" customWidth="1"/>
    <col min="16158" max="16384" width="11.453125" style="185"/>
  </cols>
  <sheetData>
    <row r="1" spans="1:29" ht="15.65" x14ac:dyDescent="0.3">
      <c r="A1" s="184"/>
      <c r="B1" s="184"/>
      <c r="C1" s="184"/>
      <c r="D1" s="184"/>
      <c r="E1" s="184"/>
      <c r="F1" s="184"/>
      <c r="G1" s="184"/>
      <c r="H1" s="184"/>
      <c r="I1" s="184"/>
      <c r="J1" s="184"/>
      <c r="K1" s="184"/>
      <c r="L1" s="184"/>
      <c r="M1" s="184"/>
      <c r="N1" s="184"/>
      <c r="O1" s="184"/>
      <c r="P1" s="184"/>
      <c r="Q1" s="184"/>
      <c r="R1" s="184"/>
      <c r="S1" s="184"/>
      <c r="T1" s="184"/>
      <c r="U1" s="184"/>
      <c r="V1" s="184"/>
      <c r="W1" s="184"/>
      <c r="X1" s="184"/>
      <c r="Y1" s="184"/>
      <c r="Z1" s="184"/>
      <c r="AA1" s="184"/>
      <c r="AB1" s="184"/>
      <c r="AC1" s="184"/>
    </row>
    <row r="2" spans="1:29" ht="23.25" customHeight="1" x14ac:dyDescent="0.35">
      <c r="A2" s="467" t="s">
        <v>542</v>
      </c>
      <c r="B2" s="468"/>
      <c r="C2" s="468"/>
      <c r="D2" s="468"/>
      <c r="E2" s="468"/>
      <c r="F2" s="468"/>
      <c r="G2" s="468"/>
      <c r="H2" s="468"/>
      <c r="I2" s="468"/>
      <c r="J2" s="184"/>
      <c r="K2" s="184"/>
      <c r="L2" s="184"/>
      <c r="M2" s="184"/>
      <c r="N2" s="184"/>
      <c r="O2" s="184"/>
      <c r="P2" s="184"/>
      <c r="Q2" s="184"/>
      <c r="R2" s="184"/>
      <c r="S2" s="184"/>
      <c r="T2" s="184"/>
      <c r="U2" s="184"/>
      <c r="V2" s="184"/>
      <c r="W2" s="184"/>
      <c r="X2" s="184"/>
      <c r="Y2" s="184"/>
      <c r="Z2" s="184"/>
      <c r="AA2" s="184"/>
      <c r="AB2" s="184"/>
      <c r="AC2" s="184"/>
    </row>
    <row r="3" spans="1:29" ht="15.65" x14ac:dyDescent="0.3">
      <c r="A3" s="184"/>
      <c r="B3" s="184"/>
      <c r="C3" s="184"/>
      <c r="D3" s="184"/>
      <c r="E3" s="184"/>
      <c r="F3" s="184"/>
      <c r="G3" s="184"/>
      <c r="H3" s="184"/>
      <c r="I3" s="184"/>
      <c r="J3" s="184"/>
      <c r="K3" s="184"/>
      <c r="L3" s="184"/>
      <c r="M3" s="184"/>
      <c r="N3" s="184"/>
      <c r="O3" s="184"/>
      <c r="P3" s="184"/>
      <c r="Q3" s="184"/>
      <c r="R3" s="184"/>
      <c r="S3" s="184"/>
      <c r="T3" s="184"/>
      <c r="U3" s="184"/>
      <c r="V3" s="184"/>
      <c r="W3" s="184"/>
      <c r="X3" s="184"/>
      <c r="Y3" s="184"/>
      <c r="Z3" s="184"/>
      <c r="AA3" s="184"/>
      <c r="AB3" s="184"/>
      <c r="AC3" s="184"/>
    </row>
    <row r="4" spans="1:29" ht="12.75" customHeight="1" x14ac:dyDescent="0.3">
      <c r="A4" s="469" t="s">
        <v>543</v>
      </c>
      <c r="B4" s="470"/>
      <c r="C4" s="470"/>
      <c r="D4" s="470"/>
      <c r="E4" s="470"/>
      <c r="F4" s="470"/>
      <c r="G4" s="470"/>
      <c r="H4" s="470"/>
      <c r="I4" s="470"/>
      <c r="J4" s="184"/>
      <c r="K4" s="184"/>
      <c r="L4" s="184"/>
      <c r="M4" s="184"/>
      <c r="N4" s="184"/>
      <c r="O4" s="184"/>
      <c r="P4" s="184"/>
      <c r="Q4" s="184"/>
      <c r="R4" s="184"/>
      <c r="S4" s="184"/>
      <c r="T4" s="184"/>
      <c r="U4" s="184"/>
      <c r="V4" s="184"/>
      <c r="W4" s="184"/>
      <c r="X4" s="184"/>
      <c r="Y4" s="184"/>
      <c r="Z4" s="184"/>
      <c r="AA4" s="184"/>
      <c r="AB4" s="184"/>
      <c r="AC4" s="184"/>
    </row>
    <row r="5" spans="1:29" ht="16.25" thickBot="1" x14ac:dyDescent="0.35">
      <c r="A5" s="184"/>
      <c r="B5" s="184"/>
      <c r="C5" s="184"/>
      <c r="D5" s="184"/>
      <c r="E5" s="184"/>
      <c r="F5" s="184"/>
      <c r="G5" s="184"/>
      <c r="H5" s="184"/>
      <c r="I5" s="184"/>
      <c r="J5" s="184"/>
      <c r="K5" s="184"/>
      <c r="L5" s="184"/>
      <c r="M5" s="184"/>
      <c r="N5" s="184"/>
      <c r="O5" s="184"/>
      <c r="P5" s="184"/>
      <c r="Q5" s="184"/>
      <c r="R5" s="184"/>
      <c r="S5" s="184"/>
      <c r="T5" s="184"/>
      <c r="U5" s="184"/>
      <c r="V5" s="184"/>
      <c r="W5" s="184"/>
      <c r="X5" s="184"/>
      <c r="Y5" s="184"/>
      <c r="Z5" s="184"/>
      <c r="AA5" s="184"/>
      <c r="AB5" s="184"/>
      <c r="AC5" s="184"/>
    </row>
    <row r="6" spans="1:29" ht="30" x14ac:dyDescent="0.35">
      <c r="A6" s="186"/>
      <c r="B6" s="187" t="s">
        <v>544</v>
      </c>
      <c r="C6" s="187" t="s">
        <v>545</v>
      </c>
      <c r="D6" s="187" t="s">
        <v>546</v>
      </c>
      <c r="E6" s="187" t="s">
        <v>547</v>
      </c>
      <c r="F6" s="188" t="s">
        <v>7</v>
      </c>
      <c r="G6" s="184"/>
      <c r="H6" s="184"/>
      <c r="I6" s="184"/>
      <c r="J6" s="184"/>
      <c r="K6" s="184"/>
      <c r="L6" s="184"/>
      <c r="M6" s="184"/>
      <c r="N6" s="184"/>
      <c r="O6" s="184"/>
      <c r="P6" s="184"/>
      <c r="Q6" s="184"/>
      <c r="R6" s="184"/>
      <c r="S6" s="184"/>
      <c r="T6" s="184"/>
      <c r="U6" s="184"/>
      <c r="V6" s="184"/>
      <c r="W6" s="184"/>
      <c r="X6" s="184"/>
      <c r="Y6" s="184"/>
      <c r="Z6" s="184"/>
      <c r="AA6" s="184"/>
      <c r="AB6" s="184"/>
    </row>
    <row r="7" spans="1:29" x14ac:dyDescent="0.35">
      <c r="A7" s="189" t="s">
        <v>548</v>
      </c>
      <c r="B7" s="190">
        <v>20.6</v>
      </c>
      <c r="C7" s="190">
        <v>29.1</v>
      </c>
      <c r="D7" s="190">
        <v>20.5</v>
      </c>
      <c r="E7" s="190">
        <v>29.8</v>
      </c>
      <c r="F7" s="191">
        <v>100</v>
      </c>
      <c r="G7" s="184"/>
      <c r="H7" s="184"/>
      <c r="I7" s="184"/>
      <c r="J7" s="184"/>
      <c r="K7" s="184"/>
      <c r="L7" s="184"/>
      <c r="M7" s="184"/>
      <c r="N7" s="184"/>
      <c r="O7" s="184"/>
      <c r="P7" s="184"/>
      <c r="Q7" s="184"/>
      <c r="R7" s="184"/>
      <c r="S7" s="184"/>
      <c r="T7" s="184"/>
      <c r="U7" s="184"/>
      <c r="V7" s="184"/>
      <c r="W7" s="184"/>
      <c r="X7" s="184"/>
      <c r="Y7" s="184"/>
      <c r="Z7" s="184"/>
      <c r="AA7" s="184"/>
      <c r="AB7" s="184"/>
    </row>
    <row r="8" spans="1:29" ht="16.25" thickBot="1" x14ac:dyDescent="0.35">
      <c r="A8" s="192" t="s">
        <v>549</v>
      </c>
      <c r="B8" s="193">
        <v>6725</v>
      </c>
      <c r="C8" s="193">
        <v>9522</v>
      </c>
      <c r="D8" s="193">
        <v>6718</v>
      </c>
      <c r="E8" s="193">
        <v>9753</v>
      </c>
      <c r="F8" s="194">
        <v>32718.2</v>
      </c>
      <c r="G8" s="184"/>
      <c r="H8" s="184"/>
      <c r="I8" s="184"/>
      <c r="J8" s="184"/>
      <c r="K8" s="184"/>
      <c r="L8" s="184"/>
      <c r="M8" s="184"/>
      <c r="N8" s="184"/>
      <c r="O8" s="184"/>
      <c r="P8" s="184"/>
      <c r="Q8" s="184"/>
      <c r="R8" s="184"/>
      <c r="S8" s="184"/>
      <c r="T8" s="184"/>
      <c r="U8" s="184"/>
      <c r="V8" s="184"/>
      <c r="W8" s="184"/>
      <c r="X8" s="184"/>
      <c r="Y8" s="184"/>
      <c r="Z8" s="184"/>
      <c r="AA8" s="184"/>
      <c r="AB8" s="184"/>
    </row>
    <row r="9" spans="1:29" ht="15.65" x14ac:dyDescent="0.3">
      <c r="A9" s="184"/>
      <c r="B9" s="184"/>
      <c r="C9" s="184"/>
      <c r="D9" s="184"/>
      <c r="E9" s="184"/>
      <c r="F9" s="184"/>
      <c r="G9" s="184"/>
      <c r="H9" s="184"/>
      <c r="I9" s="184"/>
      <c r="J9" s="184"/>
      <c r="K9" s="184"/>
      <c r="L9" s="184"/>
      <c r="M9" s="184"/>
      <c r="N9" s="184"/>
      <c r="O9" s="184"/>
      <c r="P9" s="184"/>
      <c r="Q9" s="184"/>
      <c r="R9" s="184"/>
      <c r="S9" s="184"/>
      <c r="T9" s="184"/>
      <c r="U9" s="184"/>
      <c r="V9" s="184"/>
      <c r="W9" s="184"/>
      <c r="X9" s="184"/>
      <c r="Y9" s="184"/>
      <c r="Z9" s="184"/>
      <c r="AA9" s="184"/>
      <c r="AB9" s="184"/>
      <c r="AC9" s="184"/>
    </row>
    <row r="10" spans="1:29" ht="15.65" x14ac:dyDescent="0.3">
      <c r="A10" s="184"/>
      <c r="B10" s="184"/>
      <c r="C10" s="184"/>
      <c r="D10" s="184"/>
      <c r="E10" s="184"/>
      <c r="F10" s="184"/>
      <c r="G10" s="184"/>
      <c r="H10" s="184"/>
      <c r="I10" s="184"/>
      <c r="J10" s="184"/>
      <c r="K10" s="184"/>
      <c r="L10" s="184"/>
      <c r="M10" s="184"/>
      <c r="N10" s="184"/>
      <c r="O10" s="184"/>
      <c r="P10" s="184"/>
      <c r="Q10" s="184"/>
      <c r="R10" s="184"/>
      <c r="S10" s="184"/>
      <c r="T10" s="184"/>
      <c r="U10" s="184"/>
      <c r="V10" s="184"/>
      <c r="W10" s="184"/>
      <c r="X10" s="184"/>
      <c r="Y10" s="184"/>
      <c r="Z10" s="184"/>
      <c r="AA10" s="184"/>
      <c r="AB10" s="184"/>
      <c r="AC10" s="184"/>
    </row>
    <row r="11" spans="1:29" ht="16.25" thickBot="1" x14ac:dyDescent="0.35">
      <c r="A11" s="195"/>
      <c r="B11" s="195"/>
      <c r="C11" s="195"/>
      <c r="D11" s="195"/>
      <c r="E11" s="195"/>
      <c r="F11" s="195"/>
      <c r="G11" s="195"/>
      <c r="H11" s="195"/>
      <c r="I11" s="195"/>
      <c r="J11" s="184"/>
      <c r="K11" s="184"/>
      <c r="L11" s="184"/>
      <c r="M11" s="184"/>
      <c r="N11" s="184"/>
      <c r="O11" s="184"/>
      <c r="P11" s="184"/>
      <c r="Q11" s="184"/>
      <c r="R11" s="184"/>
      <c r="S11" s="184"/>
      <c r="T11" s="184"/>
      <c r="U11" s="184"/>
      <c r="V11" s="184"/>
      <c r="W11" s="184"/>
      <c r="X11" s="184"/>
      <c r="Y11" s="184"/>
      <c r="Z11" s="184"/>
      <c r="AA11" s="184"/>
      <c r="AB11" s="184"/>
      <c r="AC11" s="184"/>
    </row>
    <row r="12" spans="1:29" ht="17" thickTop="1" thickBot="1" x14ac:dyDescent="0.35">
      <c r="A12" s="184"/>
      <c r="B12" s="184"/>
      <c r="C12" s="184"/>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4"/>
      <c r="AB12" s="184"/>
    </row>
    <row r="13" spans="1:29" ht="12.75" customHeight="1" thickBot="1" x14ac:dyDescent="0.4">
      <c r="A13" s="471"/>
      <c r="B13" s="196"/>
      <c r="C13" s="197"/>
      <c r="D13" s="197"/>
      <c r="E13" s="197"/>
      <c r="F13" s="473" t="s">
        <v>7</v>
      </c>
      <c r="G13" s="474"/>
      <c r="H13" s="198"/>
      <c r="I13" s="184"/>
      <c r="J13" s="184"/>
      <c r="K13" s="184"/>
      <c r="L13" s="184"/>
      <c r="M13" s="184"/>
      <c r="N13" s="184"/>
      <c r="O13" s="184"/>
      <c r="P13" s="184"/>
      <c r="Q13" s="184"/>
      <c r="R13" s="184"/>
      <c r="S13" s="184"/>
      <c r="T13" s="184"/>
      <c r="U13" s="184"/>
      <c r="V13" s="184"/>
      <c r="W13" s="184"/>
      <c r="X13" s="184"/>
      <c r="Y13" s="184"/>
      <c r="Z13" s="184"/>
      <c r="AA13" s="184"/>
      <c r="AB13" s="184"/>
    </row>
    <row r="14" spans="1:29" ht="31.5" customHeight="1" x14ac:dyDescent="0.35">
      <c r="A14" s="472"/>
      <c r="B14" s="187" t="s">
        <v>544</v>
      </c>
      <c r="C14" s="187" t="s">
        <v>545</v>
      </c>
      <c r="D14" s="187" t="s">
        <v>546</v>
      </c>
      <c r="E14" s="187" t="s">
        <v>547</v>
      </c>
      <c r="F14" s="199" t="s">
        <v>550</v>
      </c>
      <c r="G14" s="199" t="s">
        <v>551</v>
      </c>
      <c r="H14" s="200" t="s">
        <v>552</v>
      </c>
      <c r="I14" s="184"/>
      <c r="J14" s="184"/>
      <c r="K14" s="184"/>
      <c r="L14" s="184"/>
      <c r="M14" s="184"/>
      <c r="N14" s="184"/>
      <c r="O14" s="184"/>
      <c r="P14" s="184"/>
      <c r="Q14" s="184"/>
      <c r="R14" s="184"/>
      <c r="S14" s="184"/>
      <c r="T14" s="184"/>
      <c r="U14" s="184"/>
      <c r="V14" s="184"/>
      <c r="W14" s="184"/>
      <c r="X14" s="184"/>
      <c r="Y14" s="184"/>
      <c r="Z14" s="184"/>
      <c r="AA14" s="184"/>
      <c r="AB14" s="184"/>
    </row>
    <row r="15" spans="1:29" x14ac:dyDescent="0.35">
      <c r="A15" s="201" t="s">
        <v>553</v>
      </c>
      <c r="B15" s="202"/>
      <c r="C15" s="203"/>
      <c r="D15" s="203"/>
      <c r="E15" s="203"/>
      <c r="F15" s="203"/>
      <c r="G15" s="203"/>
      <c r="H15" s="204"/>
      <c r="I15" s="184"/>
      <c r="J15" s="184"/>
      <c r="K15" s="184"/>
      <c r="L15" s="184"/>
      <c r="M15" s="184"/>
      <c r="N15" s="184"/>
      <c r="O15" s="184"/>
      <c r="P15" s="184"/>
      <c r="Q15" s="184"/>
      <c r="R15" s="184"/>
      <c r="S15" s="184"/>
      <c r="T15" s="184"/>
      <c r="U15" s="184"/>
      <c r="V15" s="184"/>
      <c r="W15" s="184"/>
      <c r="X15" s="184"/>
      <c r="Y15" s="184"/>
      <c r="Z15" s="184"/>
      <c r="AA15" s="184"/>
      <c r="AB15" s="184"/>
    </row>
    <row r="16" spans="1:29" x14ac:dyDescent="0.35">
      <c r="A16" s="205" t="s">
        <v>554</v>
      </c>
      <c r="B16" s="206">
        <v>20.7</v>
      </c>
      <c r="C16" s="206">
        <v>27.3</v>
      </c>
      <c r="D16" s="206">
        <v>19.600000000000001</v>
      </c>
      <c r="E16" s="206">
        <v>32.5</v>
      </c>
      <c r="F16" s="206">
        <v>100</v>
      </c>
      <c r="G16" s="207">
        <v>6673.6</v>
      </c>
      <c r="H16" s="208">
        <v>13601.3</v>
      </c>
      <c r="I16" s="184"/>
      <c r="J16" s="184"/>
      <c r="K16" s="184"/>
      <c r="L16" s="184"/>
      <c r="M16" s="184"/>
      <c r="N16" s="184"/>
      <c r="O16" s="184"/>
      <c r="P16" s="184"/>
      <c r="Q16" s="184"/>
      <c r="R16" s="184"/>
      <c r="S16" s="184"/>
      <c r="T16" s="184"/>
      <c r="U16" s="184"/>
      <c r="V16" s="184"/>
      <c r="W16" s="184"/>
      <c r="X16" s="184"/>
      <c r="Y16" s="184"/>
      <c r="Z16" s="184"/>
      <c r="AA16" s="184"/>
      <c r="AB16" s="184"/>
    </row>
    <row r="17" spans="1:28" x14ac:dyDescent="0.35">
      <c r="A17" s="205" t="s">
        <v>555</v>
      </c>
      <c r="B17" s="206">
        <v>17.5</v>
      </c>
      <c r="C17" s="206">
        <v>28.8</v>
      </c>
      <c r="D17" s="206">
        <v>20.2</v>
      </c>
      <c r="E17" s="206">
        <v>33.4</v>
      </c>
      <c r="F17" s="206">
        <v>100</v>
      </c>
      <c r="G17" s="207">
        <v>1571.1</v>
      </c>
      <c r="H17" s="208">
        <v>13510.6</v>
      </c>
      <c r="I17" s="184"/>
      <c r="J17" s="184"/>
      <c r="K17" s="184"/>
      <c r="L17" s="184"/>
      <c r="M17" s="184"/>
      <c r="N17" s="184"/>
      <c r="O17" s="184"/>
      <c r="P17" s="184"/>
      <c r="Q17" s="184"/>
      <c r="R17" s="184"/>
      <c r="S17" s="184"/>
      <c r="T17" s="184"/>
      <c r="U17" s="184"/>
      <c r="V17" s="184"/>
      <c r="W17" s="184"/>
      <c r="X17" s="184"/>
      <c r="Y17" s="184"/>
      <c r="Z17" s="184"/>
      <c r="AA17" s="184"/>
      <c r="AB17" s="184"/>
    </row>
    <row r="18" spans="1:28" x14ac:dyDescent="0.35">
      <c r="A18" s="205" t="s">
        <v>556</v>
      </c>
      <c r="B18" s="206">
        <v>20.7</v>
      </c>
      <c r="C18" s="206">
        <v>30.3</v>
      </c>
      <c r="D18" s="206">
        <v>18.8</v>
      </c>
      <c r="E18" s="206">
        <v>30.2</v>
      </c>
      <c r="F18" s="206">
        <v>100</v>
      </c>
      <c r="G18" s="207">
        <v>3762.4</v>
      </c>
      <c r="H18" s="208">
        <v>13193.6</v>
      </c>
      <c r="I18" s="184"/>
      <c r="J18" s="184"/>
      <c r="K18" s="184"/>
      <c r="L18" s="184"/>
      <c r="M18" s="184"/>
      <c r="N18" s="184"/>
      <c r="O18" s="184"/>
      <c r="P18" s="184"/>
      <c r="Q18" s="184"/>
      <c r="R18" s="184"/>
      <c r="S18" s="184"/>
      <c r="T18" s="184"/>
      <c r="U18" s="184"/>
      <c r="V18" s="184"/>
      <c r="W18" s="184"/>
      <c r="X18" s="184"/>
      <c r="Y18" s="184"/>
      <c r="Z18" s="184"/>
      <c r="AA18" s="184"/>
      <c r="AB18" s="184"/>
    </row>
    <row r="19" spans="1:28" x14ac:dyDescent="0.35">
      <c r="A19" s="205" t="s">
        <v>557</v>
      </c>
      <c r="B19" s="206">
        <v>18.100000000000001</v>
      </c>
      <c r="C19" s="206">
        <v>25.2</v>
      </c>
      <c r="D19" s="206">
        <v>19.600000000000001</v>
      </c>
      <c r="E19" s="206">
        <v>37.1</v>
      </c>
      <c r="F19" s="206">
        <v>100</v>
      </c>
      <c r="G19" s="207">
        <v>2266.6</v>
      </c>
      <c r="H19" s="208">
        <v>14619.1</v>
      </c>
      <c r="I19" s="184"/>
      <c r="J19" s="184"/>
      <c r="K19" s="184"/>
      <c r="L19" s="184"/>
      <c r="M19" s="184"/>
      <c r="N19" s="184"/>
      <c r="O19" s="184"/>
      <c r="P19" s="184"/>
      <c r="Q19" s="184"/>
      <c r="R19" s="184"/>
      <c r="S19" s="184"/>
      <c r="T19" s="184"/>
      <c r="U19" s="184"/>
      <c r="V19" s="184"/>
      <c r="W19" s="184"/>
      <c r="X19" s="184"/>
      <c r="Y19" s="184"/>
      <c r="Z19" s="184"/>
      <c r="AA19" s="184"/>
      <c r="AB19" s="184"/>
    </row>
    <row r="20" spans="1:28" x14ac:dyDescent="0.35">
      <c r="A20" s="205" t="s">
        <v>558</v>
      </c>
      <c r="B20" s="206">
        <v>17.5</v>
      </c>
      <c r="C20" s="206">
        <v>27.6</v>
      </c>
      <c r="D20" s="206">
        <v>22.3</v>
      </c>
      <c r="E20" s="206">
        <v>32.6</v>
      </c>
      <c r="F20" s="206">
        <v>100</v>
      </c>
      <c r="G20" s="207">
        <v>4056.7</v>
      </c>
      <c r="H20" s="208">
        <v>13826.8</v>
      </c>
      <c r="I20" s="184"/>
      <c r="J20" s="184"/>
      <c r="K20" s="184"/>
      <c r="L20" s="184"/>
      <c r="M20" s="184"/>
      <c r="N20" s="184"/>
      <c r="O20" s="184"/>
      <c r="P20" s="184"/>
      <c r="Q20" s="184"/>
      <c r="R20" s="184"/>
      <c r="S20" s="184"/>
      <c r="T20" s="184"/>
      <c r="U20" s="184"/>
      <c r="V20" s="184"/>
      <c r="W20" s="184"/>
      <c r="X20" s="184"/>
      <c r="Y20" s="184"/>
      <c r="Z20" s="184"/>
      <c r="AA20" s="184"/>
      <c r="AB20" s="184"/>
    </row>
    <row r="21" spans="1:28" ht="15.75" customHeight="1" x14ac:dyDescent="0.35">
      <c r="A21" s="205" t="s">
        <v>559</v>
      </c>
      <c r="B21" s="206">
        <v>20.100000000000001</v>
      </c>
      <c r="C21" s="206">
        <v>31.4</v>
      </c>
      <c r="D21" s="206">
        <v>22.3</v>
      </c>
      <c r="E21" s="206">
        <v>26.3</v>
      </c>
      <c r="F21" s="206">
        <v>100</v>
      </c>
      <c r="G21" s="207">
        <v>5381.9</v>
      </c>
      <c r="H21" s="208">
        <v>12315.5</v>
      </c>
      <c r="I21" s="184"/>
      <c r="J21" s="184"/>
      <c r="K21" s="184"/>
      <c r="L21" s="184"/>
      <c r="M21" s="184"/>
      <c r="N21" s="184"/>
      <c r="O21" s="184"/>
      <c r="P21" s="184"/>
      <c r="Q21" s="184"/>
      <c r="R21" s="184"/>
      <c r="S21" s="184"/>
      <c r="T21" s="184"/>
      <c r="U21" s="184"/>
      <c r="V21" s="184"/>
      <c r="W21" s="184"/>
      <c r="X21" s="184"/>
      <c r="Y21" s="184"/>
      <c r="Z21" s="184"/>
      <c r="AA21" s="184"/>
      <c r="AB21" s="184"/>
    </row>
    <row r="22" spans="1:28" x14ac:dyDescent="0.35">
      <c r="A22" s="205" t="s">
        <v>560</v>
      </c>
      <c r="B22" s="206">
        <v>21</v>
      </c>
      <c r="C22" s="206">
        <v>31.7</v>
      </c>
      <c r="D22" s="206">
        <v>21.7</v>
      </c>
      <c r="E22" s="206">
        <v>25.5</v>
      </c>
      <c r="F22" s="206">
        <v>100</v>
      </c>
      <c r="G22" s="207">
        <v>4283.3999999999996</v>
      </c>
      <c r="H22" s="208">
        <v>12120</v>
      </c>
      <c r="I22" s="184"/>
      <c r="J22" s="184"/>
      <c r="K22" s="184"/>
      <c r="L22" s="184"/>
      <c r="M22" s="184"/>
      <c r="N22" s="184"/>
      <c r="O22" s="184"/>
      <c r="P22" s="184"/>
      <c r="Q22" s="184"/>
      <c r="R22" s="184"/>
      <c r="S22" s="184"/>
      <c r="T22" s="184"/>
      <c r="U22" s="184"/>
      <c r="V22" s="184"/>
      <c r="W22" s="184"/>
      <c r="X22" s="184"/>
      <c r="Y22" s="184"/>
      <c r="Z22" s="184"/>
      <c r="AA22" s="184"/>
      <c r="AB22" s="184"/>
    </row>
    <row r="23" spans="1:28" x14ac:dyDescent="0.35">
      <c r="A23" s="205" t="s">
        <v>561</v>
      </c>
      <c r="B23" s="206">
        <v>19.399999999999999</v>
      </c>
      <c r="C23" s="206">
        <v>24.5</v>
      </c>
      <c r="D23" s="206">
        <v>16.7</v>
      </c>
      <c r="E23" s="206">
        <v>39.4</v>
      </c>
      <c r="F23" s="206">
        <v>100</v>
      </c>
      <c r="G23" s="207">
        <v>906.2</v>
      </c>
      <c r="H23" s="208">
        <v>14611.9</v>
      </c>
      <c r="I23" s="184"/>
      <c r="J23" s="184"/>
      <c r="K23" s="184"/>
      <c r="L23" s="184"/>
      <c r="M23" s="184"/>
      <c r="N23" s="184"/>
      <c r="O23" s="184"/>
      <c r="P23" s="184"/>
      <c r="Q23" s="184"/>
      <c r="R23" s="184"/>
      <c r="S23" s="184"/>
      <c r="T23" s="184"/>
      <c r="U23" s="184"/>
      <c r="V23" s="184"/>
      <c r="W23" s="184"/>
      <c r="X23" s="184"/>
      <c r="Y23" s="184"/>
      <c r="Z23" s="184"/>
      <c r="AA23" s="184"/>
      <c r="AB23" s="184"/>
    </row>
    <row r="24" spans="1:28" x14ac:dyDescent="0.35">
      <c r="A24" s="205" t="s">
        <v>562</v>
      </c>
      <c r="B24" s="206">
        <v>25.1</v>
      </c>
      <c r="C24" s="206">
        <v>30</v>
      </c>
      <c r="D24" s="206">
        <v>20.3</v>
      </c>
      <c r="E24" s="206">
        <v>24.6</v>
      </c>
      <c r="F24" s="206">
        <v>100</v>
      </c>
      <c r="G24" s="207">
        <v>3247.6</v>
      </c>
      <c r="H24" s="208">
        <v>11712.6</v>
      </c>
      <c r="I24" s="184"/>
      <c r="J24" s="184"/>
      <c r="K24" s="184"/>
      <c r="L24" s="184"/>
      <c r="M24" s="184"/>
      <c r="N24" s="184"/>
      <c r="O24" s="184"/>
      <c r="P24" s="184"/>
      <c r="Q24" s="184"/>
      <c r="R24" s="184"/>
      <c r="S24" s="184"/>
      <c r="T24" s="184"/>
      <c r="U24" s="184"/>
      <c r="V24" s="184"/>
      <c r="W24" s="184"/>
      <c r="X24" s="184"/>
      <c r="Y24" s="184"/>
      <c r="Z24" s="184"/>
      <c r="AA24" s="184"/>
      <c r="AB24" s="184"/>
    </row>
    <row r="25" spans="1:28" ht="46.5" x14ac:dyDescent="0.35">
      <c r="A25" s="205" t="s">
        <v>563</v>
      </c>
      <c r="B25" s="206">
        <v>35.5</v>
      </c>
      <c r="C25" s="206">
        <v>30.2</v>
      </c>
      <c r="D25" s="206">
        <v>17.600000000000001</v>
      </c>
      <c r="E25" s="206">
        <v>16.7</v>
      </c>
      <c r="F25" s="206">
        <v>100</v>
      </c>
      <c r="G25" s="207">
        <v>568.70000000000005</v>
      </c>
      <c r="H25" s="208">
        <v>9950.2999999999993</v>
      </c>
      <c r="I25" s="184"/>
      <c r="J25" s="184"/>
      <c r="K25" s="184" t="s">
        <v>799</v>
      </c>
      <c r="L25" s="184"/>
      <c r="M25" s="184" t="s">
        <v>619</v>
      </c>
      <c r="N25" s="184" t="s">
        <v>626</v>
      </c>
      <c r="O25" s="215" t="s">
        <v>620</v>
      </c>
      <c r="P25" s="215" t="s">
        <v>621</v>
      </c>
      <c r="Q25" s="184" t="s">
        <v>622</v>
      </c>
      <c r="R25" s="184" t="s">
        <v>624</v>
      </c>
      <c r="S25" s="184" t="s">
        <v>541</v>
      </c>
      <c r="T25" s="184" t="s">
        <v>624</v>
      </c>
      <c r="U25" s="184" t="s">
        <v>623</v>
      </c>
      <c r="V25" s="215" t="s">
        <v>627</v>
      </c>
      <c r="W25" s="215" t="s">
        <v>628</v>
      </c>
      <c r="X25" s="184" t="s">
        <v>629</v>
      </c>
      <c r="Y25" s="184"/>
      <c r="Z25" s="184"/>
      <c r="AA25" s="184"/>
      <c r="AB25" s="184"/>
    </row>
    <row r="26" spans="1:28" x14ac:dyDescent="0.35">
      <c r="A26" s="201" t="s">
        <v>564</v>
      </c>
      <c r="B26" s="202"/>
      <c r="C26" s="203"/>
      <c r="D26" s="203"/>
      <c r="E26" s="203"/>
      <c r="F26" s="203"/>
      <c r="G26" s="203"/>
      <c r="H26" s="204"/>
      <c r="I26" s="184"/>
      <c r="J26" s="184" t="s">
        <v>0</v>
      </c>
      <c r="K26" s="184">
        <f>G27+G28</f>
        <v>4179.8999999999996</v>
      </c>
      <c r="L26" s="185">
        <f>K26/$K$31</f>
        <v>0.12775458307608609</v>
      </c>
      <c r="M26" s="214">
        <v>3896.0436800000043</v>
      </c>
      <c r="N26" s="214">
        <f>ROUND(M26,0)</f>
        <v>3896</v>
      </c>
      <c r="O26" s="184">
        <f>SUMPRODUCT(G27:G28,H27:H28)/SUM(G27:G28)</f>
        <v>11608.102294313263</v>
      </c>
      <c r="P26" s="184">
        <v>11535.2</v>
      </c>
      <c r="Q26" s="185">
        <f>N26*R26</f>
        <v>350.64</v>
      </c>
      <c r="R26" s="221">
        <v>0.09</v>
      </c>
      <c r="S26" s="185">
        <f t="shared" ref="S26:S31" si="0">N26*T26</f>
        <v>3545.36</v>
      </c>
      <c r="T26" s="220">
        <f>1-R26</f>
        <v>0.91</v>
      </c>
      <c r="U26" s="214">
        <f t="shared" ref="U26:U31" si="1">Q26+S26</f>
        <v>3896</v>
      </c>
      <c r="V26" s="184">
        <f>N26*P26</f>
        <v>44941139.200000003</v>
      </c>
      <c r="W26" s="220">
        <v>0.2</v>
      </c>
      <c r="X26" s="184">
        <f>V26*W26</f>
        <v>8988227.8400000017</v>
      </c>
      <c r="Y26" s="184"/>
      <c r="Z26" s="184"/>
      <c r="AA26" s="184"/>
      <c r="AB26" s="184"/>
    </row>
    <row r="27" spans="1:28" x14ac:dyDescent="0.35">
      <c r="A27" s="205" t="s">
        <v>565</v>
      </c>
      <c r="B27" s="206">
        <v>26.5</v>
      </c>
      <c r="C27" s="206">
        <v>29.9</v>
      </c>
      <c r="D27" s="206">
        <v>19.2</v>
      </c>
      <c r="E27" s="206">
        <v>24.4</v>
      </c>
      <c r="F27" s="206">
        <v>100</v>
      </c>
      <c r="G27" s="207">
        <v>1874.8</v>
      </c>
      <c r="H27" s="208">
        <v>11582.9</v>
      </c>
      <c r="I27" s="184"/>
      <c r="J27" s="184" t="s">
        <v>1</v>
      </c>
      <c r="K27" s="184">
        <f>G30+G29</f>
        <v>5805.5</v>
      </c>
      <c r="L27" s="185">
        <f>K27/$K$31</f>
        <v>0.17743946794139043</v>
      </c>
      <c r="M27" s="214">
        <v>5410.1077440000035</v>
      </c>
      <c r="N27" s="214">
        <v>5367</v>
      </c>
      <c r="O27" s="184">
        <f>SUMPRODUCT(G29:G30,H29:H30)/SUM(G29:G30)</f>
        <v>12137.734498320557</v>
      </c>
      <c r="P27" s="184">
        <v>12109.3</v>
      </c>
      <c r="Q27" s="185">
        <f>N27*R27</f>
        <v>815.23182768724257</v>
      </c>
      <c r="R27" s="221">
        <v>0.15189711713941542</v>
      </c>
      <c r="S27" s="185">
        <f t="shared" si="0"/>
        <v>4551.7681723127571</v>
      </c>
      <c r="T27" s="220">
        <f t="shared" ref="T27:T31" si="2">1-R27</f>
        <v>0.84810288286058455</v>
      </c>
      <c r="U27" s="214">
        <f t="shared" si="1"/>
        <v>5367</v>
      </c>
      <c r="V27" s="184">
        <f t="shared" ref="V27:V31" si="3">N27*P27</f>
        <v>64990613.099999994</v>
      </c>
      <c r="W27" s="220">
        <v>0.18</v>
      </c>
      <c r="X27" s="184">
        <f t="shared" ref="X27:X31" si="4">V27*W27</f>
        <v>11698310.357999999</v>
      </c>
      <c r="Y27" s="184"/>
      <c r="Z27" s="184"/>
      <c r="AA27" s="184"/>
      <c r="AB27" s="184"/>
    </row>
    <row r="28" spans="1:28" x14ac:dyDescent="0.35">
      <c r="A28" s="205" t="s">
        <v>566</v>
      </c>
      <c r="B28" s="206">
        <v>24.1</v>
      </c>
      <c r="C28" s="206">
        <v>32</v>
      </c>
      <c r="D28" s="206">
        <v>20.9</v>
      </c>
      <c r="E28" s="206">
        <v>23</v>
      </c>
      <c r="F28" s="206">
        <v>100</v>
      </c>
      <c r="G28" s="207">
        <v>2305.1</v>
      </c>
      <c r="H28" s="208">
        <v>11628.6</v>
      </c>
      <c r="I28" s="184"/>
      <c r="J28" s="184" t="s">
        <v>2</v>
      </c>
      <c r="K28" s="184">
        <f>G31+G32</f>
        <v>6900.6</v>
      </c>
      <c r="L28" s="185">
        <f>K28/$K$31</f>
        <v>0.21091013564315886</v>
      </c>
      <c r="M28" s="214">
        <v>6431.2441600000047</v>
      </c>
      <c r="N28" s="214">
        <f>ROUND(M28,0)</f>
        <v>6431</v>
      </c>
      <c r="O28" s="184">
        <f>SUMPRODUCT(G31:G32,H31:H32)/SUM(G31:G32)</f>
        <v>12665.54576413645</v>
      </c>
      <c r="P28" s="184">
        <v>12644.3</v>
      </c>
      <c r="Q28" s="185">
        <f>N28*R28</f>
        <v>2045.7190930414204</v>
      </c>
      <c r="R28" s="221">
        <v>0.31810279786058471</v>
      </c>
      <c r="S28" s="185">
        <f t="shared" si="0"/>
        <v>4385.2809069585801</v>
      </c>
      <c r="T28" s="220">
        <f t="shared" si="2"/>
        <v>0.68189720213941529</v>
      </c>
      <c r="U28" s="214">
        <f t="shared" si="1"/>
        <v>6431</v>
      </c>
      <c r="V28" s="184">
        <f t="shared" si="3"/>
        <v>81315493.299999997</v>
      </c>
      <c r="W28" s="220">
        <v>0.2063583809705507</v>
      </c>
      <c r="X28" s="184">
        <f t="shared" si="4"/>
        <v>16780133.545209661</v>
      </c>
      <c r="Y28" s="184"/>
      <c r="Z28" s="184"/>
      <c r="AA28" s="184"/>
      <c r="AB28" s="184"/>
    </row>
    <row r="29" spans="1:28" x14ac:dyDescent="0.35">
      <c r="A29" s="205" t="s">
        <v>567</v>
      </c>
      <c r="B29" s="206">
        <v>23.4</v>
      </c>
      <c r="C29" s="206">
        <v>33.299999999999997</v>
      </c>
      <c r="D29" s="206">
        <v>18.2</v>
      </c>
      <c r="E29" s="206">
        <v>25.1</v>
      </c>
      <c r="F29" s="206">
        <v>100</v>
      </c>
      <c r="G29" s="207">
        <v>2725.6</v>
      </c>
      <c r="H29" s="208">
        <v>11860.7</v>
      </c>
      <c r="I29" s="184"/>
      <c r="J29" s="184" t="s">
        <v>3</v>
      </c>
      <c r="K29" s="184">
        <f>G33+G34</f>
        <v>7710.2000000000007</v>
      </c>
      <c r="L29" s="185">
        <f>K29/$K$31</f>
        <v>0.23565477318434389</v>
      </c>
      <c r="M29" s="214">
        <v>7186.2601280000035</v>
      </c>
      <c r="N29" s="214">
        <f>ROUND(M29,0)</f>
        <v>7186</v>
      </c>
      <c r="O29" s="184">
        <f>SUMPRODUCT(G33:G34,H33:H34)/SUM(G33:G34)</f>
        <v>13659.388245441103</v>
      </c>
      <c r="P29" s="184">
        <v>13643.3</v>
      </c>
      <c r="Q29" s="185">
        <f>N29*R29</f>
        <v>2984.934983532517</v>
      </c>
      <c r="R29" s="221">
        <v>0.41538199047210089</v>
      </c>
      <c r="S29" s="185">
        <f t="shared" si="0"/>
        <v>4201.0650164674826</v>
      </c>
      <c r="T29" s="220">
        <f t="shared" si="2"/>
        <v>0.58461800952789911</v>
      </c>
      <c r="U29" s="214">
        <f t="shared" si="1"/>
        <v>7186</v>
      </c>
      <c r="V29" s="184">
        <f t="shared" si="3"/>
        <v>98040753.799999997</v>
      </c>
      <c r="W29" s="220">
        <v>0.25526011544562599</v>
      </c>
      <c r="X29" s="184">
        <f t="shared" si="4"/>
        <v>25025894.133364193</v>
      </c>
      <c r="Y29" s="184"/>
      <c r="Z29" s="184"/>
      <c r="AA29" s="184"/>
      <c r="AB29" s="184"/>
    </row>
    <row r="30" spans="1:28" x14ac:dyDescent="0.35">
      <c r="A30" s="205" t="s">
        <v>568</v>
      </c>
      <c r="B30" s="206">
        <v>21</v>
      </c>
      <c r="C30" s="206">
        <v>30.6</v>
      </c>
      <c r="D30" s="206">
        <v>21.7</v>
      </c>
      <c r="E30" s="206">
        <v>26.7</v>
      </c>
      <c r="F30" s="206">
        <v>100</v>
      </c>
      <c r="G30" s="207">
        <v>3079.9</v>
      </c>
      <c r="H30" s="219">
        <v>12382.9</v>
      </c>
      <c r="I30" s="184"/>
      <c r="J30" s="184" t="s">
        <v>4</v>
      </c>
      <c r="K30" s="184">
        <f>G35+G36</f>
        <v>8122</v>
      </c>
      <c r="L30" s="185">
        <f>K30/$K$31</f>
        <v>0.24824104015502074</v>
      </c>
      <c r="M30" s="214">
        <v>7569.312288000001</v>
      </c>
      <c r="N30" s="214">
        <f>ROUND(M30,0)</f>
        <v>7569</v>
      </c>
      <c r="O30" s="184">
        <f>SUMPRODUCT(G35:G36,H35:H36)/SUM(G35:G36)</f>
        <v>14072.848405565132</v>
      </c>
      <c r="P30" s="184">
        <v>14045.89</v>
      </c>
      <c r="Q30" s="185">
        <f>N30*R30</f>
        <v>3781.60935748167</v>
      </c>
      <c r="R30" s="221">
        <v>0.49961809452789935</v>
      </c>
      <c r="S30" s="185">
        <f t="shared" si="0"/>
        <v>3787.3906425183295</v>
      </c>
      <c r="T30" s="220">
        <f t="shared" si="2"/>
        <v>0.5003819054721006</v>
      </c>
      <c r="U30" s="214">
        <f t="shared" si="1"/>
        <v>7569</v>
      </c>
      <c r="V30" s="184">
        <f t="shared" si="3"/>
        <v>106313341.41</v>
      </c>
      <c r="W30" s="220">
        <v>0.15838150358382397</v>
      </c>
      <c r="X30" s="184">
        <f t="shared" si="4"/>
        <v>16838066.863536216</v>
      </c>
      <c r="Y30" s="184"/>
      <c r="Z30" s="184"/>
      <c r="AA30" s="184"/>
      <c r="AB30" s="184"/>
    </row>
    <row r="31" spans="1:28" x14ac:dyDescent="0.35">
      <c r="A31" s="205" t="s">
        <v>569</v>
      </c>
      <c r="B31" s="206">
        <v>21</v>
      </c>
      <c r="C31" s="206">
        <v>31.8</v>
      </c>
      <c r="D31" s="206">
        <v>18.5</v>
      </c>
      <c r="E31" s="206">
        <v>28.7</v>
      </c>
      <c r="F31" s="206">
        <v>100</v>
      </c>
      <c r="G31" s="207">
        <v>3309.5</v>
      </c>
      <c r="H31" s="219">
        <v>12261.4</v>
      </c>
      <c r="I31" s="184"/>
      <c r="J31" s="184" t="s">
        <v>617</v>
      </c>
      <c r="K31" s="184">
        <f>SUM(K26:K30)</f>
        <v>32718.2</v>
      </c>
      <c r="M31" s="185">
        <f>SUM(M26:M30)</f>
        <v>30492.968000000015</v>
      </c>
      <c r="N31" s="214">
        <f>SUM(N26:N30)</f>
        <v>30449</v>
      </c>
      <c r="O31" s="184">
        <f>SUMPRODUCT(K26:K30,O26:O30)/SUM(K26:K30)</f>
        <v>13020.351960376793</v>
      </c>
      <c r="P31" s="217">
        <f>SUMPRODUCT(P26:P30,M26:M30)/SUM(K26:K30)</f>
        <v>12107.477546792981</v>
      </c>
      <c r="Q31" s="185">
        <f>M31*R31</f>
        <v>8995.4255600000051</v>
      </c>
      <c r="R31" s="220">
        <f xml:space="preserve"> AVERAGE(R26:R30)</f>
        <v>0.29500000000000004</v>
      </c>
      <c r="S31" s="185">
        <f t="shared" si="0"/>
        <v>21466.544999999998</v>
      </c>
      <c r="T31" s="220">
        <f t="shared" si="2"/>
        <v>0.70499999999999996</v>
      </c>
      <c r="U31" s="214">
        <f t="shared" si="1"/>
        <v>30461.970560000002</v>
      </c>
      <c r="V31" s="184">
        <f t="shared" si="3"/>
        <v>368660583.82229948</v>
      </c>
      <c r="W31" s="220">
        <f>AVERAGE(W26:W30)</f>
        <v>0.20000000000000012</v>
      </c>
      <c r="X31" s="184">
        <f t="shared" si="4"/>
        <v>73732116.764459938</v>
      </c>
      <c r="Y31" s="184"/>
      <c r="Z31" s="184"/>
      <c r="AA31" s="184"/>
      <c r="AB31" s="184"/>
    </row>
    <row r="32" spans="1:28" x14ac:dyDescent="0.35">
      <c r="A32" s="205" t="s">
        <v>570</v>
      </c>
      <c r="B32" s="206">
        <v>20.3</v>
      </c>
      <c r="C32" s="206">
        <v>28.2</v>
      </c>
      <c r="D32" s="206">
        <v>21.3</v>
      </c>
      <c r="E32" s="206">
        <v>30.2</v>
      </c>
      <c r="F32" s="206">
        <v>100</v>
      </c>
      <c r="G32" s="207">
        <v>3591.1</v>
      </c>
      <c r="H32" s="208">
        <v>13038</v>
      </c>
      <c r="I32" s="184"/>
      <c r="J32" s="184" t="s">
        <v>618</v>
      </c>
      <c r="K32" s="184">
        <v>30492.968000000015</v>
      </c>
      <c r="O32" s="184"/>
      <c r="P32" s="184"/>
      <c r="Q32" s="214"/>
      <c r="R32" s="214"/>
      <c r="S32" s="214"/>
      <c r="T32" s="220"/>
      <c r="U32" s="214"/>
      <c r="V32" s="184"/>
      <c r="W32" s="214">
        <v>0.2</v>
      </c>
      <c r="X32" s="184"/>
      <c r="Y32" s="184"/>
      <c r="Z32" s="184"/>
      <c r="AA32" s="184"/>
      <c r="AB32" s="184"/>
    </row>
    <row r="33" spans="1:28" x14ac:dyDescent="0.35">
      <c r="A33" s="205" t="s">
        <v>571</v>
      </c>
      <c r="B33" s="206">
        <v>19.600000000000001</v>
      </c>
      <c r="C33" s="206">
        <v>28.4</v>
      </c>
      <c r="D33" s="206">
        <v>22.5</v>
      </c>
      <c r="E33" s="206">
        <v>29.6</v>
      </c>
      <c r="F33" s="206">
        <v>100</v>
      </c>
      <c r="G33" s="207">
        <v>3846.3</v>
      </c>
      <c r="H33" s="208">
        <v>13115.7</v>
      </c>
      <c r="I33" s="184"/>
      <c r="J33" s="184"/>
      <c r="K33" s="184"/>
      <c r="L33" s="184"/>
      <c r="O33" s="184"/>
      <c r="P33" s="184"/>
      <c r="Q33" s="184"/>
      <c r="R33" s="185">
        <f>R31-R32</f>
        <v>0.29500000000000004</v>
      </c>
      <c r="S33" s="184"/>
      <c r="T33" s="214">
        <f>1-R33</f>
        <v>0.70499999999999996</v>
      </c>
      <c r="U33" s="184"/>
      <c r="V33" s="184"/>
      <c r="W33" s="214">
        <f>W31-W32</f>
        <v>0</v>
      </c>
      <c r="X33" s="184"/>
      <c r="Y33" s="184"/>
      <c r="Z33" s="184"/>
      <c r="AA33" s="184"/>
      <c r="AB33" s="184"/>
    </row>
    <row r="34" spans="1:28" x14ac:dyDescent="0.35">
      <c r="A34" s="205" t="s">
        <v>572</v>
      </c>
      <c r="B34" s="206">
        <v>16.8</v>
      </c>
      <c r="C34" s="206">
        <v>26.8</v>
      </c>
      <c r="D34" s="206">
        <v>21.9</v>
      </c>
      <c r="E34" s="206">
        <v>34.4</v>
      </c>
      <c r="F34" s="206">
        <v>100</v>
      </c>
      <c r="G34" s="207">
        <v>3863.9</v>
      </c>
      <c r="H34" s="208">
        <v>14200.6</v>
      </c>
      <c r="I34" s="184"/>
      <c r="J34" s="184"/>
      <c r="K34" s="184">
        <v>1</v>
      </c>
      <c r="L34" s="184">
        <v>2</v>
      </c>
      <c r="M34" s="184">
        <v>3</v>
      </c>
      <c r="N34" s="184">
        <v>4</v>
      </c>
      <c r="O34" s="184">
        <v>5</v>
      </c>
      <c r="P34" s="184">
        <v>6</v>
      </c>
      <c r="Q34" s="184">
        <v>7</v>
      </c>
      <c r="R34" s="184">
        <v>8</v>
      </c>
      <c r="S34" s="184">
        <v>9</v>
      </c>
      <c r="T34" s="184">
        <v>10</v>
      </c>
      <c r="U34" s="184">
        <v>11</v>
      </c>
      <c r="V34" s="184">
        <v>12</v>
      </c>
      <c r="W34" s="184">
        <v>13</v>
      </c>
      <c r="X34" s="184">
        <v>14</v>
      </c>
      <c r="Y34" s="184"/>
      <c r="Z34" s="184"/>
      <c r="AA34" s="184"/>
      <c r="AB34" s="184"/>
    </row>
    <row r="35" spans="1:28" x14ac:dyDescent="0.35">
      <c r="A35" s="205" t="s">
        <v>573</v>
      </c>
      <c r="B35" s="206">
        <v>18.3</v>
      </c>
      <c r="C35" s="206">
        <v>27.7</v>
      </c>
      <c r="D35" s="206">
        <v>20</v>
      </c>
      <c r="E35" s="206">
        <v>34</v>
      </c>
      <c r="F35" s="206">
        <v>100</v>
      </c>
      <c r="G35" s="207">
        <v>3982.5</v>
      </c>
      <c r="H35" s="208">
        <v>14020.2</v>
      </c>
      <c r="I35" s="184"/>
      <c r="J35" s="184"/>
      <c r="K35" s="184"/>
      <c r="L35" s="184"/>
      <c r="M35" s="184"/>
      <c r="N35" s="184"/>
      <c r="O35" s="184"/>
      <c r="P35" s="184"/>
      <c r="Q35" s="184"/>
      <c r="R35" s="184"/>
      <c r="S35" s="184"/>
      <c r="T35" s="184"/>
      <c r="U35" s="184"/>
      <c r="V35" s="184"/>
      <c r="W35" s="184"/>
      <c r="X35" s="184"/>
      <c r="Y35" s="184"/>
      <c r="Z35" s="184"/>
      <c r="AA35" s="184"/>
      <c r="AB35" s="184"/>
    </row>
    <row r="36" spans="1:28" x14ac:dyDescent="0.35">
      <c r="A36" s="205" t="s">
        <v>574</v>
      </c>
      <c r="B36" s="206">
        <v>20.100000000000001</v>
      </c>
      <c r="C36" s="206">
        <v>26</v>
      </c>
      <c r="D36" s="206">
        <v>20</v>
      </c>
      <c r="E36" s="206">
        <v>34</v>
      </c>
      <c r="F36" s="206">
        <v>100</v>
      </c>
      <c r="G36" s="207">
        <v>4139.5</v>
      </c>
      <c r="H36" s="208">
        <v>14123.5</v>
      </c>
      <c r="I36" s="184"/>
      <c r="J36" s="184"/>
      <c r="K36" s="184"/>
      <c r="L36" s="184"/>
      <c r="M36" s="184"/>
      <c r="N36" s="184"/>
      <c r="O36" s="184"/>
      <c r="P36" s="184"/>
      <c r="Q36" s="184"/>
      <c r="R36" s="184"/>
      <c r="S36" s="184"/>
      <c r="T36" s="184"/>
      <c r="U36" s="184"/>
      <c r="V36" s="184"/>
      <c r="W36" s="184"/>
      <c r="X36" s="184"/>
      <c r="Y36" s="184"/>
      <c r="Z36" s="184"/>
      <c r="AA36" s="184"/>
      <c r="AB36" s="184"/>
    </row>
    <row r="37" spans="1:28" x14ac:dyDescent="0.35">
      <c r="A37" s="201" t="s">
        <v>575</v>
      </c>
      <c r="B37" s="202"/>
      <c r="C37" s="203"/>
      <c r="D37" s="203"/>
      <c r="E37" s="203"/>
      <c r="F37" s="203"/>
      <c r="G37" s="203"/>
      <c r="H37" s="204"/>
      <c r="I37" s="184"/>
      <c r="J37" s="184"/>
      <c r="K37" s="184"/>
      <c r="L37" s="184"/>
      <c r="M37" s="184"/>
      <c r="N37" s="184"/>
      <c r="O37" s="184"/>
      <c r="P37" s="184"/>
      <c r="Q37" s="184"/>
      <c r="R37" s="184"/>
      <c r="S37" s="184"/>
      <c r="T37" s="184"/>
      <c r="U37" s="184"/>
      <c r="V37" s="184"/>
      <c r="W37" s="184"/>
      <c r="X37" s="184"/>
      <c r="Y37" s="184"/>
      <c r="Z37" s="184"/>
      <c r="AA37" s="184"/>
      <c r="AB37" s="184"/>
    </row>
    <row r="38" spans="1:28" x14ac:dyDescent="0.35">
      <c r="A38" s="205" t="s">
        <v>505</v>
      </c>
      <c r="B38" s="206">
        <v>24.7</v>
      </c>
      <c r="C38" s="206">
        <v>31.3</v>
      </c>
      <c r="D38" s="206">
        <v>20</v>
      </c>
      <c r="E38" s="206">
        <v>24</v>
      </c>
      <c r="F38" s="206">
        <v>100</v>
      </c>
      <c r="G38" s="207">
        <v>5526.1</v>
      </c>
      <c r="H38" s="208">
        <v>11633.3</v>
      </c>
      <c r="I38" s="184"/>
      <c r="J38" s="184"/>
      <c r="K38" s="184"/>
      <c r="L38" s="184"/>
      <c r="M38" s="184"/>
      <c r="N38" s="184"/>
      <c r="O38" s="184"/>
      <c r="P38" s="184"/>
      <c r="Q38" s="184"/>
      <c r="R38" s="184"/>
      <c r="S38" s="184"/>
      <c r="T38" s="184"/>
      <c r="U38" s="184"/>
      <c r="V38" s="184"/>
      <c r="W38" s="184"/>
      <c r="X38" s="216"/>
      <c r="Y38" s="184"/>
      <c r="Z38" s="184"/>
      <c r="AA38" s="184"/>
      <c r="AB38" s="184"/>
    </row>
    <row r="39" spans="1:28" x14ac:dyDescent="0.35">
      <c r="A39" s="205" t="s">
        <v>576</v>
      </c>
      <c r="B39" s="206">
        <v>21.4</v>
      </c>
      <c r="C39" s="206">
        <v>31.8</v>
      </c>
      <c r="D39" s="206">
        <v>19.5</v>
      </c>
      <c r="E39" s="206">
        <v>27.3</v>
      </c>
      <c r="F39" s="206">
        <v>100</v>
      </c>
      <c r="G39" s="207">
        <v>7768.9</v>
      </c>
      <c r="H39" s="208">
        <v>12264.3</v>
      </c>
      <c r="I39" s="184"/>
      <c r="J39" s="184"/>
      <c r="K39" s="184"/>
      <c r="L39" s="184"/>
      <c r="M39" s="184"/>
      <c r="N39" s="184"/>
      <c r="O39" s="184"/>
      <c r="P39" s="184"/>
      <c r="Q39" s="184"/>
      <c r="R39" s="184"/>
      <c r="S39" s="184"/>
      <c r="T39" s="184"/>
      <c r="U39" s="184"/>
      <c r="V39" s="184"/>
      <c r="W39" s="184"/>
      <c r="X39" s="184"/>
      <c r="Y39" s="184"/>
      <c r="Z39" s="184"/>
      <c r="AA39" s="184"/>
      <c r="AB39" s="184"/>
    </row>
    <row r="40" spans="1:28" x14ac:dyDescent="0.35">
      <c r="A40" s="205" t="s">
        <v>577</v>
      </c>
      <c r="B40" s="206">
        <v>19.5</v>
      </c>
      <c r="C40" s="206">
        <v>28.3</v>
      </c>
      <c r="D40" s="206">
        <v>21.4</v>
      </c>
      <c r="E40" s="206">
        <v>30.8</v>
      </c>
      <c r="F40" s="206">
        <v>100</v>
      </c>
      <c r="G40" s="207">
        <v>9337.5</v>
      </c>
      <c r="H40" s="208">
        <v>13267.5</v>
      </c>
      <c r="I40" s="184"/>
      <c r="J40" s="184"/>
      <c r="K40" s="184"/>
      <c r="L40" s="184"/>
      <c r="M40" s="184"/>
      <c r="N40" s="184"/>
      <c r="O40" s="184"/>
      <c r="P40" s="184"/>
      <c r="Q40" s="184"/>
      <c r="R40" s="184"/>
      <c r="S40" s="184"/>
      <c r="T40" s="184"/>
      <c r="U40" s="184"/>
      <c r="V40" s="184"/>
      <c r="W40" s="184"/>
      <c r="X40" s="184"/>
      <c r="Y40" s="184"/>
      <c r="Z40" s="184"/>
      <c r="AA40" s="184"/>
      <c r="AB40" s="184"/>
    </row>
    <row r="41" spans="1:28" x14ac:dyDescent="0.35">
      <c r="A41" s="205" t="s">
        <v>578</v>
      </c>
      <c r="B41" s="206">
        <v>18.600000000000001</v>
      </c>
      <c r="C41" s="206">
        <v>26.5</v>
      </c>
      <c r="D41" s="206">
        <v>20.8</v>
      </c>
      <c r="E41" s="206">
        <v>34.1</v>
      </c>
      <c r="F41" s="206">
        <v>100</v>
      </c>
      <c r="G41" s="207">
        <v>10085.700000000001</v>
      </c>
      <c r="H41" s="208">
        <v>14133.7</v>
      </c>
      <c r="I41" s="184"/>
      <c r="J41" s="184"/>
      <c r="K41" s="184"/>
      <c r="L41" s="184"/>
      <c r="M41" s="184"/>
      <c r="N41" s="184"/>
      <c r="O41" s="184"/>
      <c r="P41" s="184"/>
      <c r="Q41" s="184"/>
      <c r="R41" s="184"/>
      <c r="S41" s="184"/>
      <c r="T41" s="184"/>
      <c r="U41" s="184"/>
      <c r="V41" s="184"/>
      <c r="W41" s="184"/>
      <c r="X41" s="184"/>
      <c r="Y41" s="184"/>
      <c r="Z41" s="184"/>
      <c r="AA41" s="184"/>
      <c r="AB41" s="184"/>
    </row>
    <row r="42" spans="1:28" x14ac:dyDescent="0.35">
      <c r="A42" s="201" t="s">
        <v>579</v>
      </c>
      <c r="B42" s="202"/>
      <c r="C42" s="203"/>
      <c r="D42" s="203"/>
      <c r="E42" s="203"/>
      <c r="F42" s="203"/>
      <c r="G42" s="203"/>
      <c r="H42" s="204"/>
      <c r="I42" s="184"/>
      <c r="J42" s="184"/>
      <c r="K42" s="184"/>
      <c r="L42" s="184"/>
      <c r="M42" s="184"/>
      <c r="N42" s="184"/>
      <c r="O42" s="184"/>
      <c r="P42" s="184"/>
      <c r="Q42" s="184"/>
      <c r="R42" s="184"/>
      <c r="S42" s="184"/>
      <c r="T42" s="184"/>
      <c r="U42" s="184"/>
      <c r="V42" s="184"/>
      <c r="W42" s="184"/>
      <c r="X42" s="184"/>
      <c r="Y42" s="184"/>
      <c r="Z42" s="184"/>
      <c r="AA42" s="184"/>
      <c r="AB42" s="184"/>
    </row>
    <row r="43" spans="1:28" x14ac:dyDescent="0.35">
      <c r="A43" s="205" t="s">
        <v>580</v>
      </c>
      <c r="B43" s="206">
        <v>24.7</v>
      </c>
      <c r="C43" s="206">
        <v>30.5</v>
      </c>
      <c r="D43" s="206">
        <v>20.100000000000001</v>
      </c>
      <c r="E43" s="206">
        <v>24.6</v>
      </c>
      <c r="F43" s="206">
        <v>100</v>
      </c>
      <c r="G43" s="207">
        <v>2946.7</v>
      </c>
      <c r="H43" s="208">
        <v>11842.5</v>
      </c>
      <c r="I43" s="184"/>
      <c r="J43" s="184"/>
      <c r="K43" s="184"/>
      <c r="L43" s="184"/>
      <c r="M43" s="184"/>
      <c r="N43" s="184"/>
      <c r="O43" s="184"/>
      <c r="P43" s="184"/>
      <c r="Q43" s="184"/>
      <c r="R43" s="184"/>
      <c r="S43" s="184"/>
      <c r="T43" s="184"/>
      <c r="U43" s="184"/>
      <c r="V43" s="184"/>
      <c r="W43" s="184"/>
      <c r="X43" s="184"/>
      <c r="Y43" s="184"/>
      <c r="Z43" s="184"/>
      <c r="AA43" s="184"/>
      <c r="AB43" s="184"/>
    </row>
    <row r="44" spans="1:28" x14ac:dyDescent="0.35">
      <c r="A44" s="205" t="s">
        <v>581</v>
      </c>
      <c r="B44" s="206">
        <v>25</v>
      </c>
      <c r="C44" s="206">
        <v>32.4</v>
      </c>
      <c r="D44" s="206">
        <v>19</v>
      </c>
      <c r="E44" s="206">
        <v>23.6</v>
      </c>
      <c r="F44" s="206">
        <v>100</v>
      </c>
      <c r="G44" s="207">
        <v>3029.6</v>
      </c>
      <c r="H44" s="208">
        <v>11416.9</v>
      </c>
      <c r="I44" s="184"/>
      <c r="J44" s="184"/>
      <c r="K44" s="184"/>
      <c r="L44" s="184"/>
      <c r="M44" s="184"/>
      <c r="N44" s="184"/>
      <c r="O44" s="184"/>
      <c r="P44" s="184"/>
      <c r="Q44" s="184"/>
      <c r="R44" s="184"/>
      <c r="S44" s="184"/>
      <c r="T44" s="184"/>
      <c r="U44" s="184"/>
      <c r="V44" s="184"/>
      <c r="W44" s="184"/>
      <c r="X44" s="184"/>
      <c r="Y44" s="184"/>
      <c r="Z44" s="184"/>
      <c r="AA44" s="184"/>
      <c r="AB44" s="184"/>
    </row>
    <row r="45" spans="1:28" x14ac:dyDescent="0.35">
      <c r="A45" s="205" t="s">
        <v>582</v>
      </c>
      <c r="B45" s="206">
        <v>21.1</v>
      </c>
      <c r="C45" s="206">
        <v>31.5</v>
      </c>
      <c r="D45" s="206">
        <v>20.7</v>
      </c>
      <c r="E45" s="206">
        <v>26.7</v>
      </c>
      <c r="F45" s="206">
        <v>100</v>
      </c>
      <c r="G45" s="207">
        <v>4257.5</v>
      </c>
      <c r="H45" s="208">
        <v>12360.1</v>
      </c>
      <c r="I45" s="184"/>
      <c r="J45" s="184"/>
      <c r="K45" s="184"/>
      <c r="L45" s="184"/>
      <c r="M45" s="184"/>
      <c r="N45" s="184"/>
      <c r="O45" s="184"/>
      <c r="P45" s="184"/>
      <c r="Q45" s="184"/>
      <c r="R45" s="184"/>
      <c r="S45" s="184"/>
      <c r="T45" s="184"/>
      <c r="U45" s="184"/>
      <c r="V45" s="184"/>
      <c r="W45" s="184"/>
      <c r="X45" s="184"/>
      <c r="Y45" s="184"/>
      <c r="Z45" s="184"/>
      <c r="AA45" s="184"/>
      <c r="AB45" s="184"/>
    </row>
    <row r="46" spans="1:28" x14ac:dyDescent="0.35">
      <c r="A46" s="205" t="s">
        <v>583</v>
      </c>
      <c r="B46" s="206">
        <v>20</v>
      </c>
      <c r="C46" s="206">
        <v>31</v>
      </c>
      <c r="D46" s="206">
        <v>19.5</v>
      </c>
      <c r="E46" s="206">
        <v>29.5</v>
      </c>
      <c r="F46" s="206">
        <v>100</v>
      </c>
      <c r="G46" s="207">
        <v>4526.8</v>
      </c>
      <c r="H46" s="208">
        <v>12803.7</v>
      </c>
      <c r="I46" s="184"/>
      <c r="J46" s="184"/>
      <c r="K46" s="184"/>
      <c r="L46" s="184"/>
      <c r="M46" s="184"/>
      <c r="N46" s="184"/>
      <c r="O46" s="184"/>
      <c r="P46" s="184"/>
      <c r="Q46" s="184"/>
      <c r="R46" s="184"/>
      <c r="S46" s="184"/>
      <c r="T46" s="184"/>
      <c r="U46" s="184"/>
      <c r="V46" s="184"/>
      <c r="W46" s="184"/>
      <c r="X46" s="184"/>
      <c r="Y46" s="184"/>
      <c r="Z46" s="184"/>
      <c r="AA46" s="184"/>
      <c r="AB46" s="184"/>
    </row>
    <row r="47" spans="1:28" x14ac:dyDescent="0.35">
      <c r="A47" s="205" t="s">
        <v>584</v>
      </c>
      <c r="B47" s="206">
        <v>20.8</v>
      </c>
      <c r="C47" s="206">
        <v>26.8</v>
      </c>
      <c r="D47" s="206">
        <v>22.7</v>
      </c>
      <c r="E47" s="206">
        <v>29.7</v>
      </c>
      <c r="F47" s="206">
        <v>100</v>
      </c>
      <c r="G47" s="207">
        <v>3725.9</v>
      </c>
      <c r="H47" s="208">
        <v>12991.7</v>
      </c>
      <c r="I47" s="184"/>
      <c r="J47" s="184"/>
      <c r="K47" s="184"/>
      <c r="L47" s="184"/>
      <c r="M47" s="184"/>
      <c r="N47" s="184"/>
      <c r="O47" s="184"/>
      <c r="P47" s="184"/>
      <c r="Q47" s="184"/>
      <c r="R47" s="184"/>
      <c r="S47" s="184"/>
      <c r="T47" s="184"/>
      <c r="U47" s="184"/>
      <c r="V47" s="184"/>
      <c r="W47" s="184"/>
      <c r="X47" s="184"/>
      <c r="Y47" s="184"/>
      <c r="Z47" s="184"/>
      <c r="AA47" s="184"/>
      <c r="AB47" s="184"/>
    </row>
    <row r="48" spans="1:28" x14ac:dyDescent="0.35">
      <c r="A48" s="205" t="s">
        <v>585</v>
      </c>
      <c r="B48" s="206">
        <v>17.899999999999999</v>
      </c>
      <c r="C48" s="206">
        <v>28.7</v>
      </c>
      <c r="D48" s="206">
        <v>21.4</v>
      </c>
      <c r="E48" s="206">
        <v>32</v>
      </c>
      <c r="F48" s="206">
        <v>100</v>
      </c>
      <c r="G48" s="207">
        <v>5595.8</v>
      </c>
      <c r="H48" s="208">
        <v>13580.7</v>
      </c>
      <c r="I48" s="184"/>
      <c r="J48" s="184"/>
      <c r="K48" s="184"/>
      <c r="L48" s="184"/>
      <c r="M48" s="184"/>
      <c r="N48" s="184"/>
      <c r="O48" s="184"/>
      <c r="P48" s="184"/>
      <c r="Q48" s="184"/>
      <c r="R48" s="184"/>
      <c r="S48" s="184"/>
      <c r="T48" s="184"/>
      <c r="U48" s="184"/>
      <c r="V48" s="184"/>
      <c r="W48" s="184"/>
      <c r="X48" s="184"/>
      <c r="Y48" s="184"/>
      <c r="Z48" s="184"/>
      <c r="AA48" s="184"/>
      <c r="AB48" s="184"/>
    </row>
    <row r="49" spans="1:28" x14ac:dyDescent="0.35">
      <c r="A49" s="205" t="s">
        <v>586</v>
      </c>
      <c r="B49" s="206">
        <v>18.600000000000001</v>
      </c>
      <c r="C49" s="206">
        <v>27</v>
      </c>
      <c r="D49" s="206">
        <v>20.399999999999999</v>
      </c>
      <c r="E49" s="206">
        <v>33.9</v>
      </c>
      <c r="F49" s="206">
        <v>100</v>
      </c>
      <c r="G49" s="207">
        <v>4217.6000000000004</v>
      </c>
      <c r="H49" s="208">
        <v>14045.1</v>
      </c>
      <c r="I49" s="184"/>
      <c r="J49" s="184"/>
      <c r="K49" s="184"/>
      <c r="L49" s="184"/>
      <c r="M49" s="184"/>
      <c r="N49" s="184"/>
      <c r="O49" s="184"/>
      <c r="P49" s="184"/>
      <c r="Q49" s="184"/>
      <c r="R49" s="184"/>
      <c r="S49" s="184"/>
      <c r="T49" s="184"/>
      <c r="U49" s="184"/>
      <c r="V49" s="184"/>
      <c r="W49" s="184"/>
      <c r="X49" s="184"/>
      <c r="Y49" s="184"/>
      <c r="Z49" s="184"/>
      <c r="AA49" s="184"/>
      <c r="AB49" s="184"/>
    </row>
    <row r="50" spans="1:28" x14ac:dyDescent="0.35">
      <c r="A50" s="205" t="s">
        <v>587</v>
      </c>
      <c r="B50" s="206">
        <v>19.8</v>
      </c>
      <c r="C50" s="206">
        <v>26</v>
      </c>
      <c r="D50" s="206">
        <v>19.899999999999999</v>
      </c>
      <c r="E50" s="206">
        <v>34.299999999999997</v>
      </c>
      <c r="F50" s="206">
        <v>100</v>
      </c>
      <c r="G50" s="207">
        <v>4418.3</v>
      </c>
      <c r="H50" s="208">
        <v>14099.7</v>
      </c>
      <c r="I50" s="184"/>
      <c r="J50" s="184"/>
      <c r="K50" s="184"/>
      <c r="L50" s="184"/>
      <c r="M50" s="184"/>
      <c r="N50" s="184"/>
      <c r="O50" s="184"/>
      <c r="P50" s="184"/>
      <c r="Q50" s="184"/>
      <c r="R50" s="184"/>
      <c r="S50" s="184"/>
      <c r="T50" s="184"/>
      <c r="U50" s="184"/>
      <c r="V50" s="184"/>
      <c r="W50" s="184"/>
      <c r="X50" s="184"/>
      <c r="Y50" s="184"/>
      <c r="Z50" s="184"/>
      <c r="AA50" s="184"/>
      <c r="AB50" s="184"/>
    </row>
    <row r="51" spans="1:28" x14ac:dyDescent="0.35">
      <c r="A51" s="201" t="s">
        <v>588</v>
      </c>
      <c r="B51" s="202"/>
      <c r="C51" s="203"/>
      <c r="D51" s="203"/>
      <c r="E51" s="203"/>
      <c r="F51" s="203"/>
      <c r="G51" s="203"/>
      <c r="H51" s="204"/>
      <c r="I51" s="184"/>
      <c r="J51" s="184"/>
      <c r="K51" s="184"/>
      <c r="L51" s="184"/>
      <c r="M51" s="184"/>
      <c r="N51" s="184"/>
      <c r="O51" s="184"/>
      <c r="P51" s="184"/>
      <c r="Q51" s="184"/>
      <c r="R51" s="184"/>
      <c r="S51" s="184"/>
      <c r="T51" s="184"/>
      <c r="U51" s="184"/>
      <c r="V51" s="184"/>
      <c r="W51" s="184"/>
      <c r="X51" s="184"/>
      <c r="Y51" s="184"/>
      <c r="Z51" s="184"/>
      <c r="AA51" s="184"/>
      <c r="AB51" s="184"/>
    </row>
    <row r="52" spans="1:28" x14ac:dyDescent="0.35">
      <c r="A52" s="205" t="s">
        <v>589</v>
      </c>
      <c r="B52" s="206">
        <v>27.1</v>
      </c>
      <c r="C52" s="206">
        <v>31.7</v>
      </c>
      <c r="D52" s="206">
        <v>19.2</v>
      </c>
      <c r="E52" s="206">
        <v>22</v>
      </c>
      <c r="F52" s="206">
        <v>100</v>
      </c>
      <c r="G52" s="207">
        <v>5412</v>
      </c>
      <c r="H52" s="208">
        <v>11407.4</v>
      </c>
      <c r="I52" s="184"/>
      <c r="J52" s="184"/>
      <c r="K52" s="184"/>
      <c r="L52" s="184"/>
      <c r="M52" s="184"/>
      <c r="N52" s="184"/>
      <c r="O52" s="184"/>
      <c r="P52" s="184"/>
      <c r="Q52" s="184"/>
      <c r="R52" s="184"/>
      <c r="S52" s="184"/>
      <c r="T52" s="184"/>
      <c r="U52" s="184"/>
      <c r="V52" s="184"/>
      <c r="W52" s="184"/>
      <c r="X52" s="184"/>
      <c r="Y52" s="184"/>
      <c r="Z52" s="184"/>
      <c r="AA52" s="184"/>
      <c r="AB52" s="184"/>
    </row>
    <row r="53" spans="1:28" x14ac:dyDescent="0.35">
      <c r="A53" s="205" t="s">
        <v>590</v>
      </c>
      <c r="B53" s="206">
        <v>23.9</v>
      </c>
      <c r="C53" s="206">
        <v>30.4</v>
      </c>
      <c r="D53" s="206">
        <v>19.899999999999999</v>
      </c>
      <c r="E53" s="206">
        <v>25.9</v>
      </c>
      <c r="F53" s="206">
        <v>100</v>
      </c>
      <c r="G53" s="207">
        <v>10719.4</v>
      </c>
      <c r="H53" s="208">
        <v>12087.1</v>
      </c>
      <c r="I53" s="184"/>
      <c r="J53" s="184"/>
      <c r="K53" s="184"/>
      <c r="L53" s="184"/>
      <c r="M53" s="184"/>
      <c r="N53" s="184"/>
      <c r="O53" s="184"/>
      <c r="P53" s="184"/>
      <c r="Q53" s="184"/>
      <c r="R53" s="184"/>
      <c r="S53" s="184"/>
      <c r="T53" s="184"/>
      <c r="U53" s="184"/>
      <c r="V53" s="184"/>
      <c r="W53" s="184"/>
      <c r="X53" s="184"/>
      <c r="Y53" s="184"/>
      <c r="Z53" s="184"/>
      <c r="AA53" s="184"/>
      <c r="AB53" s="184"/>
    </row>
    <row r="54" spans="1:28" x14ac:dyDescent="0.35">
      <c r="A54" s="205" t="s">
        <v>591</v>
      </c>
      <c r="B54" s="206">
        <v>15.1</v>
      </c>
      <c r="C54" s="206">
        <v>26.6</v>
      </c>
      <c r="D54" s="206">
        <v>21.5</v>
      </c>
      <c r="E54" s="206">
        <v>36.799999999999997</v>
      </c>
      <c r="F54" s="206">
        <v>100</v>
      </c>
      <c r="G54" s="207">
        <v>5711.2</v>
      </c>
      <c r="H54" s="208">
        <v>14549.7</v>
      </c>
      <c r="I54" s="184"/>
      <c r="J54" s="184"/>
      <c r="K54" s="184"/>
      <c r="L54" s="184"/>
      <c r="M54" s="184"/>
      <c r="N54" s="184"/>
      <c r="O54" s="184"/>
      <c r="P54" s="184"/>
      <c r="Q54" s="184"/>
      <c r="R54" s="184"/>
      <c r="S54" s="184"/>
      <c r="T54" s="184"/>
      <c r="U54" s="184"/>
      <c r="V54" s="184"/>
      <c r="W54" s="184"/>
      <c r="X54" s="184"/>
      <c r="Y54" s="184"/>
      <c r="Z54" s="184"/>
      <c r="AA54" s="184"/>
      <c r="AB54" s="184"/>
    </row>
    <row r="55" spans="1:28" x14ac:dyDescent="0.35">
      <c r="A55" s="205" t="s">
        <v>592</v>
      </c>
      <c r="B55" s="206">
        <v>14.4</v>
      </c>
      <c r="C55" s="206">
        <v>28.8</v>
      </c>
      <c r="D55" s="206">
        <v>21.9</v>
      </c>
      <c r="E55" s="206">
        <v>34.9</v>
      </c>
      <c r="F55" s="206">
        <v>100</v>
      </c>
      <c r="G55" s="207">
        <v>5471.3</v>
      </c>
      <c r="H55" s="208">
        <v>14264</v>
      </c>
      <c r="I55" s="184"/>
      <c r="J55" s="184"/>
      <c r="K55" s="184"/>
      <c r="L55" s="184"/>
      <c r="M55" s="184"/>
      <c r="N55" s="184"/>
      <c r="O55" s="184"/>
      <c r="P55" s="184"/>
      <c r="Q55" s="184"/>
      <c r="R55" s="184"/>
      <c r="S55" s="184"/>
      <c r="T55" s="184"/>
      <c r="U55" s="184"/>
      <c r="V55" s="184"/>
      <c r="W55" s="184"/>
      <c r="X55" s="184"/>
      <c r="Y55" s="184"/>
      <c r="Z55" s="184"/>
      <c r="AA55" s="184"/>
      <c r="AB55" s="184"/>
    </row>
    <row r="56" spans="1:28" x14ac:dyDescent="0.35">
      <c r="A56" s="205" t="s">
        <v>593</v>
      </c>
      <c r="B56" s="206">
        <v>15.3</v>
      </c>
      <c r="C56" s="206">
        <v>26.8</v>
      </c>
      <c r="D56" s="206">
        <v>19.899999999999999</v>
      </c>
      <c r="E56" s="206">
        <v>38</v>
      </c>
      <c r="F56" s="206">
        <v>100</v>
      </c>
      <c r="G56" s="207">
        <v>2244.9</v>
      </c>
      <c r="H56" s="208">
        <v>14678.1</v>
      </c>
      <c r="I56" s="184"/>
      <c r="J56" s="184"/>
      <c r="K56" s="184"/>
      <c r="L56" s="184"/>
      <c r="M56" s="184"/>
      <c r="N56" s="184"/>
      <c r="O56" s="184"/>
      <c r="P56" s="184"/>
      <c r="Q56" s="184"/>
      <c r="R56" s="184"/>
      <c r="S56" s="184"/>
      <c r="T56" s="184"/>
      <c r="U56" s="184"/>
      <c r="V56" s="184"/>
      <c r="W56" s="184"/>
      <c r="X56" s="184"/>
      <c r="Y56" s="184"/>
      <c r="Z56" s="184"/>
      <c r="AA56" s="184"/>
      <c r="AB56" s="184"/>
    </row>
    <row r="57" spans="1:28" x14ac:dyDescent="0.35">
      <c r="A57" s="205" t="s">
        <v>594</v>
      </c>
      <c r="B57" s="206">
        <v>20.9</v>
      </c>
      <c r="C57" s="206">
        <v>27.3</v>
      </c>
      <c r="D57" s="206">
        <v>22.2</v>
      </c>
      <c r="E57" s="206">
        <v>29.6</v>
      </c>
      <c r="F57" s="206">
        <v>100</v>
      </c>
      <c r="G57" s="207">
        <v>2055</v>
      </c>
      <c r="H57" s="208">
        <v>13288.3</v>
      </c>
      <c r="I57" s="184"/>
      <c r="J57" s="184"/>
      <c r="K57" s="184"/>
      <c r="L57" s="184"/>
      <c r="M57" s="184"/>
      <c r="N57" s="184"/>
      <c r="O57" s="184"/>
      <c r="P57" s="184"/>
      <c r="Q57" s="184"/>
      <c r="R57" s="184"/>
      <c r="S57" s="184"/>
      <c r="T57" s="184"/>
      <c r="U57" s="184"/>
      <c r="V57" s="184"/>
      <c r="W57" s="184"/>
      <c r="X57" s="184"/>
      <c r="Y57" s="184"/>
      <c r="Z57" s="184"/>
      <c r="AA57" s="184"/>
      <c r="AB57" s="184"/>
    </row>
    <row r="58" spans="1:28" x14ac:dyDescent="0.35">
      <c r="A58" s="205" t="s">
        <v>595</v>
      </c>
      <c r="B58" s="206">
        <v>24.6</v>
      </c>
      <c r="C58" s="206">
        <v>27</v>
      </c>
      <c r="D58" s="206">
        <v>19.8</v>
      </c>
      <c r="E58" s="206">
        <v>28.6</v>
      </c>
      <c r="F58" s="206">
        <v>100</v>
      </c>
      <c r="G58" s="207">
        <v>1104.4000000000001</v>
      </c>
      <c r="H58" s="208">
        <v>12041.3</v>
      </c>
      <c r="I58" s="184"/>
      <c r="J58" s="184"/>
      <c r="K58" s="184"/>
      <c r="L58" s="184"/>
      <c r="M58" s="184"/>
      <c r="N58" s="184"/>
      <c r="O58" s="184"/>
      <c r="P58" s="184"/>
      <c r="Q58" s="184"/>
      <c r="R58" s="184"/>
      <c r="S58" s="184"/>
      <c r="T58" s="184"/>
      <c r="U58" s="184"/>
      <c r="V58" s="184"/>
      <c r="W58" s="184"/>
      <c r="X58" s="184"/>
      <c r="Y58" s="184"/>
      <c r="Z58" s="184"/>
      <c r="AA58" s="184"/>
      <c r="AB58" s="184"/>
    </row>
    <row r="59" spans="1:28" x14ac:dyDescent="0.35">
      <c r="A59" s="201" t="s">
        <v>596</v>
      </c>
      <c r="B59" s="202"/>
      <c r="C59" s="203"/>
      <c r="D59" s="203"/>
      <c r="E59" s="203"/>
      <c r="F59" s="203"/>
      <c r="G59" s="203"/>
      <c r="H59" s="204"/>
      <c r="I59" s="184"/>
      <c r="J59" s="184"/>
      <c r="K59" s="184"/>
      <c r="L59" s="184"/>
      <c r="M59" s="184"/>
      <c r="N59" s="184"/>
      <c r="O59" s="184"/>
      <c r="P59" s="184"/>
      <c r="Q59" s="184"/>
      <c r="R59" s="184"/>
      <c r="S59" s="184"/>
      <c r="T59" s="184"/>
      <c r="U59" s="184"/>
      <c r="V59" s="184"/>
      <c r="W59" s="184"/>
      <c r="X59" s="184"/>
      <c r="Y59" s="184"/>
      <c r="Z59" s="184"/>
      <c r="AA59" s="184"/>
      <c r="AB59" s="184"/>
    </row>
    <row r="60" spans="1:28" x14ac:dyDescent="0.35">
      <c r="A60" s="205" t="s">
        <v>597</v>
      </c>
      <c r="B60" s="206">
        <v>19.600000000000001</v>
      </c>
      <c r="C60" s="206">
        <v>29.3</v>
      </c>
      <c r="D60" s="206">
        <v>20.6</v>
      </c>
      <c r="E60" s="206">
        <v>30.5</v>
      </c>
      <c r="F60" s="206">
        <v>100</v>
      </c>
      <c r="G60" s="207">
        <v>23638.6</v>
      </c>
      <c r="H60" s="208">
        <v>13187.9</v>
      </c>
      <c r="I60" s="184"/>
      <c r="J60" s="184"/>
      <c r="K60" s="184"/>
      <c r="L60" s="184"/>
      <c r="M60" s="184"/>
      <c r="N60" s="184"/>
      <c r="O60" s="184"/>
      <c r="P60" s="184"/>
      <c r="Q60" s="184"/>
      <c r="R60" s="184"/>
      <c r="S60" s="184"/>
      <c r="T60" s="184"/>
      <c r="U60" s="184"/>
      <c r="V60" s="184"/>
      <c r="W60" s="184"/>
      <c r="X60" s="184"/>
      <c r="Y60" s="184"/>
      <c r="Z60" s="184"/>
      <c r="AA60" s="184"/>
      <c r="AB60" s="184"/>
    </row>
    <row r="61" spans="1:28" x14ac:dyDescent="0.35">
      <c r="A61" s="205" t="s">
        <v>598</v>
      </c>
      <c r="B61" s="206">
        <v>23</v>
      </c>
      <c r="C61" s="206">
        <v>28.6</v>
      </c>
      <c r="D61" s="206">
        <v>20.3</v>
      </c>
      <c r="E61" s="206">
        <v>28</v>
      </c>
      <c r="F61" s="206">
        <v>100</v>
      </c>
      <c r="G61" s="207">
        <v>9079.5</v>
      </c>
      <c r="H61" s="208">
        <v>12583.5</v>
      </c>
      <c r="I61" s="184"/>
      <c r="J61" s="184"/>
      <c r="K61" s="184"/>
      <c r="L61" s="184"/>
      <c r="M61" s="184"/>
      <c r="N61" s="184"/>
      <c r="O61" s="184"/>
      <c r="P61" s="184"/>
      <c r="Q61" s="184"/>
      <c r="R61" s="184"/>
      <c r="S61" s="184"/>
      <c r="T61" s="184"/>
      <c r="U61" s="184"/>
      <c r="V61" s="184"/>
      <c r="W61" s="184"/>
      <c r="X61" s="184"/>
      <c r="Y61" s="184"/>
      <c r="Z61" s="184"/>
      <c r="AA61" s="184"/>
      <c r="AB61" s="184"/>
    </row>
    <row r="62" spans="1:28" x14ac:dyDescent="0.35">
      <c r="A62" s="201" t="s">
        <v>599</v>
      </c>
      <c r="B62" s="202"/>
      <c r="C62" s="203"/>
      <c r="D62" s="203"/>
      <c r="E62" s="203"/>
      <c r="F62" s="203"/>
      <c r="G62" s="203"/>
      <c r="H62" s="204"/>
      <c r="I62" s="184"/>
      <c r="J62" s="184"/>
      <c r="K62" s="184"/>
      <c r="L62" s="184"/>
      <c r="M62" s="184"/>
      <c r="N62" s="184"/>
      <c r="O62" s="184"/>
      <c r="P62" s="184"/>
      <c r="Q62" s="184"/>
      <c r="R62" s="184"/>
      <c r="S62" s="184"/>
      <c r="T62" s="184"/>
      <c r="U62" s="184"/>
      <c r="V62" s="184"/>
      <c r="W62" s="184"/>
      <c r="X62" s="184"/>
      <c r="Y62" s="184"/>
      <c r="Z62" s="184"/>
      <c r="AA62" s="184"/>
      <c r="AB62" s="184"/>
    </row>
    <row r="63" spans="1:28" x14ac:dyDescent="0.35">
      <c r="A63" s="205" t="s">
        <v>600</v>
      </c>
      <c r="B63" s="206">
        <v>13.1</v>
      </c>
      <c r="C63" s="206">
        <v>25.3</v>
      </c>
      <c r="D63" s="206">
        <v>22.4</v>
      </c>
      <c r="E63" s="206">
        <v>39.200000000000003</v>
      </c>
      <c r="F63" s="206">
        <v>100</v>
      </c>
      <c r="G63" s="207">
        <v>6248.9</v>
      </c>
      <c r="H63" s="208">
        <v>14899.3</v>
      </c>
      <c r="I63" s="184"/>
      <c r="J63" s="184"/>
      <c r="K63" s="184"/>
      <c r="L63" s="184"/>
      <c r="M63" s="184"/>
      <c r="N63" s="184"/>
      <c r="O63" s="184"/>
      <c r="P63" s="184"/>
      <c r="Q63" s="184"/>
      <c r="R63" s="184"/>
      <c r="S63" s="184"/>
      <c r="T63" s="184"/>
      <c r="U63" s="184"/>
      <c r="V63" s="184"/>
      <c r="W63" s="184"/>
      <c r="X63" s="184"/>
      <c r="Y63" s="184"/>
      <c r="Z63" s="184"/>
      <c r="AA63" s="184"/>
      <c r="AB63" s="184"/>
    </row>
    <row r="64" spans="1:28" x14ac:dyDescent="0.35">
      <c r="A64" s="205" t="s">
        <v>601</v>
      </c>
      <c r="B64" s="206">
        <v>15.4</v>
      </c>
      <c r="C64" s="206">
        <v>27.6</v>
      </c>
      <c r="D64" s="206">
        <v>21.9</v>
      </c>
      <c r="E64" s="206">
        <v>35</v>
      </c>
      <c r="F64" s="206">
        <v>100</v>
      </c>
      <c r="G64" s="207">
        <v>10969.1</v>
      </c>
      <c r="H64" s="208">
        <v>14481.6</v>
      </c>
      <c r="I64" s="184"/>
      <c r="J64" s="184"/>
      <c r="K64" s="184"/>
      <c r="L64" s="184"/>
      <c r="M64" s="184"/>
      <c r="N64" s="184"/>
      <c r="O64" s="184"/>
      <c r="P64" s="184"/>
      <c r="Q64" s="184"/>
      <c r="R64" s="184"/>
      <c r="S64" s="184"/>
      <c r="T64" s="184"/>
      <c r="U64" s="184"/>
      <c r="V64" s="184"/>
      <c r="W64" s="184"/>
      <c r="X64" s="184"/>
      <c r="Y64" s="184"/>
      <c r="Z64" s="184"/>
      <c r="AA64" s="184"/>
      <c r="AB64" s="184"/>
    </row>
    <row r="65" spans="1:28" x14ac:dyDescent="0.35">
      <c r="A65" s="205" t="s">
        <v>602</v>
      </c>
      <c r="B65" s="206">
        <v>20.5</v>
      </c>
      <c r="C65" s="206">
        <v>30.1</v>
      </c>
      <c r="D65" s="206">
        <v>20.8</v>
      </c>
      <c r="E65" s="206">
        <v>28.6</v>
      </c>
      <c r="F65" s="206">
        <v>100</v>
      </c>
      <c r="G65" s="207">
        <v>10043.6</v>
      </c>
      <c r="H65" s="208">
        <v>12754.1</v>
      </c>
      <c r="I65" s="184"/>
      <c r="J65" s="184"/>
      <c r="K65" s="184"/>
      <c r="L65" s="184"/>
      <c r="M65" s="184"/>
      <c r="N65" s="184"/>
      <c r="O65" s="184"/>
      <c r="P65" s="184"/>
      <c r="Q65" s="184"/>
      <c r="R65" s="184"/>
      <c r="S65" s="184"/>
      <c r="T65" s="184"/>
      <c r="U65" s="184"/>
      <c r="V65" s="184"/>
      <c r="W65" s="184"/>
      <c r="X65" s="184"/>
      <c r="Y65" s="184"/>
      <c r="Z65" s="184"/>
      <c r="AA65" s="184"/>
      <c r="AB65" s="184"/>
    </row>
    <row r="66" spans="1:28" x14ac:dyDescent="0.35">
      <c r="A66" s="205" t="s">
        <v>603</v>
      </c>
      <c r="B66" s="206">
        <v>31.2</v>
      </c>
      <c r="C66" s="206">
        <v>36.4</v>
      </c>
      <c r="D66" s="206">
        <v>18.3</v>
      </c>
      <c r="E66" s="206">
        <v>14.1</v>
      </c>
      <c r="F66" s="206">
        <v>100</v>
      </c>
      <c r="G66" s="207">
        <v>3317.1</v>
      </c>
      <c r="H66" s="208">
        <v>9678.7000000000007</v>
      </c>
      <c r="I66" s="184"/>
      <c r="J66" s="184"/>
      <c r="K66" s="184"/>
      <c r="L66" s="184"/>
      <c r="M66" s="184"/>
      <c r="N66" s="184"/>
      <c r="O66" s="184"/>
      <c r="P66" s="184"/>
      <c r="Q66" s="184"/>
      <c r="R66" s="184"/>
      <c r="S66" s="184"/>
      <c r="T66" s="184"/>
      <c r="U66" s="184"/>
      <c r="V66" s="184"/>
      <c r="W66" s="184"/>
      <c r="X66" s="184"/>
      <c r="Y66" s="184"/>
      <c r="Z66" s="184"/>
      <c r="AA66" s="184"/>
      <c r="AB66" s="184"/>
    </row>
    <row r="67" spans="1:28" x14ac:dyDescent="0.35">
      <c r="A67" s="205" t="s">
        <v>604</v>
      </c>
      <c r="B67" s="206">
        <v>52</v>
      </c>
      <c r="C67" s="206">
        <v>31.8</v>
      </c>
      <c r="D67" s="206">
        <v>10.199999999999999</v>
      </c>
      <c r="E67" s="206">
        <v>5.9</v>
      </c>
      <c r="F67" s="206">
        <v>100</v>
      </c>
      <c r="G67" s="207">
        <v>2139.4</v>
      </c>
      <c r="H67" s="208">
        <v>6471.5</v>
      </c>
      <c r="I67" s="184"/>
      <c r="J67" s="184"/>
      <c r="K67" s="184"/>
      <c r="L67" s="184"/>
      <c r="M67" s="184"/>
      <c r="N67" s="184"/>
      <c r="O67" s="184"/>
      <c r="P67" s="184"/>
      <c r="Q67" s="184"/>
      <c r="R67" s="184"/>
      <c r="S67" s="184"/>
      <c r="T67" s="184"/>
      <c r="U67" s="184"/>
      <c r="V67" s="184"/>
      <c r="W67" s="184"/>
      <c r="X67" s="184"/>
      <c r="Y67" s="184"/>
      <c r="Z67" s="184"/>
      <c r="AA67" s="184"/>
      <c r="AB67" s="184"/>
    </row>
    <row r="68" spans="1:28" x14ac:dyDescent="0.35">
      <c r="A68" s="201" t="s">
        <v>605</v>
      </c>
      <c r="B68" s="202"/>
      <c r="C68" s="203"/>
      <c r="D68" s="203"/>
      <c r="E68" s="203"/>
      <c r="F68" s="203"/>
      <c r="G68" s="203"/>
      <c r="H68" s="204"/>
      <c r="I68" s="184"/>
      <c r="J68" s="184"/>
      <c r="K68" s="184"/>
      <c r="L68" s="184"/>
      <c r="M68" s="184"/>
      <c r="N68" s="184"/>
      <c r="O68" s="184"/>
      <c r="P68" s="184"/>
      <c r="Q68" s="184"/>
      <c r="R68" s="184"/>
      <c r="S68" s="184"/>
      <c r="T68" s="184"/>
      <c r="U68" s="184"/>
      <c r="V68" s="184"/>
      <c r="W68" s="184"/>
      <c r="X68" s="184"/>
      <c r="Y68" s="184"/>
      <c r="Z68" s="184"/>
      <c r="AA68" s="184"/>
      <c r="AB68" s="184"/>
    </row>
    <row r="69" spans="1:28" x14ac:dyDescent="0.35">
      <c r="A69" s="205" t="s">
        <v>606</v>
      </c>
      <c r="B69" s="206">
        <v>20.5</v>
      </c>
      <c r="C69" s="206">
        <v>35.9</v>
      </c>
      <c r="D69" s="206">
        <v>17.2</v>
      </c>
      <c r="E69" s="206">
        <v>26.5</v>
      </c>
      <c r="F69" s="206">
        <v>100</v>
      </c>
      <c r="G69" s="207">
        <v>696.9</v>
      </c>
      <c r="H69" s="208">
        <v>12212.8</v>
      </c>
      <c r="I69" s="184"/>
      <c r="J69" s="184"/>
      <c r="K69" s="184"/>
      <c r="L69" s="184"/>
      <c r="M69" s="184"/>
      <c r="N69" s="184"/>
      <c r="O69" s="184"/>
      <c r="P69" s="184"/>
      <c r="Q69" s="184"/>
      <c r="R69" s="184"/>
      <c r="S69" s="184"/>
      <c r="T69" s="184"/>
      <c r="U69" s="184"/>
      <c r="V69" s="184"/>
      <c r="W69" s="184"/>
      <c r="X69" s="184"/>
      <c r="Y69" s="184"/>
      <c r="Z69" s="184"/>
      <c r="AA69" s="184"/>
      <c r="AB69" s="184"/>
    </row>
    <row r="70" spans="1:28" x14ac:dyDescent="0.35">
      <c r="A70" s="205" t="s">
        <v>607</v>
      </c>
      <c r="B70" s="206">
        <v>16</v>
      </c>
      <c r="C70" s="206">
        <v>26.7</v>
      </c>
      <c r="D70" s="206">
        <v>20</v>
      </c>
      <c r="E70" s="206">
        <v>37.299999999999997</v>
      </c>
      <c r="F70" s="206">
        <v>100</v>
      </c>
      <c r="G70" s="207">
        <v>1887.1</v>
      </c>
      <c r="H70" s="208">
        <v>15149.1</v>
      </c>
      <c r="I70" s="184"/>
      <c r="J70" s="184"/>
      <c r="K70" s="184"/>
      <c r="L70" s="184"/>
      <c r="M70" s="184"/>
      <c r="N70" s="184"/>
      <c r="O70" s="184"/>
      <c r="P70" s="184"/>
      <c r="Q70" s="184"/>
      <c r="R70" s="184"/>
      <c r="S70" s="184"/>
      <c r="T70" s="184"/>
      <c r="U70" s="184"/>
      <c r="V70" s="184"/>
      <c r="W70" s="184"/>
      <c r="X70" s="184"/>
      <c r="Y70" s="184"/>
      <c r="Z70" s="184"/>
      <c r="AA70" s="184"/>
      <c r="AB70" s="184"/>
    </row>
    <row r="71" spans="1:28" x14ac:dyDescent="0.35">
      <c r="A71" s="205" t="s">
        <v>608</v>
      </c>
      <c r="B71" s="206">
        <v>15.3</v>
      </c>
      <c r="C71" s="206">
        <v>25.8</v>
      </c>
      <c r="D71" s="206">
        <v>22.4</v>
      </c>
      <c r="E71" s="206">
        <v>36.5</v>
      </c>
      <c r="F71" s="206">
        <v>100</v>
      </c>
      <c r="G71" s="207">
        <v>4927.6000000000004</v>
      </c>
      <c r="H71" s="208">
        <v>15163.4</v>
      </c>
      <c r="I71" s="184"/>
      <c r="J71" s="184"/>
      <c r="K71" s="184"/>
      <c r="L71" s="184"/>
      <c r="M71" s="184"/>
      <c r="N71" s="184"/>
      <c r="O71" s="184"/>
      <c r="P71" s="184"/>
      <c r="Q71" s="184"/>
      <c r="R71" s="184"/>
      <c r="S71" s="184"/>
      <c r="T71" s="184"/>
      <c r="U71" s="184"/>
      <c r="V71" s="184"/>
      <c r="W71" s="184"/>
      <c r="X71" s="184"/>
      <c r="Y71" s="184"/>
      <c r="Z71" s="184"/>
      <c r="AA71" s="184"/>
      <c r="AB71" s="184"/>
    </row>
    <row r="72" spans="1:28" x14ac:dyDescent="0.35">
      <c r="A72" s="205" t="s">
        <v>609</v>
      </c>
      <c r="B72" s="206">
        <v>14.8</v>
      </c>
      <c r="C72" s="206">
        <v>26</v>
      </c>
      <c r="D72" s="206">
        <v>22.3</v>
      </c>
      <c r="E72" s="206">
        <v>36.9</v>
      </c>
      <c r="F72" s="206">
        <v>100</v>
      </c>
      <c r="G72" s="207">
        <v>5726</v>
      </c>
      <c r="H72" s="208">
        <v>14466.6</v>
      </c>
      <c r="I72" s="184"/>
      <c r="J72" s="184"/>
      <c r="K72" s="184"/>
      <c r="L72" s="184"/>
      <c r="M72" s="184"/>
      <c r="N72" s="184"/>
      <c r="O72" s="184"/>
      <c r="P72" s="184"/>
      <c r="Q72" s="184"/>
      <c r="R72" s="184"/>
      <c r="S72" s="184"/>
      <c r="T72" s="184"/>
      <c r="U72" s="184"/>
      <c r="V72" s="184"/>
      <c r="W72" s="184"/>
      <c r="X72" s="184"/>
      <c r="Y72" s="184"/>
      <c r="Z72" s="184"/>
      <c r="AA72" s="184"/>
      <c r="AB72" s="184"/>
    </row>
    <row r="73" spans="1:28" x14ac:dyDescent="0.35">
      <c r="A73" s="205" t="s">
        <v>610</v>
      </c>
      <c r="B73" s="206">
        <v>15.8</v>
      </c>
      <c r="C73" s="206">
        <v>28.9</v>
      </c>
      <c r="D73" s="206">
        <v>22.2</v>
      </c>
      <c r="E73" s="206">
        <v>33</v>
      </c>
      <c r="F73" s="206">
        <v>100</v>
      </c>
      <c r="G73" s="207">
        <v>4143.8</v>
      </c>
      <c r="H73" s="208">
        <v>13955.5</v>
      </c>
      <c r="I73" s="184"/>
      <c r="J73" s="184"/>
      <c r="K73" s="184"/>
      <c r="L73" s="184"/>
      <c r="M73" s="184"/>
      <c r="N73" s="184"/>
      <c r="O73" s="184"/>
      <c r="P73" s="184"/>
      <c r="Q73" s="184"/>
      <c r="R73" s="184"/>
      <c r="S73" s="184"/>
      <c r="T73" s="184"/>
      <c r="U73" s="184"/>
      <c r="V73" s="184"/>
      <c r="W73" s="184"/>
      <c r="X73" s="184"/>
      <c r="Y73" s="184"/>
      <c r="Z73" s="184"/>
      <c r="AA73" s="184"/>
      <c r="AB73" s="184"/>
    </row>
    <row r="74" spans="1:28" x14ac:dyDescent="0.35">
      <c r="A74" s="205" t="s">
        <v>611</v>
      </c>
      <c r="B74" s="206">
        <v>15.6</v>
      </c>
      <c r="C74" s="206">
        <v>27.2</v>
      </c>
      <c r="D74" s="206">
        <v>21.6</v>
      </c>
      <c r="E74" s="206">
        <v>35.5</v>
      </c>
      <c r="F74" s="206">
        <v>100</v>
      </c>
      <c r="G74" s="207">
        <v>5706.8</v>
      </c>
      <c r="H74" s="208">
        <v>13812.6</v>
      </c>
      <c r="I74" s="184"/>
      <c r="J74" s="184"/>
      <c r="K74" s="184"/>
      <c r="L74" s="184"/>
      <c r="M74" s="184"/>
      <c r="N74" s="184"/>
      <c r="O74" s="184"/>
      <c r="P74" s="184"/>
      <c r="Q74" s="184"/>
      <c r="R74" s="184"/>
      <c r="S74" s="184"/>
      <c r="T74" s="184"/>
      <c r="U74" s="184"/>
      <c r="V74" s="184"/>
      <c r="W74" s="184"/>
      <c r="X74" s="184"/>
      <c r="Y74" s="184"/>
      <c r="Z74" s="184"/>
      <c r="AA74" s="184"/>
      <c r="AB74" s="184"/>
    </row>
    <row r="75" spans="1:28" x14ac:dyDescent="0.35">
      <c r="A75" s="205" t="s">
        <v>612</v>
      </c>
      <c r="B75" s="206">
        <v>35.1</v>
      </c>
      <c r="C75" s="206">
        <v>34.1</v>
      </c>
      <c r="D75" s="206">
        <v>16.7</v>
      </c>
      <c r="E75" s="206">
        <v>14.2</v>
      </c>
      <c r="F75" s="206">
        <v>100</v>
      </c>
      <c r="G75" s="207">
        <v>7952.6</v>
      </c>
      <c r="H75" s="208">
        <v>9217</v>
      </c>
      <c r="I75" s="184"/>
      <c r="J75" s="184"/>
      <c r="K75" s="184"/>
      <c r="L75" s="184"/>
      <c r="M75" s="184"/>
      <c r="N75" s="184"/>
      <c r="O75" s="184"/>
      <c r="P75" s="184"/>
      <c r="Q75" s="184"/>
      <c r="R75" s="184"/>
      <c r="S75" s="184"/>
      <c r="T75" s="184"/>
      <c r="U75" s="184"/>
      <c r="V75" s="184"/>
      <c r="W75" s="184"/>
      <c r="X75" s="184"/>
      <c r="Y75" s="184"/>
      <c r="Z75" s="184"/>
      <c r="AA75" s="184"/>
      <c r="AB75" s="184"/>
    </row>
    <row r="76" spans="1:28" x14ac:dyDescent="0.35">
      <c r="A76" s="205" t="s">
        <v>613</v>
      </c>
      <c r="B76" s="206">
        <v>18</v>
      </c>
      <c r="C76" s="206">
        <v>32.1</v>
      </c>
      <c r="D76" s="206">
        <v>22.1</v>
      </c>
      <c r="E76" s="206">
        <v>27.8</v>
      </c>
      <c r="F76" s="206">
        <v>100</v>
      </c>
      <c r="G76" s="207">
        <v>799</v>
      </c>
      <c r="H76" s="208">
        <v>13132.2</v>
      </c>
      <c r="I76" s="184"/>
      <c r="J76" s="184"/>
      <c r="K76" s="184"/>
      <c r="L76" s="184"/>
      <c r="M76" s="184"/>
      <c r="N76" s="184"/>
      <c r="O76" s="184"/>
      <c r="P76" s="184"/>
      <c r="Q76" s="184"/>
      <c r="R76" s="184"/>
      <c r="S76" s="184"/>
      <c r="T76" s="184"/>
      <c r="U76" s="184"/>
      <c r="V76" s="184"/>
      <c r="W76" s="184"/>
      <c r="X76" s="184"/>
      <c r="Y76" s="184"/>
      <c r="Z76" s="184"/>
      <c r="AA76" s="184"/>
      <c r="AB76" s="184"/>
    </row>
    <row r="77" spans="1:28" x14ac:dyDescent="0.35">
      <c r="A77" s="205" t="s">
        <v>614</v>
      </c>
      <c r="B77" s="206">
        <v>15.7</v>
      </c>
      <c r="C77" s="206">
        <v>25.3</v>
      </c>
      <c r="D77" s="206">
        <v>37.5</v>
      </c>
      <c r="E77" s="206">
        <v>21.5</v>
      </c>
      <c r="F77" s="206">
        <v>100</v>
      </c>
      <c r="G77" s="207">
        <v>243.7</v>
      </c>
      <c r="H77" s="208">
        <v>13434.5</v>
      </c>
      <c r="I77" s="184"/>
      <c r="J77" s="184"/>
      <c r="K77" s="184"/>
      <c r="L77" s="184"/>
      <c r="M77" s="184"/>
      <c r="N77" s="184"/>
      <c r="O77" s="184"/>
      <c r="P77" s="184"/>
      <c r="Q77" s="184"/>
      <c r="R77" s="184"/>
      <c r="S77" s="184"/>
      <c r="T77" s="184"/>
      <c r="U77" s="184"/>
      <c r="V77" s="184"/>
      <c r="W77" s="184"/>
      <c r="X77" s="184"/>
      <c r="Y77" s="184"/>
      <c r="Z77" s="184"/>
      <c r="AA77" s="184"/>
      <c r="AB77" s="184"/>
    </row>
    <row r="78" spans="1:28" x14ac:dyDescent="0.35">
      <c r="A78" s="205" t="s">
        <v>615</v>
      </c>
      <c r="B78" s="206">
        <v>25.6</v>
      </c>
      <c r="C78" s="206">
        <v>36.1</v>
      </c>
      <c r="D78" s="206">
        <v>14.3</v>
      </c>
      <c r="E78" s="206">
        <v>24</v>
      </c>
      <c r="F78" s="206">
        <v>100</v>
      </c>
      <c r="G78" s="207">
        <v>635</v>
      </c>
      <c r="H78" s="208">
        <v>12016.3</v>
      </c>
      <c r="I78" s="184"/>
      <c r="J78" s="184"/>
      <c r="K78" s="184"/>
      <c r="L78" s="184"/>
      <c r="M78" s="184"/>
      <c r="N78" s="184"/>
      <c r="O78" s="184"/>
      <c r="P78" s="184"/>
      <c r="Q78" s="184"/>
      <c r="R78" s="184"/>
      <c r="S78" s="184"/>
      <c r="T78" s="184"/>
      <c r="U78" s="184"/>
      <c r="V78" s="184"/>
      <c r="W78" s="184"/>
      <c r="X78" s="184"/>
      <c r="Y78" s="184"/>
      <c r="Z78" s="184"/>
      <c r="AA78" s="184"/>
      <c r="AB78" s="184"/>
    </row>
    <row r="79" spans="1:28" ht="16" thickBot="1" x14ac:dyDescent="0.4">
      <c r="A79" s="209" t="s">
        <v>128</v>
      </c>
      <c r="B79" s="210">
        <v>20.6</v>
      </c>
      <c r="C79" s="210">
        <v>29.1</v>
      </c>
      <c r="D79" s="210">
        <v>20.5</v>
      </c>
      <c r="E79" s="210">
        <v>29.8</v>
      </c>
      <c r="F79" s="210">
        <v>100</v>
      </c>
      <c r="G79" s="211">
        <v>32718.2</v>
      </c>
      <c r="H79" s="212">
        <v>13020.3</v>
      </c>
      <c r="I79" s="184"/>
      <c r="J79" s="184"/>
      <c r="K79" s="184"/>
      <c r="L79" s="184"/>
      <c r="M79" s="184"/>
      <c r="N79" s="184"/>
      <c r="O79" s="184"/>
      <c r="P79" s="184"/>
      <c r="Q79" s="184"/>
      <c r="R79" s="184"/>
      <c r="S79" s="184"/>
      <c r="T79" s="184"/>
      <c r="U79" s="184"/>
      <c r="V79" s="184"/>
      <c r="W79" s="184"/>
      <c r="X79" s="184"/>
      <c r="Y79" s="184"/>
      <c r="Z79" s="184"/>
      <c r="AA79" s="184"/>
      <c r="AB79" s="184"/>
    </row>
    <row r="80" spans="1:28" x14ac:dyDescent="0.35">
      <c r="A80" s="184"/>
      <c r="B80" s="184"/>
      <c r="C80" s="184"/>
      <c r="D80" s="184"/>
      <c r="E80" s="184"/>
      <c r="F80" s="184"/>
      <c r="G80" s="184"/>
      <c r="H80" s="184"/>
      <c r="I80" s="184"/>
      <c r="J80" s="184"/>
      <c r="K80" s="184"/>
      <c r="L80" s="184"/>
      <c r="M80" s="184"/>
      <c r="N80" s="184"/>
      <c r="O80" s="184"/>
      <c r="P80" s="184"/>
      <c r="Q80" s="184"/>
      <c r="R80" s="184"/>
      <c r="S80" s="184"/>
      <c r="T80" s="184"/>
      <c r="U80" s="184"/>
      <c r="V80" s="184"/>
      <c r="W80" s="184"/>
      <c r="X80" s="184"/>
      <c r="Y80" s="184"/>
      <c r="Z80" s="184"/>
      <c r="AA80" s="184"/>
      <c r="AB80" s="184"/>
    </row>
    <row r="81" spans="1:28" x14ac:dyDescent="0.35">
      <c r="A81" s="213" t="s">
        <v>616</v>
      </c>
      <c r="B81" s="184"/>
      <c r="C81" s="184"/>
      <c r="D81" s="184"/>
      <c r="E81" s="184"/>
      <c r="F81" s="184"/>
      <c r="G81" s="184"/>
      <c r="H81" s="184"/>
      <c r="I81" s="184"/>
      <c r="J81" s="184"/>
      <c r="K81" s="184"/>
      <c r="L81" s="184"/>
      <c r="M81" s="184"/>
      <c r="N81" s="184"/>
      <c r="O81" s="184"/>
      <c r="P81" s="184"/>
      <c r="Q81" s="184"/>
      <c r="R81" s="184"/>
      <c r="S81" s="184"/>
      <c r="T81" s="184"/>
      <c r="U81" s="184"/>
      <c r="V81" s="184"/>
      <c r="W81" s="184"/>
      <c r="X81" s="184"/>
      <c r="Y81" s="184"/>
      <c r="Z81" s="184"/>
      <c r="AA81" s="184"/>
      <c r="AB81" s="184"/>
    </row>
    <row r="82" spans="1:28" x14ac:dyDescent="0.35">
      <c r="A82" s="184"/>
      <c r="B82" s="184"/>
      <c r="C82" s="184"/>
      <c r="D82" s="184"/>
      <c r="E82" s="184"/>
      <c r="F82" s="184"/>
      <c r="G82" s="184"/>
      <c r="H82" s="184"/>
      <c r="I82" s="184"/>
      <c r="J82" s="184"/>
      <c r="K82" s="184"/>
      <c r="L82" s="184"/>
      <c r="M82" s="184"/>
      <c r="N82" s="184"/>
      <c r="O82" s="184"/>
      <c r="P82" s="184"/>
      <c r="Q82" s="184"/>
      <c r="R82" s="184"/>
      <c r="S82" s="184"/>
      <c r="T82" s="184"/>
      <c r="U82" s="184"/>
      <c r="V82" s="184"/>
      <c r="W82" s="184"/>
      <c r="X82" s="184"/>
      <c r="Y82" s="184"/>
      <c r="Z82" s="184"/>
      <c r="AA82" s="184"/>
      <c r="AB82" s="184"/>
    </row>
    <row r="83" spans="1:28" x14ac:dyDescent="0.35">
      <c r="A83" s="184"/>
      <c r="B83" s="184"/>
      <c r="C83" s="184"/>
      <c r="D83" s="184"/>
      <c r="E83" s="184"/>
      <c r="F83" s="184"/>
      <c r="G83" s="184"/>
      <c r="H83" s="184"/>
      <c r="I83" s="184"/>
      <c r="J83" s="184"/>
      <c r="K83" s="184"/>
      <c r="L83" s="184"/>
      <c r="M83" s="184"/>
      <c r="N83" s="184"/>
      <c r="O83" s="184"/>
      <c r="P83" s="184"/>
      <c r="Q83" s="184"/>
      <c r="R83" s="184"/>
      <c r="S83" s="184"/>
      <c r="T83" s="184"/>
      <c r="U83" s="184"/>
      <c r="V83" s="184"/>
      <c r="W83" s="184"/>
      <c r="X83" s="184"/>
      <c r="Y83" s="184"/>
      <c r="Z83" s="184"/>
      <c r="AA83" s="184"/>
      <c r="AB83" s="184"/>
    </row>
    <row r="84" spans="1:28" x14ac:dyDescent="0.35">
      <c r="A84" s="184"/>
      <c r="B84" s="184"/>
      <c r="C84" s="184"/>
      <c r="D84" s="184"/>
      <c r="E84" s="184"/>
      <c r="F84" s="184"/>
      <c r="G84" s="184"/>
      <c r="H84" s="184"/>
      <c r="I84" s="184"/>
      <c r="J84" s="184"/>
      <c r="K84" s="184"/>
      <c r="L84" s="184"/>
      <c r="M84" s="184"/>
      <c r="N84" s="184"/>
      <c r="O84" s="184"/>
      <c r="P84" s="184"/>
      <c r="Q84" s="184"/>
      <c r="R84" s="184"/>
      <c r="S84" s="184"/>
      <c r="T84" s="184"/>
      <c r="U84" s="184"/>
      <c r="V84" s="184"/>
      <c r="W84" s="184"/>
      <c r="X84" s="184"/>
      <c r="Y84" s="184"/>
      <c r="Z84" s="184"/>
      <c r="AA84" s="184"/>
      <c r="AB84" s="184"/>
    </row>
    <row r="85" spans="1:28" x14ac:dyDescent="0.35">
      <c r="A85" s="184"/>
      <c r="B85" s="184"/>
      <c r="C85" s="184"/>
      <c r="D85" s="184"/>
      <c r="E85" s="184"/>
      <c r="F85" s="184"/>
      <c r="G85" s="184"/>
      <c r="H85" s="184"/>
      <c r="I85" s="184"/>
      <c r="J85" s="184"/>
      <c r="K85" s="184"/>
      <c r="L85" s="184"/>
      <c r="M85" s="184"/>
      <c r="N85" s="184"/>
      <c r="O85" s="184"/>
      <c r="P85" s="184"/>
      <c r="Q85" s="184"/>
      <c r="R85" s="184"/>
      <c r="S85" s="184"/>
      <c r="T85" s="184"/>
      <c r="U85" s="184"/>
      <c r="V85" s="184"/>
      <c r="W85" s="184"/>
      <c r="X85" s="184"/>
      <c r="Y85" s="184"/>
      <c r="Z85" s="184"/>
      <c r="AA85" s="184"/>
      <c r="AB85" s="184"/>
    </row>
    <row r="86" spans="1:28" x14ac:dyDescent="0.35">
      <c r="A86" s="184"/>
      <c r="B86" s="184"/>
      <c r="C86" s="184"/>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184"/>
    </row>
    <row r="87" spans="1:28" x14ac:dyDescent="0.35">
      <c r="A87" s="184"/>
      <c r="B87" s="184"/>
      <c r="C87" s="184"/>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84"/>
    </row>
    <row r="88" spans="1:28" x14ac:dyDescent="0.35">
      <c r="A88" s="184"/>
      <c r="B88" s="184"/>
      <c r="C88" s="184"/>
      <c r="D88" s="184"/>
      <c r="E88" s="184"/>
      <c r="F88" s="184"/>
      <c r="G88" s="184"/>
      <c r="H88" s="184"/>
      <c r="I88" s="184"/>
      <c r="J88" s="184"/>
      <c r="K88" s="184"/>
      <c r="L88" s="184"/>
      <c r="M88" s="184"/>
      <c r="N88" s="184"/>
      <c r="O88" s="184"/>
      <c r="P88" s="184"/>
      <c r="Q88" s="184"/>
      <c r="R88" s="184"/>
      <c r="S88" s="184"/>
      <c r="T88" s="184"/>
      <c r="U88" s="184"/>
      <c r="V88" s="184"/>
      <c r="W88" s="184"/>
      <c r="X88" s="184"/>
      <c r="Y88" s="184"/>
      <c r="Z88" s="184"/>
      <c r="AA88" s="184"/>
      <c r="AB88" s="184"/>
    </row>
    <row r="89" spans="1:28" x14ac:dyDescent="0.35">
      <c r="A89" s="184"/>
      <c r="B89" s="184"/>
      <c r="C89" s="184"/>
      <c r="D89" s="184"/>
      <c r="E89" s="184"/>
      <c r="F89" s="184"/>
      <c r="G89" s="184"/>
      <c r="H89" s="184"/>
      <c r="I89" s="184"/>
      <c r="J89" s="184"/>
      <c r="K89" s="184"/>
      <c r="L89" s="184"/>
      <c r="M89" s="184"/>
      <c r="N89" s="184"/>
      <c r="O89" s="184"/>
      <c r="P89" s="184"/>
      <c r="Q89" s="184"/>
      <c r="R89" s="184"/>
      <c r="S89" s="184"/>
      <c r="T89" s="184"/>
      <c r="U89" s="184"/>
      <c r="V89" s="184"/>
      <c r="W89" s="184"/>
      <c r="X89" s="184"/>
      <c r="Y89" s="184"/>
      <c r="Z89" s="184"/>
      <c r="AA89" s="184"/>
      <c r="AB89" s="184"/>
    </row>
    <row r="90" spans="1:28" x14ac:dyDescent="0.35">
      <c r="A90" s="184"/>
      <c r="B90" s="184"/>
      <c r="C90" s="184"/>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184"/>
    </row>
    <row r="91" spans="1:28" x14ac:dyDescent="0.35">
      <c r="A91" s="184"/>
      <c r="B91" s="184"/>
      <c r="C91" s="184"/>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184"/>
    </row>
    <row r="92" spans="1:28" x14ac:dyDescent="0.35">
      <c r="A92" s="184"/>
      <c r="B92" s="184"/>
      <c r="C92" s="184"/>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184"/>
    </row>
    <row r="93" spans="1:28" x14ac:dyDescent="0.35">
      <c r="A93" s="184"/>
      <c r="B93" s="184"/>
      <c r="C93" s="184"/>
      <c r="D93" s="184"/>
      <c r="E93" s="184"/>
      <c r="F93" s="184"/>
      <c r="G93" s="184"/>
      <c r="H93" s="184"/>
      <c r="I93" s="184"/>
      <c r="J93" s="184"/>
      <c r="K93" s="184"/>
      <c r="L93" s="184"/>
      <c r="M93" s="184"/>
      <c r="N93" s="184"/>
      <c r="O93" s="184"/>
      <c r="P93" s="184"/>
      <c r="Q93" s="184"/>
      <c r="R93" s="184"/>
      <c r="S93" s="184"/>
      <c r="T93" s="184"/>
      <c r="U93" s="184"/>
      <c r="V93" s="184"/>
      <c r="W93" s="184"/>
      <c r="X93" s="184"/>
      <c r="Y93" s="184"/>
      <c r="Z93" s="184"/>
      <c r="AA93" s="184"/>
      <c r="AB93" s="184"/>
    </row>
    <row r="94" spans="1:28" x14ac:dyDescent="0.35">
      <c r="A94" s="184"/>
      <c r="B94" s="184"/>
      <c r="C94" s="184"/>
      <c r="D94" s="184"/>
      <c r="E94" s="184"/>
      <c r="F94" s="184"/>
      <c r="G94" s="184"/>
      <c r="H94" s="184"/>
      <c r="I94" s="184"/>
      <c r="J94" s="184"/>
      <c r="K94" s="184"/>
      <c r="L94" s="184"/>
      <c r="M94" s="184"/>
      <c r="N94" s="184"/>
      <c r="O94" s="184"/>
      <c r="P94" s="184"/>
      <c r="Q94" s="184"/>
      <c r="R94" s="184"/>
      <c r="S94" s="184"/>
      <c r="T94" s="184"/>
      <c r="U94" s="184"/>
      <c r="V94" s="184"/>
      <c r="W94" s="184"/>
      <c r="X94" s="184"/>
      <c r="Y94" s="184"/>
      <c r="Z94" s="184"/>
      <c r="AA94" s="184"/>
      <c r="AB94" s="184"/>
    </row>
    <row r="95" spans="1:28" x14ac:dyDescent="0.35">
      <c r="A95" s="184"/>
      <c r="B95" s="184"/>
      <c r="C95" s="184"/>
      <c r="D95" s="184"/>
      <c r="E95" s="184"/>
      <c r="F95" s="184"/>
      <c r="G95" s="184"/>
      <c r="H95" s="184"/>
      <c r="I95" s="184"/>
      <c r="J95" s="184"/>
      <c r="K95" s="184"/>
      <c r="L95" s="184"/>
      <c r="M95" s="184"/>
      <c r="N95" s="184"/>
      <c r="O95" s="184"/>
      <c r="P95" s="184"/>
      <c r="Q95" s="184"/>
      <c r="R95" s="184"/>
      <c r="S95" s="184"/>
      <c r="T95" s="184"/>
      <c r="U95" s="184"/>
      <c r="V95" s="184"/>
      <c r="W95" s="184"/>
      <c r="X95" s="184"/>
      <c r="Y95" s="184"/>
      <c r="Z95" s="184"/>
      <c r="AA95" s="184"/>
      <c r="AB95" s="184"/>
    </row>
    <row r="96" spans="1:28" x14ac:dyDescent="0.35">
      <c r="A96" s="184"/>
      <c r="B96" s="184"/>
      <c r="C96" s="184"/>
      <c r="D96" s="184"/>
      <c r="E96" s="184"/>
      <c r="F96" s="184"/>
      <c r="G96" s="184"/>
      <c r="H96" s="184"/>
      <c r="I96" s="184"/>
      <c r="J96" s="184"/>
      <c r="K96" s="184"/>
      <c r="L96" s="184"/>
      <c r="M96" s="184"/>
      <c r="N96" s="184"/>
      <c r="O96" s="184"/>
      <c r="P96" s="184"/>
      <c r="Q96" s="184"/>
      <c r="R96" s="184"/>
      <c r="S96" s="184"/>
      <c r="T96" s="184"/>
      <c r="U96" s="184"/>
      <c r="V96" s="184"/>
      <c r="W96" s="184"/>
      <c r="X96" s="184"/>
      <c r="Y96" s="184"/>
      <c r="Z96" s="184"/>
      <c r="AA96" s="184"/>
      <c r="AB96" s="184"/>
    </row>
    <row r="97" spans="1:29" x14ac:dyDescent="0.35">
      <c r="A97" s="184"/>
      <c r="B97" s="184"/>
      <c r="C97" s="184"/>
      <c r="D97" s="184"/>
      <c r="E97" s="184"/>
      <c r="F97" s="184"/>
      <c r="G97" s="184"/>
      <c r="H97" s="184"/>
      <c r="I97" s="184"/>
      <c r="J97" s="184"/>
      <c r="K97" s="184"/>
      <c r="L97" s="184"/>
      <c r="M97" s="184"/>
      <c r="N97" s="184"/>
      <c r="O97" s="184"/>
      <c r="P97" s="184"/>
      <c r="Q97" s="184"/>
      <c r="R97" s="184"/>
      <c r="S97" s="184"/>
      <c r="T97" s="184"/>
      <c r="U97" s="184"/>
      <c r="V97" s="184"/>
      <c r="W97" s="184"/>
      <c r="X97" s="184"/>
      <c r="Y97" s="184"/>
      <c r="Z97" s="184"/>
      <c r="AA97" s="184"/>
      <c r="AB97" s="184"/>
    </row>
    <row r="98" spans="1:29" x14ac:dyDescent="0.35">
      <c r="A98" s="184"/>
      <c r="B98" s="184"/>
      <c r="C98" s="184"/>
      <c r="D98" s="184"/>
      <c r="E98" s="184"/>
      <c r="F98" s="184"/>
      <c r="G98" s="184"/>
      <c r="H98" s="184"/>
      <c r="I98" s="184"/>
      <c r="J98" s="184"/>
      <c r="K98" s="184"/>
      <c r="L98" s="184"/>
      <c r="M98" s="184"/>
      <c r="N98" s="184"/>
      <c r="O98" s="184"/>
      <c r="P98" s="184"/>
      <c r="Q98" s="184"/>
      <c r="R98" s="184"/>
      <c r="S98" s="184"/>
      <c r="T98" s="184"/>
      <c r="U98" s="184"/>
      <c r="V98" s="184"/>
      <c r="W98" s="184"/>
      <c r="X98" s="184"/>
      <c r="Y98" s="184"/>
      <c r="Z98" s="184"/>
      <c r="AA98" s="184"/>
      <c r="AB98" s="184"/>
    </row>
    <row r="99" spans="1:29" x14ac:dyDescent="0.35">
      <c r="A99" s="184"/>
      <c r="B99" s="184"/>
      <c r="C99" s="184"/>
      <c r="D99" s="184"/>
      <c r="E99" s="184"/>
      <c r="F99" s="184"/>
      <c r="G99" s="184"/>
      <c r="H99" s="184"/>
      <c r="I99" s="184"/>
      <c r="J99" s="184"/>
      <c r="K99" s="184"/>
      <c r="L99" s="184"/>
      <c r="M99" s="184"/>
      <c r="N99" s="184"/>
      <c r="O99" s="184"/>
      <c r="P99" s="184"/>
      <c r="Q99" s="184"/>
      <c r="R99" s="184"/>
      <c r="S99" s="184"/>
      <c r="T99" s="184"/>
      <c r="U99" s="184"/>
      <c r="V99" s="184"/>
      <c r="W99" s="184"/>
      <c r="X99" s="184"/>
      <c r="Y99" s="184"/>
      <c r="Z99" s="184"/>
      <c r="AA99" s="184"/>
      <c r="AB99" s="184"/>
    </row>
    <row r="100" spans="1:29" x14ac:dyDescent="0.35">
      <c r="A100" s="184"/>
      <c r="B100" s="184"/>
      <c r="C100" s="184"/>
      <c r="D100" s="184"/>
      <c r="E100" s="184"/>
      <c r="F100" s="184"/>
      <c r="G100" s="184"/>
      <c r="H100" s="184"/>
      <c r="I100" s="184"/>
      <c r="J100" s="184"/>
      <c r="K100" s="184"/>
      <c r="L100" s="184"/>
      <c r="M100" s="184"/>
      <c r="N100" s="184"/>
      <c r="O100" s="184"/>
      <c r="P100" s="184"/>
      <c r="Q100" s="184"/>
      <c r="R100" s="184"/>
      <c r="S100" s="184"/>
      <c r="T100" s="184"/>
      <c r="U100" s="184"/>
      <c r="V100" s="184"/>
      <c r="W100" s="184"/>
      <c r="X100" s="184"/>
      <c r="Y100" s="184"/>
      <c r="Z100" s="184"/>
      <c r="AA100" s="184"/>
      <c r="AB100" s="184"/>
    </row>
    <row r="101" spans="1:29" x14ac:dyDescent="0.35">
      <c r="A101" s="184"/>
      <c r="B101" s="184"/>
      <c r="C101" s="184"/>
      <c r="D101" s="184"/>
      <c r="E101" s="184"/>
      <c r="F101" s="184"/>
      <c r="G101" s="184"/>
      <c r="H101" s="184"/>
      <c r="I101" s="184"/>
      <c r="J101" s="184"/>
      <c r="K101" s="184"/>
      <c r="L101" s="184"/>
      <c r="M101" s="184"/>
      <c r="N101" s="184"/>
      <c r="O101" s="184"/>
      <c r="P101" s="184"/>
      <c r="Q101" s="184"/>
      <c r="R101" s="184"/>
      <c r="S101" s="184"/>
      <c r="T101" s="184"/>
      <c r="U101" s="184"/>
      <c r="V101" s="184"/>
      <c r="W101" s="184"/>
      <c r="X101" s="184"/>
      <c r="Y101" s="184"/>
      <c r="Z101" s="184"/>
      <c r="AA101" s="184"/>
      <c r="AB101" s="184"/>
    </row>
    <row r="102" spans="1:29" x14ac:dyDescent="0.35">
      <c r="A102" s="184"/>
      <c r="B102" s="184"/>
      <c r="C102" s="184"/>
      <c r="D102" s="184"/>
      <c r="E102" s="184"/>
      <c r="F102" s="184"/>
      <c r="G102" s="184"/>
      <c r="H102" s="184"/>
      <c r="I102" s="184"/>
      <c r="J102" s="184"/>
      <c r="K102" s="184"/>
      <c r="L102" s="184"/>
      <c r="M102" s="184"/>
      <c r="N102" s="184"/>
      <c r="O102" s="184"/>
      <c r="P102" s="184"/>
      <c r="Q102" s="184"/>
      <c r="R102" s="184"/>
      <c r="S102" s="184"/>
      <c r="T102" s="184"/>
      <c r="U102" s="184"/>
      <c r="V102" s="184"/>
      <c r="W102" s="184"/>
      <c r="X102" s="184"/>
      <c r="Y102" s="184"/>
      <c r="Z102" s="184"/>
      <c r="AA102" s="184"/>
      <c r="AB102" s="184"/>
      <c r="AC102" s="184"/>
    </row>
    <row r="103" spans="1:29" x14ac:dyDescent="0.35">
      <c r="A103" s="184"/>
      <c r="B103" s="184"/>
      <c r="C103" s="184"/>
      <c r="D103" s="184"/>
      <c r="E103" s="184"/>
      <c r="F103" s="184"/>
      <c r="G103" s="184"/>
      <c r="H103" s="184"/>
      <c r="I103" s="184"/>
      <c r="J103" s="184"/>
      <c r="K103" s="184"/>
      <c r="L103" s="184"/>
      <c r="M103" s="184"/>
      <c r="N103" s="184"/>
      <c r="O103" s="184"/>
      <c r="P103" s="184"/>
      <c r="Q103" s="184"/>
      <c r="R103" s="184"/>
      <c r="S103" s="184"/>
      <c r="T103" s="184"/>
      <c r="U103" s="184"/>
      <c r="V103" s="184"/>
      <c r="W103" s="184"/>
      <c r="X103" s="184"/>
      <c r="Y103" s="184"/>
      <c r="Z103" s="184"/>
      <c r="AA103" s="184"/>
      <c r="AB103" s="184"/>
      <c r="AC103" s="184"/>
    </row>
    <row r="104" spans="1:29" x14ac:dyDescent="0.35">
      <c r="A104" s="184"/>
      <c r="B104" s="184"/>
      <c r="C104" s="184"/>
      <c r="D104" s="184"/>
      <c r="E104" s="184"/>
      <c r="F104" s="184"/>
      <c r="G104" s="184"/>
      <c r="H104" s="184"/>
      <c r="I104" s="184"/>
      <c r="J104" s="184"/>
      <c r="K104" s="184"/>
      <c r="L104" s="184"/>
      <c r="M104" s="184"/>
      <c r="N104" s="184"/>
      <c r="O104" s="184"/>
      <c r="P104" s="184"/>
      <c r="Q104" s="184"/>
      <c r="R104" s="184"/>
      <c r="S104" s="184"/>
      <c r="T104" s="184"/>
      <c r="U104" s="184"/>
      <c r="V104" s="184"/>
      <c r="W104" s="184"/>
      <c r="X104" s="184"/>
      <c r="Y104" s="184"/>
      <c r="Z104" s="184"/>
      <c r="AA104" s="184"/>
      <c r="AB104" s="184"/>
      <c r="AC104" s="184"/>
    </row>
    <row r="105" spans="1:29" x14ac:dyDescent="0.35">
      <c r="A105" s="184"/>
      <c r="B105" s="184"/>
      <c r="C105" s="184"/>
      <c r="D105" s="184"/>
      <c r="E105" s="184"/>
      <c r="F105" s="184"/>
      <c r="G105" s="184"/>
      <c r="H105" s="184"/>
      <c r="I105" s="184"/>
      <c r="J105" s="184"/>
      <c r="K105" s="184"/>
      <c r="L105" s="184"/>
      <c r="M105" s="184"/>
      <c r="N105" s="184"/>
      <c r="O105" s="184"/>
      <c r="P105" s="184"/>
      <c r="Q105" s="184"/>
      <c r="R105" s="184"/>
      <c r="S105" s="184"/>
      <c r="T105" s="184"/>
      <c r="U105" s="184"/>
      <c r="V105" s="184"/>
      <c r="W105" s="184"/>
      <c r="X105" s="184"/>
      <c r="Y105" s="184"/>
      <c r="Z105" s="184"/>
      <c r="AA105" s="184"/>
      <c r="AB105" s="184"/>
      <c r="AC105" s="184"/>
    </row>
    <row r="106" spans="1:29" x14ac:dyDescent="0.35">
      <c r="A106" s="184"/>
      <c r="B106" s="184"/>
      <c r="C106" s="184"/>
      <c r="D106" s="184"/>
      <c r="E106" s="184"/>
      <c r="F106" s="184"/>
      <c r="G106" s="184"/>
      <c r="H106" s="184"/>
      <c r="I106" s="184"/>
      <c r="J106" s="184"/>
      <c r="K106" s="184"/>
      <c r="L106" s="184"/>
      <c r="M106" s="184"/>
      <c r="N106" s="184"/>
      <c r="O106" s="184"/>
      <c r="P106" s="184"/>
      <c r="Q106" s="184"/>
      <c r="R106" s="184"/>
      <c r="S106" s="184"/>
      <c r="T106" s="184"/>
      <c r="U106" s="184"/>
      <c r="V106" s="184"/>
      <c r="W106" s="184"/>
      <c r="X106" s="184"/>
      <c r="Y106" s="184"/>
      <c r="Z106" s="184"/>
      <c r="AA106" s="184"/>
      <c r="AB106" s="184"/>
      <c r="AC106" s="184"/>
    </row>
    <row r="107" spans="1:29" x14ac:dyDescent="0.35">
      <c r="A107" s="184"/>
      <c r="B107" s="184"/>
      <c r="C107" s="184"/>
      <c r="D107" s="184"/>
      <c r="E107" s="184"/>
      <c r="F107" s="184"/>
      <c r="G107" s="184"/>
      <c r="H107" s="184"/>
      <c r="I107" s="184"/>
      <c r="J107" s="184"/>
      <c r="K107" s="184"/>
      <c r="L107" s="184"/>
      <c r="M107" s="184"/>
      <c r="N107" s="184"/>
      <c r="O107" s="184"/>
      <c r="P107" s="184"/>
      <c r="Q107" s="184"/>
      <c r="R107" s="184"/>
      <c r="S107" s="184"/>
      <c r="T107" s="184"/>
      <c r="U107" s="184"/>
      <c r="V107" s="184"/>
      <c r="W107" s="184"/>
      <c r="X107" s="184"/>
      <c r="Y107" s="184"/>
      <c r="Z107" s="184"/>
      <c r="AA107" s="184"/>
      <c r="AB107" s="184"/>
      <c r="AC107" s="184"/>
    </row>
    <row r="108" spans="1:29" x14ac:dyDescent="0.35">
      <c r="A108" s="184"/>
      <c r="B108" s="184"/>
      <c r="C108" s="184"/>
      <c r="D108" s="184"/>
      <c r="E108" s="184"/>
      <c r="F108" s="184"/>
      <c r="G108" s="184"/>
      <c r="H108" s="184"/>
      <c r="I108" s="184"/>
      <c r="J108" s="184"/>
      <c r="K108" s="184"/>
      <c r="L108" s="184"/>
      <c r="M108" s="184"/>
      <c r="N108" s="184"/>
      <c r="O108" s="184"/>
      <c r="P108" s="184"/>
      <c r="Q108" s="184"/>
      <c r="R108" s="184"/>
      <c r="S108" s="184"/>
      <c r="T108" s="184"/>
      <c r="U108" s="184"/>
      <c r="V108" s="184"/>
      <c r="W108" s="184"/>
      <c r="X108" s="184"/>
      <c r="Y108" s="184"/>
      <c r="Z108" s="184"/>
      <c r="AA108" s="184"/>
      <c r="AB108" s="184"/>
      <c r="AC108" s="184"/>
    </row>
    <row r="109" spans="1:29" x14ac:dyDescent="0.35">
      <c r="A109" s="184"/>
      <c r="B109" s="184"/>
      <c r="C109" s="184"/>
      <c r="D109" s="184"/>
      <c r="E109" s="184"/>
      <c r="F109" s="184"/>
      <c r="G109" s="184"/>
      <c r="H109" s="184"/>
      <c r="I109" s="184"/>
      <c r="J109" s="184"/>
      <c r="K109" s="184"/>
      <c r="L109" s="184"/>
      <c r="M109" s="184"/>
      <c r="N109" s="184"/>
      <c r="O109" s="184"/>
      <c r="P109" s="184"/>
      <c r="Q109" s="184"/>
      <c r="R109" s="184"/>
      <c r="S109" s="184"/>
      <c r="T109" s="184"/>
      <c r="U109" s="184"/>
      <c r="V109" s="184"/>
      <c r="W109" s="184"/>
      <c r="X109" s="184"/>
      <c r="Y109" s="184"/>
      <c r="Z109" s="184"/>
      <c r="AA109" s="184"/>
      <c r="AB109" s="184"/>
      <c r="AC109" s="184"/>
    </row>
    <row r="110" spans="1:29" x14ac:dyDescent="0.35">
      <c r="A110" s="184"/>
      <c r="B110" s="184"/>
      <c r="C110" s="184"/>
      <c r="D110" s="184"/>
      <c r="E110" s="184"/>
      <c r="F110" s="184"/>
      <c r="G110" s="184"/>
      <c r="H110" s="184"/>
      <c r="I110" s="184"/>
      <c r="J110" s="184"/>
      <c r="K110" s="184"/>
      <c r="L110" s="184"/>
      <c r="M110" s="184"/>
      <c r="N110" s="184"/>
      <c r="O110" s="184"/>
      <c r="P110" s="184"/>
      <c r="Q110" s="184"/>
      <c r="R110" s="184"/>
      <c r="S110" s="184"/>
      <c r="T110" s="184"/>
      <c r="U110" s="184"/>
      <c r="V110" s="184"/>
      <c r="W110" s="184"/>
      <c r="X110" s="184"/>
      <c r="Y110" s="184"/>
      <c r="Z110" s="184"/>
      <c r="AA110" s="184"/>
      <c r="AB110" s="184"/>
      <c r="AC110" s="184"/>
    </row>
    <row r="111" spans="1:29" x14ac:dyDescent="0.35">
      <c r="A111" s="184"/>
      <c r="B111" s="184"/>
      <c r="C111" s="184"/>
      <c r="D111" s="184"/>
      <c r="E111" s="184"/>
      <c r="F111" s="184"/>
      <c r="G111" s="184"/>
      <c r="H111" s="184"/>
      <c r="I111" s="184"/>
      <c r="J111" s="184"/>
      <c r="K111" s="184"/>
      <c r="L111" s="184"/>
      <c r="M111" s="184"/>
      <c r="N111" s="184"/>
      <c r="O111" s="184"/>
      <c r="P111" s="184"/>
      <c r="Q111" s="184"/>
      <c r="R111" s="184"/>
      <c r="S111" s="184"/>
      <c r="T111" s="184"/>
      <c r="U111" s="184"/>
      <c r="V111" s="184"/>
      <c r="W111" s="184"/>
      <c r="X111" s="184"/>
      <c r="Y111" s="184"/>
      <c r="Z111" s="184"/>
      <c r="AA111" s="184"/>
      <c r="AB111" s="184"/>
      <c r="AC111" s="184"/>
    </row>
    <row r="112" spans="1:29" x14ac:dyDescent="0.35">
      <c r="A112" s="184"/>
      <c r="B112" s="184"/>
      <c r="C112" s="184"/>
      <c r="D112" s="184"/>
      <c r="E112" s="184"/>
      <c r="F112" s="184"/>
      <c r="G112" s="184"/>
      <c r="H112" s="184"/>
      <c r="I112" s="184"/>
      <c r="J112" s="184"/>
      <c r="K112" s="184"/>
      <c r="L112" s="184"/>
      <c r="M112" s="184"/>
      <c r="N112" s="184"/>
      <c r="O112" s="184"/>
      <c r="P112" s="184"/>
      <c r="Q112" s="184"/>
      <c r="R112" s="184"/>
      <c r="S112" s="184"/>
      <c r="T112" s="184"/>
      <c r="U112" s="184"/>
      <c r="V112" s="184"/>
      <c r="W112" s="184"/>
      <c r="X112" s="184"/>
      <c r="Y112" s="184"/>
      <c r="Z112" s="184"/>
      <c r="AA112" s="184"/>
      <c r="AB112" s="184"/>
      <c r="AC112" s="184"/>
    </row>
    <row r="113" spans="1:29" x14ac:dyDescent="0.35">
      <c r="A113" s="184"/>
      <c r="B113" s="184"/>
      <c r="C113" s="184"/>
      <c r="D113" s="184"/>
      <c r="E113" s="184"/>
      <c r="F113" s="184"/>
      <c r="G113" s="184"/>
      <c r="H113" s="184"/>
      <c r="I113" s="184"/>
      <c r="J113" s="184"/>
      <c r="K113" s="184"/>
      <c r="L113" s="184"/>
      <c r="M113" s="184"/>
      <c r="N113" s="184"/>
      <c r="O113" s="184"/>
      <c r="P113" s="184"/>
      <c r="Q113" s="184"/>
      <c r="R113" s="184"/>
      <c r="S113" s="184"/>
      <c r="T113" s="184"/>
      <c r="U113" s="184"/>
      <c r="V113" s="184"/>
      <c r="W113" s="184"/>
      <c r="X113" s="184"/>
      <c r="Y113" s="184"/>
      <c r="Z113" s="184"/>
      <c r="AA113" s="184"/>
      <c r="AB113" s="184"/>
      <c r="AC113" s="184"/>
    </row>
    <row r="114" spans="1:29" x14ac:dyDescent="0.35">
      <c r="A114" s="184"/>
      <c r="B114" s="184"/>
      <c r="C114" s="184"/>
      <c r="D114" s="184"/>
      <c r="E114" s="184"/>
      <c r="F114" s="184"/>
      <c r="G114" s="184"/>
      <c r="H114" s="184"/>
      <c r="I114" s="184"/>
      <c r="J114" s="184"/>
      <c r="K114" s="184"/>
      <c r="L114" s="184"/>
      <c r="M114" s="184"/>
      <c r="N114" s="184"/>
      <c r="O114" s="184"/>
      <c r="P114" s="184"/>
      <c r="Q114" s="184"/>
      <c r="R114" s="184"/>
      <c r="S114" s="184"/>
      <c r="T114" s="184"/>
      <c r="U114" s="184"/>
      <c r="V114" s="184"/>
      <c r="W114" s="184"/>
      <c r="X114" s="184"/>
      <c r="Y114" s="184"/>
      <c r="Z114" s="184"/>
      <c r="AA114" s="184"/>
      <c r="AB114" s="184"/>
      <c r="AC114" s="184"/>
    </row>
    <row r="115" spans="1:29" x14ac:dyDescent="0.35">
      <c r="A115" s="184"/>
      <c r="B115" s="184"/>
      <c r="C115" s="184"/>
      <c r="D115" s="184"/>
      <c r="E115" s="184"/>
      <c r="F115" s="184"/>
      <c r="G115" s="184"/>
      <c r="H115" s="184"/>
      <c r="I115" s="184"/>
      <c r="J115" s="184"/>
      <c r="K115" s="184"/>
      <c r="L115" s="184"/>
      <c r="M115" s="184"/>
      <c r="N115" s="184"/>
      <c r="O115" s="184"/>
      <c r="P115" s="184"/>
      <c r="Q115" s="184"/>
      <c r="R115" s="184"/>
      <c r="S115" s="184"/>
      <c r="T115" s="184"/>
      <c r="U115" s="184"/>
      <c r="V115" s="184"/>
      <c r="W115" s="184"/>
      <c r="X115" s="184"/>
      <c r="Y115" s="184"/>
      <c r="Z115" s="184"/>
      <c r="AA115" s="184"/>
      <c r="AB115" s="184"/>
      <c r="AC115" s="184"/>
    </row>
    <row r="116" spans="1:29" x14ac:dyDescent="0.35">
      <c r="A116" s="184"/>
      <c r="B116" s="184"/>
      <c r="C116" s="184"/>
      <c r="D116" s="184"/>
      <c r="E116" s="184"/>
      <c r="F116" s="184"/>
      <c r="G116" s="184"/>
      <c r="H116" s="184"/>
      <c r="I116" s="184"/>
      <c r="J116" s="184"/>
      <c r="K116" s="184"/>
      <c r="L116" s="184"/>
      <c r="M116" s="184"/>
      <c r="N116" s="184"/>
      <c r="O116" s="184"/>
      <c r="P116" s="184"/>
      <c r="Q116" s="184"/>
      <c r="R116" s="184"/>
      <c r="S116" s="184"/>
      <c r="T116" s="184"/>
      <c r="U116" s="184"/>
      <c r="V116" s="184"/>
      <c r="W116" s="184"/>
      <c r="X116" s="184"/>
      <c r="Y116" s="184"/>
      <c r="Z116" s="184"/>
      <c r="AA116" s="184"/>
      <c r="AB116" s="184"/>
      <c r="AC116" s="184"/>
    </row>
    <row r="117" spans="1:29" x14ac:dyDescent="0.35">
      <c r="A117" s="184"/>
      <c r="B117" s="184"/>
      <c r="C117" s="184"/>
      <c r="D117" s="184"/>
      <c r="E117" s="184"/>
      <c r="F117" s="184"/>
      <c r="G117" s="184"/>
      <c r="H117" s="184"/>
      <c r="I117" s="184"/>
      <c r="J117" s="184"/>
      <c r="K117" s="184"/>
      <c r="L117" s="184"/>
      <c r="M117" s="184"/>
      <c r="N117" s="184"/>
      <c r="O117" s="184"/>
      <c r="P117" s="184"/>
      <c r="Q117" s="184"/>
      <c r="R117" s="184"/>
      <c r="S117" s="184"/>
      <c r="T117" s="184"/>
      <c r="U117" s="184"/>
      <c r="V117" s="184"/>
      <c r="W117" s="184"/>
      <c r="X117" s="184"/>
      <c r="Y117" s="184"/>
      <c r="Z117" s="184"/>
      <c r="AA117" s="184"/>
      <c r="AB117" s="184"/>
      <c r="AC117" s="184"/>
    </row>
    <row r="118" spans="1:29" x14ac:dyDescent="0.35">
      <c r="A118" s="184"/>
      <c r="B118" s="184"/>
      <c r="C118" s="184"/>
      <c r="D118" s="184"/>
      <c r="E118" s="184"/>
      <c r="F118" s="184"/>
      <c r="G118" s="184"/>
      <c r="H118" s="184"/>
      <c r="I118" s="184"/>
      <c r="J118" s="184"/>
      <c r="K118" s="184"/>
      <c r="L118" s="184"/>
      <c r="M118" s="184"/>
      <c r="N118" s="184"/>
      <c r="O118" s="184"/>
      <c r="P118" s="184"/>
      <c r="Q118" s="184"/>
      <c r="R118" s="184"/>
      <c r="S118" s="184"/>
      <c r="T118" s="184"/>
      <c r="U118" s="184"/>
      <c r="V118" s="184"/>
      <c r="W118" s="184"/>
      <c r="X118" s="184"/>
      <c r="Y118" s="184"/>
      <c r="Z118" s="184"/>
      <c r="AA118" s="184"/>
      <c r="AB118" s="184"/>
      <c r="AC118" s="184"/>
    </row>
    <row r="119" spans="1:29" x14ac:dyDescent="0.35">
      <c r="A119" s="184"/>
      <c r="B119" s="184"/>
      <c r="C119" s="184"/>
      <c r="D119" s="184"/>
      <c r="E119" s="184"/>
      <c r="F119" s="184"/>
      <c r="G119" s="184"/>
      <c r="H119" s="184"/>
      <c r="I119" s="184"/>
      <c r="J119" s="184"/>
      <c r="K119" s="184"/>
      <c r="L119" s="184"/>
      <c r="M119" s="184"/>
      <c r="N119" s="184"/>
      <c r="O119" s="184"/>
      <c r="P119" s="184"/>
      <c r="Q119" s="184"/>
      <c r="R119" s="184"/>
      <c r="S119" s="184"/>
      <c r="T119" s="184"/>
      <c r="U119" s="184"/>
      <c r="V119" s="184"/>
      <c r="W119" s="184"/>
      <c r="X119" s="184"/>
      <c r="Y119" s="184"/>
      <c r="Z119" s="184"/>
      <c r="AA119" s="184"/>
      <c r="AB119" s="184"/>
      <c r="AC119" s="184"/>
    </row>
    <row r="120" spans="1:29" x14ac:dyDescent="0.35">
      <c r="A120" s="184"/>
      <c r="B120" s="184"/>
      <c r="C120" s="184"/>
      <c r="D120" s="184"/>
      <c r="E120" s="184"/>
      <c r="F120" s="184"/>
      <c r="G120" s="184"/>
      <c r="H120" s="184"/>
      <c r="I120" s="184"/>
      <c r="J120" s="184"/>
      <c r="K120" s="184"/>
      <c r="L120" s="184"/>
      <c r="M120" s="184"/>
      <c r="N120" s="184"/>
      <c r="O120" s="184"/>
      <c r="P120" s="184"/>
      <c r="Q120" s="184"/>
      <c r="R120" s="184"/>
      <c r="S120" s="184"/>
      <c r="T120" s="184"/>
      <c r="U120" s="184"/>
      <c r="V120" s="184"/>
      <c r="W120" s="184"/>
      <c r="X120" s="184"/>
      <c r="Y120" s="184"/>
      <c r="Z120" s="184"/>
      <c r="AA120" s="184"/>
      <c r="AB120" s="184"/>
      <c r="AC120" s="184"/>
    </row>
    <row r="121" spans="1:29" x14ac:dyDescent="0.35">
      <c r="A121" s="184"/>
      <c r="B121" s="184"/>
      <c r="C121" s="184"/>
      <c r="D121" s="184"/>
      <c r="E121" s="184"/>
      <c r="F121" s="184"/>
      <c r="G121" s="184"/>
      <c r="H121" s="184"/>
      <c r="I121" s="184"/>
      <c r="J121" s="184"/>
      <c r="K121" s="184"/>
      <c r="L121" s="184"/>
      <c r="M121" s="184"/>
      <c r="N121" s="184"/>
      <c r="O121" s="184"/>
      <c r="P121" s="184"/>
      <c r="Q121" s="184"/>
      <c r="R121" s="184"/>
      <c r="S121" s="184"/>
      <c r="T121" s="184"/>
      <c r="U121" s="184"/>
      <c r="V121" s="184"/>
      <c r="W121" s="184"/>
      <c r="X121" s="184"/>
      <c r="Y121" s="184"/>
      <c r="Z121" s="184"/>
      <c r="AA121" s="184"/>
      <c r="AB121" s="184"/>
      <c r="AC121" s="184"/>
    </row>
    <row r="122" spans="1:29" x14ac:dyDescent="0.35">
      <c r="A122" s="184"/>
      <c r="B122" s="184"/>
      <c r="C122" s="184"/>
      <c r="D122" s="184"/>
      <c r="E122" s="184"/>
      <c r="F122" s="184"/>
      <c r="G122" s="184"/>
      <c r="H122" s="184"/>
      <c r="I122" s="184"/>
      <c r="J122" s="184"/>
      <c r="K122" s="184"/>
      <c r="L122" s="184"/>
      <c r="M122" s="184"/>
      <c r="N122" s="184"/>
      <c r="O122" s="184"/>
      <c r="P122" s="184"/>
      <c r="Q122" s="184"/>
      <c r="R122" s="184"/>
      <c r="S122" s="184"/>
      <c r="T122" s="184"/>
      <c r="U122" s="184"/>
      <c r="V122" s="184"/>
      <c r="W122" s="184"/>
      <c r="X122" s="184"/>
      <c r="Y122" s="184"/>
      <c r="Z122" s="184"/>
      <c r="AA122" s="184"/>
      <c r="AB122" s="184"/>
      <c r="AC122" s="184"/>
    </row>
    <row r="123" spans="1:29" x14ac:dyDescent="0.35">
      <c r="A123" s="184"/>
      <c r="B123" s="184"/>
      <c r="C123" s="184"/>
      <c r="D123" s="184"/>
      <c r="E123" s="184"/>
      <c r="F123" s="184"/>
      <c r="G123" s="184"/>
      <c r="H123" s="184"/>
      <c r="I123" s="184"/>
      <c r="J123" s="184"/>
      <c r="K123" s="184"/>
      <c r="L123" s="184"/>
      <c r="M123" s="184"/>
      <c r="N123" s="184"/>
      <c r="O123" s="184"/>
      <c r="P123" s="184"/>
      <c r="Q123" s="184"/>
      <c r="R123" s="184"/>
      <c r="S123" s="184"/>
      <c r="T123" s="184"/>
      <c r="U123" s="184"/>
      <c r="V123" s="184"/>
      <c r="W123" s="184"/>
      <c r="X123" s="184"/>
      <c r="Y123" s="184"/>
      <c r="Z123" s="184"/>
      <c r="AA123" s="184"/>
      <c r="AB123" s="184"/>
      <c r="AC123" s="184"/>
    </row>
    <row r="124" spans="1:29" x14ac:dyDescent="0.35">
      <c r="A124" s="184"/>
      <c r="B124" s="184"/>
      <c r="C124" s="184"/>
      <c r="D124" s="184"/>
      <c r="E124" s="184"/>
      <c r="F124" s="184"/>
      <c r="G124" s="184"/>
      <c r="H124" s="184"/>
      <c r="I124" s="184"/>
      <c r="J124" s="184"/>
      <c r="K124" s="184"/>
      <c r="L124" s="184"/>
      <c r="M124" s="184"/>
      <c r="N124" s="184"/>
      <c r="O124" s="184"/>
      <c r="P124" s="184"/>
      <c r="Q124" s="184"/>
      <c r="R124" s="184"/>
      <c r="S124" s="184"/>
      <c r="T124" s="184"/>
      <c r="U124" s="184"/>
      <c r="V124" s="184"/>
      <c r="W124" s="184"/>
      <c r="X124" s="184"/>
      <c r="Y124" s="184"/>
      <c r="Z124" s="184"/>
      <c r="AA124" s="184"/>
      <c r="AB124" s="184"/>
      <c r="AC124" s="184"/>
    </row>
    <row r="125" spans="1:29" x14ac:dyDescent="0.35">
      <c r="A125" s="184"/>
      <c r="B125" s="184"/>
      <c r="C125" s="184"/>
      <c r="D125" s="184"/>
      <c r="E125" s="184"/>
      <c r="F125" s="184"/>
      <c r="G125" s="184"/>
      <c r="H125" s="184"/>
      <c r="I125" s="184"/>
      <c r="J125" s="184"/>
      <c r="K125" s="184"/>
      <c r="L125" s="184"/>
      <c r="M125" s="184"/>
      <c r="N125" s="184"/>
      <c r="O125" s="184"/>
      <c r="P125" s="184"/>
      <c r="Q125" s="184"/>
      <c r="R125" s="184"/>
      <c r="S125" s="184"/>
      <c r="T125" s="184"/>
      <c r="U125" s="184"/>
      <c r="V125" s="184"/>
      <c r="W125" s="184"/>
      <c r="X125" s="184"/>
      <c r="Y125" s="184"/>
      <c r="Z125" s="184"/>
      <c r="AA125" s="184"/>
      <c r="AB125" s="184"/>
      <c r="AC125" s="184"/>
    </row>
    <row r="126" spans="1:29" x14ac:dyDescent="0.35">
      <c r="A126" s="184"/>
      <c r="B126" s="184"/>
      <c r="C126" s="184"/>
      <c r="D126" s="184"/>
      <c r="E126" s="184"/>
      <c r="F126" s="184"/>
      <c r="G126" s="184"/>
      <c r="H126" s="184"/>
      <c r="I126" s="184"/>
      <c r="J126" s="184"/>
      <c r="K126" s="184"/>
      <c r="L126" s="184"/>
      <c r="M126" s="184"/>
      <c r="N126" s="184"/>
      <c r="O126" s="184"/>
      <c r="P126" s="184"/>
      <c r="Q126" s="184"/>
      <c r="R126" s="184"/>
      <c r="S126" s="184"/>
      <c r="T126" s="184"/>
      <c r="U126" s="184"/>
      <c r="V126" s="184"/>
      <c r="W126" s="184"/>
      <c r="X126" s="184"/>
      <c r="Y126" s="184"/>
      <c r="Z126" s="184"/>
      <c r="AA126" s="184"/>
      <c r="AB126" s="184"/>
      <c r="AC126" s="184"/>
    </row>
    <row r="127" spans="1:29" x14ac:dyDescent="0.35">
      <c r="A127" s="184"/>
      <c r="B127" s="184"/>
      <c r="C127" s="184"/>
      <c r="D127" s="184"/>
      <c r="E127" s="184"/>
      <c r="F127" s="184"/>
      <c r="G127" s="184"/>
      <c r="H127" s="184"/>
      <c r="I127" s="184"/>
      <c r="J127" s="184"/>
      <c r="K127" s="184"/>
      <c r="L127" s="184"/>
      <c r="M127" s="184"/>
      <c r="N127" s="184"/>
      <c r="O127" s="184"/>
      <c r="P127" s="184"/>
      <c r="Q127" s="184"/>
      <c r="R127" s="184"/>
      <c r="S127" s="184"/>
      <c r="T127" s="184"/>
      <c r="U127" s="184"/>
      <c r="V127" s="184"/>
      <c r="W127" s="184"/>
      <c r="X127" s="184"/>
      <c r="Y127" s="184"/>
      <c r="Z127" s="184"/>
      <c r="AA127" s="184"/>
      <c r="AB127" s="184"/>
      <c r="AC127" s="184"/>
    </row>
    <row r="128" spans="1:29" x14ac:dyDescent="0.35">
      <c r="A128" s="184"/>
      <c r="B128" s="184"/>
      <c r="C128" s="184"/>
      <c r="D128" s="184"/>
      <c r="E128" s="184"/>
      <c r="F128" s="184"/>
      <c r="G128" s="184"/>
      <c r="H128" s="184"/>
      <c r="I128" s="184"/>
      <c r="J128" s="184"/>
      <c r="K128" s="184"/>
      <c r="L128" s="184"/>
      <c r="M128" s="184"/>
      <c r="N128" s="184"/>
      <c r="O128" s="184"/>
      <c r="P128" s="184"/>
      <c r="Q128" s="184"/>
      <c r="R128" s="184"/>
      <c r="S128" s="184"/>
      <c r="T128" s="184"/>
      <c r="U128" s="184"/>
      <c r="V128" s="184"/>
      <c r="W128" s="184"/>
      <c r="X128" s="184"/>
      <c r="Y128" s="184"/>
      <c r="Z128" s="184"/>
      <c r="AA128" s="184"/>
      <c r="AB128" s="184"/>
      <c r="AC128" s="184"/>
    </row>
    <row r="129" spans="1:29" x14ac:dyDescent="0.35">
      <c r="A129" s="184"/>
      <c r="B129" s="184"/>
      <c r="C129" s="184"/>
      <c r="D129" s="184"/>
      <c r="E129" s="184"/>
      <c r="F129" s="184"/>
      <c r="G129" s="184"/>
      <c r="H129" s="184"/>
      <c r="I129" s="184"/>
      <c r="J129" s="184"/>
      <c r="K129" s="184"/>
      <c r="L129" s="184"/>
      <c r="M129" s="184"/>
      <c r="N129" s="184"/>
      <c r="O129" s="184"/>
      <c r="P129" s="184"/>
      <c r="Q129" s="184"/>
      <c r="R129" s="184"/>
      <c r="S129" s="184"/>
      <c r="T129" s="184"/>
      <c r="U129" s="184"/>
      <c r="V129" s="184"/>
      <c r="W129" s="184"/>
      <c r="X129" s="184"/>
      <c r="Y129" s="184"/>
      <c r="Z129" s="184"/>
      <c r="AA129" s="184"/>
      <c r="AB129" s="184"/>
      <c r="AC129" s="184"/>
    </row>
    <row r="130" spans="1:29" x14ac:dyDescent="0.35">
      <c r="A130" s="184"/>
      <c r="B130" s="184"/>
      <c r="C130" s="184"/>
      <c r="D130" s="184"/>
      <c r="E130" s="184"/>
      <c r="F130" s="184"/>
      <c r="G130" s="184"/>
      <c r="H130" s="184"/>
      <c r="I130" s="184"/>
      <c r="J130" s="184"/>
      <c r="K130" s="184"/>
      <c r="L130" s="184"/>
      <c r="M130" s="184"/>
      <c r="N130" s="184"/>
      <c r="O130" s="184"/>
      <c r="P130" s="184"/>
      <c r="Q130" s="184"/>
      <c r="R130" s="184"/>
      <c r="S130" s="184"/>
      <c r="T130" s="184"/>
      <c r="U130" s="184"/>
      <c r="V130" s="184"/>
      <c r="W130" s="184"/>
      <c r="X130" s="184"/>
      <c r="Y130" s="184"/>
      <c r="Z130" s="184"/>
      <c r="AA130" s="184"/>
      <c r="AB130" s="184"/>
      <c r="AC130" s="184"/>
    </row>
    <row r="131" spans="1:29" x14ac:dyDescent="0.35">
      <c r="A131" s="184"/>
      <c r="B131" s="184"/>
      <c r="C131" s="184"/>
      <c r="D131" s="184"/>
      <c r="E131" s="184"/>
      <c r="F131" s="184"/>
      <c r="G131" s="184"/>
      <c r="H131" s="184"/>
      <c r="I131" s="184"/>
      <c r="J131" s="184"/>
      <c r="K131" s="184"/>
      <c r="L131" s="184"/>
      <c r="M131" s="184"/>
      <c r="N131" s="184"/>
      <c r="O131" s="184"/>
      <c r="P131" s="184"/>
      <c r="Q131" s="184"/>
      <c r="R131" s="184"/>
      <c r="S131" s="184"/>
      <c r="T131" s="184"/>
      <c r="U131" s="184"/>
      <c r="V131" s="184"/>
      <c r="W131" s="184"/>
      <c r="X131" s="184"/>
      <c r="Y131" s="184"/>
      <c r="Z131" s="184"/>
      <c r="AA131" s="184"/>
      <c r="AB131" s="184"/>
      <c r="AC131" s="184"/>
    </row>
    <row r="132" spans="1:29" x14ac:dyDescent="0.35">
      <c r="A132" s="184"/>
      <c r="B132" s="184"/>
      <c r="C132" s="184"/>
      <c r="D132" s="184"/>
      <c r="E132" s="184"/>
      <c r="F132" s="184"/>
      <c r="G132" s="184"/>
      <c r="H132" s="184"/>
      <c r="I132" s="184"/>
      <c r="J132" s="184"/>
      <c r="K132" s="184"/>
      <c r="L132" s="184"/>
      <c r="M132" s="184"/>
      <c r="N132" s="184"/>
      <c r="O132" s="184"/>
      <c r="P132" s="184"/>
      <c r="Q132" s="184"/>
      <c r="R132" s="184"/>
      <c r="S132" s="184"/>
      <c r="T132" s="184"/>
      <c r="U132" s="184"/>
      <c r="V132" s="184"/>
      <c r="W132" s="184"/>
      <c r="X132" s="184"/>
      <c r="Y132" s="184"/>
      <c r="Z132" s="184"/>
      <c r="AA132" s="184"/>
      <c r="AB132" s="184"/>
      <c r="AC132" s="184"/>
    </row>
    <row r="133" spans="1:29" x14ac:dyDescent="0.35">
      <c r="A133" s="184"/>
      <c r="B133" s="184"/>
      <c r="C133" s="184"/>
      <c r="D133" s="184"/>
      <c r="E133" s="184"/>
      <c r="F133" s="184"/>
      <c r="G133" s="184"/>
      <c r="H133" s="184"/>
      <c r="I133" s="184"/>
      <c r="J133" s="184"/>
      <c r="K133" s="184"/>
      <c r="L133" s="184"/>
      <c r="M133" s="184"/>
      <c r="N133" s="184"/>
      <c r="O133" s="184"/>
      <c r="P133" s="184"/>
      <c r="Q133" s="184"/>
      <c r="R133" s="184"/>
      <c r="S133" s="184"/>
      <c r="T133" s="184"/>
      <c r="U133" s="184"/>
      <c r="V133" s="184"/>
      <c r="W133" s="184"/>
      <c r="X133" s="184"/>
      <c r="Y133" s="184"/>
      <c r="Z133" s="184"/>
      <c r="AA133" s="184"/>
      <c r="AB133" s="184"/>
      <c r="AC133" s="184"/>
    </row>
    <row r="134" spans="1:29" x14ac:dyDescent="0.35">
      <c r="A134" s="184"/>
      <c r="B134" s="184"/>
      <c r="C134" s="184"/>
      <c r="D134" s="184"/>
      <c r="E134" s="184"/>
      <c r="F134" s="184"/>
      <c r="G134" s="184"/>
      <c r="H134" s="184"/>
      <c r="I134" s="184"/>
      <c r="J134" s="184"/>
      <c r="K134" s="184"/>
      <c r="L134" s="184"/>
      <c r="M134" s="184"/>
      <c r="N134" s="184"/>
      <c r="O134" s="184"/>
      <c r="P134" s="184"/>
      <c r="Q134" s="184"/>
      <c r="R134" s="184"/>
      <c r="S134" s="184"/>
      <c r="T134" s="184"/>
      <c r="U134" s="184"/>
      <c r="V134" s="184"/>
      <c r="W134" s="184"/>
      <c r="X134" s="184"/>
      <c r="Y134" s="184"/>
      <c r="Z134" s="184"/>
      <c r="AA134" s="184"/>
      <c r="AB134" s="184"/>
      <c r="AC134" s="184"/>
    </row>
    <row r="135" spans="1:29" x14ac:dyDescent="0.35">
      <c r="A135" s="184"/>
      <c r="B135" s="184"/>
      <c r="C135" s="184"/>
      <c r="D135" s="184"/>
      <c r="E135" s="184"/>
      <c r="F135" s="184"/>
      <c r="G135" s="184"/>
      <c r="H135" s="184"/>
      <c r="I135" s="184"/>
      <c r="J135" s="184"/>
      <c r="K135" s="184"/>
      <c r="L135" s="184"/>
      <c r="M135" s="184"/>
      <c r="N135" s="184"/>
      <c r="O135" s="184"/>
      <c r="P135" s="184"/>
      <c r="Q135" s="184"/>
      <c r="R135" s="184"/>
      <c r="S135" s="184"/>
      <c r="T135" s="184"/>
      <c r="U135" s="184"/>
      <c r="V135" s="184"/>
      <c r="W135" s="184"/>
      <c r="X135" s="184"/>
      <c r="Y135" s="184"/>
      <c r="Z135" s="184"/>
      <c r="AA135" s="184"/>
      <c r="AB135" s="184"/>
      <c r="AC135" s="184"/>
    </row>
    <row r="136" spans="1:29" x14ac:dyDescent="0.35">
      <c r="A136" s="184"/>
      <c r="B136" s="184"/>
      <c r="C136" s="184"/>
      <c r="D136" s="184"/>
      <c r="E136" s="184"/>
      <c r="F136" s="184"/>
      <c r="G136" s="184"/>
      <c r="H136" s="184"/>
      <c r="I136" s="184"/>
      <c r="J136" s="184"/>
      <c r="K136" s="184"/>
      <c r="L136" s="184"/>
      <c r="M136" s="184"/>
      <c r="N136" s="184"/>
      <c r="O136" s="184"/>
      <c r="P136" s="184"/>
      <c r="Q136" s="184"/>
      <c r="R136" s="184"/>
      <c r="S136" s="184"/>
      <c r="T136" s="184"/>
      <c r="U136" s="184"/>
      <c r="V136" s="184"/>
      <c r="W136" s="184"/>
      <c r="X136" s="184"/>
      <c r="Y136" s="184"/>
      <c r="Z136" s="184"/>
      <c r="AA136" s="184"/>
      <c r="AB136" s="184"/>
      <c r="AC136" s="184"/>
    </row>
    <row r="137" spans="1:29" x14ac:dyDescent="0.35">
      <c r="A137" s="184"/>
      <c r="B137" s="184"/>
      <c r="C137" s="184"/>
      <c r="D137" s="184"/>
      <c r="E137" s="184"/>
      <c r="F137" s="184"/>
      <c r="G137" s="184"/>
      <c r="H137" s="184"/>
      <c r="I137" s="184"/>
      <c r="J137" s="184"/>
      <c r="K137" s="184"/>
      <c r="L137" s="184"/>
      <c r="M137" s="184"/>
      <c r="N137" s="184"/>
      <c r="O137" s="184"/>
      <c r="P137" s="184"/>
      <c r="Q137" s="184"/>
      <c r="R137" s="184"/>
      <c r="S137" s="184"/>
      <c r="T137" s="184"/>
      <c r="U137" s="184"/>
      <c r="V137" s="184"/>
      <c r="W137" s="184"/>
      <c r="X137" s="184"/>
      <c r="Y137" s="184"/>
      <c r="Z137" s="184"/>
      <c r="AA137" s="184"/>
      <c r="AB137" s="184"/>
      <c r="AC137" s="184"/>
    </row>
    <row r="138" spans="1:29" x14ac:dyDescent="0.35">
      <c r="A138" s="184"/>
      <c r="B138" s="184"/>
      <c r="C138" s="184"/>
      <c r="D138" s="184"/>
      <c r="E138" s="184"/>
      <c r="F138" s="184"/>
      <c r="G138" s="184"/>
      <c r="H138" s="184"/>
      <c r="I138" s="184"/>
      <c r="J138" s="184"/>
      <c r="K138" s="184"/>
      <c r="L138" s="184"/>
      <c r="M138" s="184"/>
      <c r="N138" s="184"/>
      <c r="O138" s="184"/>
      <c r="P138" s="184"/>
      <c r="Q138" s="184"/>
      <c r="R138" s="184"/>
      <c r="S138" s="184"/>
      <c r="T138" s="184"/>
      <c r="U138" s="184"/>
      <c r="V138" s="184"/>
      <c r="W138" s="184"/>
      <c r="X138" s="184"/>
      <c r="Y138" s="184"/>
      <c r="Z138" s="184"/>
      <c r="AA138" s="184"/>
      <c r="AB138" s="184"/>
      <c r="AC138" s="184"/>
    </row>
    <row r="139" spans="1:29" x14ac:dyDescent="0.35">
      <c r="A139" s="184"/>
      <c r="B139" s="184"/>
      <c r="C139" s="184"/>
      <c r="D139" s="184"/>
      <c r="E139" s="184"/>
      <c r="F139" s="184"/>
      <c r="G139" s="184"/>
      <c r="H139" s="184"/>
      <c r="I139" s="184"/>
      <c r="J139" s="184"/>
      <c r="K139" s="184"/>
      <c r="L139" s="184"/>
      <c r="M139" s="184"/>
      <c r="N139" s="184"/>
      <c r="O139" s="184"/>
      <c r="P139" s="184"/>
      <c r="Q139" s="184"/>
      <c r="R139" s="184"/>
      <c r="S139" s="184"/>
      <c r="T139" s="184"/>
      <c r="U139" s="184"/>
      <c r="V139" s="184"/>
      <c r="W139" s="184"/>
      <c r="X139" s="184"/>
      <c r="Y139" s="184"/>
      <c r="Z139" s="184"/>
      <c r="AA139" s="184"/>
      <c r="AB139" s="184"/>
      <c r="AC139" s="184"/>
    </row>
    <row r="140" spans="1:29" x14ac:dyDescent="0.35">
      <c r="A140" s="184"/>
      <c r="B140" s="184"/>
      <c r="C140" s="184"/>
      <c r="D140" s="184"/>
      <c r="E140" s="184"/>
      <c r="F140" s="184"/>
      <c r="G140" s="184"/>
      <c r="H140" s="184"/>
      <c r="I140" s="184"/>
      <c r="J140" s="184"/>
      <c r="K140" s="184"/>
      <c r="L140" s="184"/>
      <c r="M140" s="184"/>
      <c r="N140" s="184"/>
      <c r="O140" s="184"/>
      <c r="P140" s="184"/>
      <c r="Q140" s="184"/>
      <c r="R140" s="184"/>
      <c r="S140" s="184"/>
      <c r="T140" s="184"/>
      <c r="U140" s="184"/>
      <c r="V140" s="184"/>
      <c r="W140" s="184"/>
      <c r="X140" s="184"/>
      <c r="Y140" s="184"/>
      <c r="Z140" s="184"/>
      <c r="AA140" s="184"/>
      <c r="AB140" s="184"/>
      <c r="AC140" s="184"/>
    </row>
  </sheetData>
  <mergeCells count="4">
    <mergeCell ref="A2:I2"/>
    <mergeCell ref="A4:I4"/>
    <mergeCell ref="A13:A14"/>
    <mergeCell ref="F13:G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C142"/>
  <sheetViews>
    <sheetView topLeftCell="A7" workbookViewId="0"/>
  </sheetViews>
  <sheetFormatPr baseColWidth="10" defaultColWidth="11.453125" defaultRowHeight="15.5" x14ac:dyDescent="0.35"/>
  <cols>
    <col min="1" max="1" width="53.6328125" style="185" customWidth="1"/>
    <col min="2" max="6" width="13.90625" style="185" customWidth="1"/>
    <col min="7" max="9" width="14.08984375" style="185" customWidth="1"/>
    <col min="10" max="29" width="15.6328125" style="185" customWidth="1"/>
    <col min="30" max="256" width="11.453125" style="185"/>
    <col min="257" max="257" width="53.6328125" style="185" customWidth="1"/>
    <col min="258" max="262" width="13.90625" style="185" customWidth="1"/>
    <col min="263" max="265" width="14.08984375" style="185" customWidth="1"/>
    <col min="266" max="285" width="15.6328125" style="185" customWidth="1"/>
    <col min="286" max="512" width="11.453125" style="185"/>
    <col min="513" max="513" width="53.6328125" style="185" customWidth="1"/>
    <col min="514" max="518" width="13.90625" style="185" customWidth="1"/>
    <col min="519" max="521" width="14.08984375" style="185" customWidth="1"/>
    <col min="522" max="541" width="15.6328125" style="185" customWidth="1"/>
    <col min="542" max="768" width="11.453125" style="185"/>
    <col min="769" max="769" width="53.6328125" style="185" customWidth="1"/>
    <col min="770" max="774" width="13.90625" style="185" customWidth="1"/>
    <col min="775" max="777" width="14.08984375" style="185" customWidth="1"/>
    <col min="778" max="797" width="15.6328125" style="185" customWidth="1"/>
    <col min="798" max="1024" width="11.453125" style="185"/>
    <col min="1025" max="1025" width="53.6328125" style="185" customWidth="1"/>
    <col min="1026" max="1030" width="13.90625" style="185" customWidth="1"/>
    <col min="1031" max="1033" width="14.08984375" style="185" customWidth="1"/>
    <col min="1034" max="1053" width="15.6328125" style="185" customWidth="1"/>
    <col min="1054" max="1280" width="11.453125" style="185"/>
    <col min="1281" max="1281" width="53.6328125" style="185" customWidth="1"/>
    <col min="1282" max="1286" width="13.90625" style="185" customWidth="1"/>
    <col min="1287" max="1289" width="14.08984375" style="185" customWidth="1"/>
    <col min="1290" max="1309" width="15.6328125" style="185" customWidth="1"/>
    <col min="1310" max="1536" width="11.453125" style="185"/>
    <col min="1537" max="1537" width="53.6328125" style="185" customWidth="1"/>
    <col min="1538" max="1542" width="13.90625" style="185" customWidth="1"/>
    <col min="1543" max="1545" width="14.08984375" style="185" customWidth="1"/>
    <col min="1546" max="1565" width="15.6328125" style="185" customWidth="1"/>
    <col min="1566" max="1792" width="11.453125" style="185"/>
    <col min="1793" max="1793" width="53.6328125" style="185" customWidth="1"/>
    <col min="1794" max="1798" width="13.90625" style="185" customWidth="1"/>
    <col min="1799" max="1801" width="14.08984375" style="185" customWidth="1"/>
    <col min="1802" max="1821" width="15.6328125" style="185" customWidth="1"/>
    <col min="1822" max="2048" width="11.453125" style="185"/>
    <col min="2049" max="2049" width="53.6328125" style="185" customWidth="1"/>
    <col min="2050" max="2054" width="13.90625" style="185" customWidth="1"/>
    <col min="2055" max="2057" width="14.08984375" style="185" customWidth="1"/>
    <col min="2058" max="2077" width="15.6328125" style="185" customWidth="1"/>
    <col min="2078" max="2304" width="11.453125" style="185"/>
    <col min="2305" max="2305" width="53.6328125" style="185" customWidth="1"/>
    <col min="2306" max="2310" width="13.90625" style="185" customWidth="1"/>
    <col min="2311" max="2313" width="14.08984375" style="185" customWidth="1"/>
    <col min="2314" max="2333" width="15.6328125" style="185" customWidth="1"/>
    <col min="2334" max="2560" width="11.453125" style="185"/>
    <col min="2561" max="2561" width="53.6328125" style="185" customWidth="1"/>
    <col min="2562" max="2566" width="13.90625" style="185" customWidth="1"/>
    <col min="2567" max="2569" width="14.08984375" style="185" customWidth="1"/>
    <col min="2570" max="2589" width="15.6328125" style="185" customWidth="1"/>
    <col min="2590" max="2816" width="11.453125" style="185"/>
    <col min="2817" max="2817" width="53.6328125" style="185" customWidth="1"/>
    <col min="2818" max="2822" width="13.90625" style="185" customWidth="1"/>
    <col min="2823" max="2825" width="14.08984375" style="185" customWidth="1"/>
    <col min="2826" max="2845" width="15.6328125" style="185" customWidth="1"/>
    <col min="2846" max="3072" width="11.453125" style="185"/>
    <col min="3073" max="3073" width="53.6328125" style="185" customWidth="1"/>
    <col min="3074" max="3078" width="13.90625" style="185" customWidth="1"/>
    <col min="3079" max="3081" width="14.08984375" style="185" customWidth="1"/>
    <col min="3082" max="3101" width="15.6328125" style="185" customWidth="1"/>
    <col min="3102" max="3328" width="11.453125" style="185"/>
    <col min="3329" max="3329" width="53.6328125" style="185" customWidth="1"/>
    <col min="3330" max="3334" width="13.90625" style="185" customWidth="1"/>
    <col min="3335" max="3337" width="14.08984375" style="185" customWidth="1"/>
    <col min="3338" max="3357" width="15.6328125" style="185" customWidth="1"/>
    <col min="3358" max="3584" width="11.453125" style="185"/>
    <col min="3585" max="3585" width="53.6328125" style="185" customWidth="1"/>
    <col min="3586" max="3590" width="13.90625" style="185" customWidth="1"/>
    <col min="3591" max="3593" width="14.08984375" style="185" customWidth="1"/>
    <col min="3594" max="3613" width="15.6328125" style="185" customWidth="1"/>
    <col min="3614" max="3840" width="11.453125" style="185"/>
    <col min="3841" max="3841" width="53.6328125" style="185" customWidth="1"/>
    <col min="3842" max="3846" width="13.90625" style="185" customWidth="1"/>
    <col min="3847" max="3849" width="14.08984375" style="185" customWidth="1"/>
    <col min="3850" max="3869" width="15.6328125" style="185" customWidth="1"/>
    <col min="3870" max="4096" width="11.453125" style="185"/>
    <col min="4097" max="4097" width="53.6328125" style="185" customWidth="1"/>
    <col min="4098" max="4102" width="13.90625" style="185" customWidth="1"/>
    <col min="4103" max="4105" width="14.08984375" style="185" customWidth="1"/>
    <col min="4106" max="4125" width="15.6328125" style="185" customWidth="1"/>
    <col min="4126" max="4352" width="11.453125" style="185"/>
    <col min="4353" max="4353" width="53.6328125" style="185" customWidth="1"/>
    <col min="4354" max="4358" width="13.90625" style="185" customWidth="1"/>
    <col min="4359" max="4361" width="14.08984375" style="185" customWidth="1"/>
    <col min="4362" max="4381" width="15.6328125" style="185" customWidth="1"/>
    <col min="4382" max="4608" width="11.453125" style="185"/>
    <col min="4609" max="4609" width="53.6328125" style="185" customWidth="1"/>
    <col min="4610" max="4614" width="13.90625" style="185" customWidth="1"/>
    <col min="4615" max="4617" width="14.08984375" style="185" customWidth="1"/>
    <col min="4618" max="4637" width="15.6328125" style="185" customWidth="1"/>
    <col min="4638" max="4864" width="11.453125" style="185"/>
    <col min="4865" max="4865" width="53.6328125" style="185" customWidth="1"/>
    <col min="4866" max="4870" width="13.90625" style="185" customWidth="1"/>
    <col min="4871" max="4873" width="14.08984375" style="185" customWidth="1"/>
    <col min="4874" max="4893" width="15.6328125" style="185" customWidth="1"/>
    <col min="4894" max="5120" width="11.453125" style="185"/>
    <col min="5121" max="5121" width="53.6328125" style="185" customWidth="1"/>
    <col min="5122" max="5126" width="13.90625" style="185" customWidth="1"/>
    <col min="5127" max="5129" width="14.08984375" style="185" customWidth="1"/>
    <col min="5130" max="5149" width="15.6328125" style="185" customWidth="1"/>
    <col min="5150" max="5376" width="11.453125" style="185"/>
    <col min="5377" max="5377" width="53.6328125" style="185" customWidth="1"/>
    <col min="5378" max="5382" width="13.90625" style="185" customWidth="1"/>
    <col min="5383" max="5385" width="14.08984375" style="185" customWidth="1"/>
    <col min="5386" max="5405" width="15.6328125" style="185" customWidth="1"/>
    <col min="5406" max="5632" width="11.453125" style="185"/>
    <col min="5633" max="5633" width="53.6328125" style="185" customWidth="1"/>
    <col min="5634" max="5638" width="13.90625" style="185" customWidth="1"/>
    <col min="5639" max="5641" width="14.08984375" style="185" customWidth="1"/>
    <col min="5642" max="5661" width="15.6328125" style="185" customWidth="1"/>
    <col min="5662" max="5888" width="11.453125" style="185"/>
    <col min="5889" max="5889" width="53.6328125" style="185" customWidth="1"/>
    <col min="5890" max="5894" width="13.90625" style="185" customWidth="1"/>
    <col min="5895" max="5897" width="14.08984375" style="185" customWidth="1"/>
    <col min="5898" max="5917" width="15.6328125" style="185" customWidth="1"/>
    <col min="5918" max="6144" width="11.453125" style="185"/>
    <col min="6145" max="6145" width="53.6328125" style="185" customWidth="1"/>
    <col min="6146" max="6150" width="13.90625" style="185" customWidth="1"/>
    <col min="6151" max="6153" width="14.08984375" style="185" customWidth="1"/>
    <col min="6154" max="6173" width="15.6328125" style="185" customWidth="1"/>
    <col min="6174" max="6400" width="11.453125" style="185"/>
    <col min="6401" max="6401" width="53.6328125" style="185" customWidth="1"/>
    <col min="6402" max="6406" width="13.90625" style="185" customWidth="1"/>
    <col min="6407" max="6409" width="14.08984375" style="185" customWidth="1"/>
    <col min="6410" max="6429" width="15.6328125" style="185" customWidth="1"/>
    <col min="6430" max="6656" width="11.453125" style="185"/>
    <col min="6657" max="6657" width="53.6328125" style="185" customWidth="1"/>
    <col min="6658" max="6662" width="13.90625" style="185" customWidth="1"/>
    <col min="6663" max="6665" width="14.08984375" style="185" customWidth="1"/>
    <col min="6666" max="6685" width="15.6328125" style="185" customWidth="1"/>
    <col min="6686" max="6912" width="11.453125" style="185"/>
    <col min="6913" max="6913" width="53.6328125" style="185" customWidth="1"/>
    <col min="6914" max="6918" width="13.90625" style="185" customWidth="1"/>
    <col min="6919" max="6921" width="14.08984375" style="185" customWidth="1"/>
    <col min="6922" max="6941" width="15.6328125" style="185" customWidth="1"/>
    <col min="6942" max="7168" width="11.453125" style="185"/>
    <col min="7169" max="7169" width="53.6328125" style="185" customWidth="1"/>
    <col min="7170" max="7174" width="13.90625" style="185" customWidth="1"/>
    <col min="7175" max="7177" width="14.08984375" style="185" customWidth="1"/>
    <col min="7178" max="7197" width="15.6328125" style="185" customWidth="1"/>
    <col min="7198" max="7424" width="11.453125" style="185"/>
    <col min="7425" max="7425" width="53.6328125" style="185" customWidth="1"/>
    <col min="7426" max="7430" width="13.90625" style="185" customWidth="1"/>
    <col min="7431" max="7433" width="14.08984375" style="185" customWidth="1"/>
    <col min="7434" max="7453" width="15.6328125" style="185" customWidth="1"/>
    <col min="7454" max="7680" width="11.453125" style="185"/>
    <col min="7681" max="7681" width="53.6328125" style="185" customWidth="1"/>
    <col min="7682" max="7686" width="13.90625" style="185" customWidth="1"/>
    <col min="7687" max="7689" width="14.08984375" style="185" customWidth="1"/>
    <col min="7690" max="7709" width="15.6328125" style="185" customWidth="1"/>
    <col min="7710" max="7936" width="11.453125" style="185"/>
    <col min="7937" max="7937" width="53.6328125" style="185" customWidth="1"/>
    <col min="7938" max="7942" width="13.90625" style="185" customWidth="1"/>
    <col min="7943" max="7945" width="14.08984375" style="185" customWidth="1"/>
    <col min="7946" max="7965" width="15.6328125" style="185" customWidth="1"/>
    <col min="7966" max="8192" width="11.453125" style="185"/>
    <col min="8193" max="8193" width="53.6328125" style="185" customWidth="1"/>
    <col min="8194" max="8198" width="13.90625" style="185" customWidth="1"/>
    <col min="8199" max="8201" width="14.08984375" style="185" customWidth="1"/>
    <col min="8202" max="8221" width="15.6328125" style="185" customWidth="1"/>
    <col min="8222" max="8448" width="11.453125" style="185"/>
    <col min="8449" max="8449" width="53.6328125" style="185" customWidth="1"/>
    <col min="8450" max="8454" width="13.90625" style="185" customWidth="1"/>
    <col min="8455" max="8457" width="14.08984375" style="185" customWidth="1"/>
    <col min="8458" max="8477" width="15.6328125" style="185" customWidth="1"/>
    <col min="8478" max="8704" width="11.453125" style="185"/>
    <col min="8705" max="8705" width="53.6328125" style="185" customWidth="1"/>
    <col min="8706" max="8710" width="13.90625" style="185" customWidth="1"/>
    <col min="8711" max="8713" width="14.08984375" style="185" customWidth="1"/>
    <col min="8714" max="8733" width="15.6328125" style="185" customWidth="1"/>
    <col min="8734" max="8960" width="11.453125" style="185"/>
    <col min="8961" max="8961" width="53.6328125" style="185" customWidth="1"/>
    <col min="8962" max="8966" width="13.90625" style="185" customWidth="1"/>
    <col min="8967" max="8969" width="14.08984375" style="185" customWidth="1"/>
    <col min="8970" max="8989" width="15.6328125" style="185" customWidth="1"/>
    <col min="8990" max="9216" width="11.453125" style="185"/>
    <col min="9217" max="9217" width="53.6328125" style="185" customWidth="1"/>
    <col min="9218" max="9222" width="13.90625" style="185" customWidth="1"/>
    <col min="9223" max="9225" width="14.08984375" style="185" customWidth="1"/>
    <col min="9226" max="9245" width="15.6328125" style="185" customWidth="1"/>
    <col min="9246" max="9472" width="11.453125" style="185"/>
    <col min="9473" max="9473" width="53.6328125" style="185" customWidth="1"/>
    <col min="9474" max="9478" width="13.90625" style="185" customWidth="1"/>
    <col min="9479" max="9481" width="14.08984375" style="185" customWidth="1"/>
    <col min="9482" max="9501" width="15.6328125" style="185" customWidth="1"/>
    <col min="9502" max="9728" width="11.453125" style="185"/>
    <col min="9729" max="9729" width="53.6328125" style="185" customWidth="1"/>
    <col min="9730" max="9734" width="13.90625" style="185" customWidth="1"/>
    <col min="9735" max="9737" width="14.08984375" style="185" customWidth="1"/>
    <col min="9738" max="9757" width="15.6328125" style="185" customWidth="1"/>
    <col min="9758" max="9984" width="11.453125" style="185"/>
    <col min="9985" max="9985" width="53.6328125" style="185" customWidth="1"/>
    <col min="9986" max="9990" width="13.90625" style="185" customWidth="1"/>
    <col min="9991" max="9993" width="14.08984375" style="185" customWidth="1"/>
    <col min="9994" max="10013" width="15.6328125" style="185" customWidth="1"/>
    <col min="10014" max="10240" width="11.453125" style="185"/>
    <col min="10241" max="10241" width="53.6328125" style="185" customWidth="1"/>
    <col min="10242" max="10246" width="13.90625" style="185" customWidth="1"/>
    <col min="10247" max="10249" width="14.08984375" style="185" customWidth="1"/>
    <col min="10250" max="10269" width="15.6328125" style="185" customWidth="1"/>
    <col min="10270" max="10496" width="11.453125" style="185"/>
    <col min="10497" max="10497" width="53.6328125" style="185" customWidth="1"/>
    <col min="10498" max="10502" width="13.90625" style="185" customWidth="1"/>
    <col min="10503" max="10505" width="14.08984375" style="185" customWidth="1"/>
    <col min="10506" max="10525" width="15.6328125" style="185" customWidth="1"/>
    <col min="10526" max="10752" width="11.453125" style="185"/>
    <col min="10753" max="10753" width="53.6328125" style="185" customWidth="1"/>
    <col min="10754" max="10758" width="13.90625" style="185" customWidth="1"/>
    <col min="10759" max="10761" width="14.08984375" style="185" customWidth="1"/>
    <col min="10762" max="10781" width="15.6328125" style="185" customWidth="1"/>
    <col min="10782" max="11008" width="11.453125" style="185"/>
    <col min="11009" max="11009" width="53.6328125" style="185" customWidth="1"/>
    <col min="11010" max="11014" width="13.90625" style="185" customWidth="1"/>
    <col min="11015" max="11017" width="14.08984375" style="185" customWidth="1"/>
    <col min="11018" max="11037" width="15.6328125" style="185" customWidth="1"/>
    <col min="11038" max="11264" width="11.453125" style="185"/>
    <col min="11265" max="11265" width="53.6328125" style="185" customWidth="1"/>
    <col min="11266" max="11270" width="13.90625" style="185" customWidth="1"/>
    <col min="11271" max="11273" width="14.08984375" style="185" customWidth="1"/>
    <col min="11274" max="11293" width="15.6328125" style="185" customWidth="1"/>
    <col min="11294" max="11520" width="11.453125" style="185"/>
    <col min="11521" max="11521" width="53.6328125" style="185" customWidth="1"/>
    <col min="11522" max="11526" width="13.90625" style="185" customWidth="1"/>
    <col min="11527" max="11529" width="14.08984375" style="185" customWidth="1"/>
    <col min="11530" max="11549" width="15.6328125" style="185" customWidth="1"/>
    <col min="11550" max="11776" width="11.453125" style="185"/>
    <col min="11777" max="11777" width="53.6328125" style="185" customWidth="1"/>
    <col min="11778" max="11782" width="13.90625" style="185" customWidth="1"/>
    <col min="11783" max="11785" width="14.08984375" style="185" customWidth="1"/>
    <col min="11786" max="11805" width="15.6328125" style="185" customWidth="1"/>
    <col min="11806" max="12032" width="11.453125" style="185"/>
    <col min="12033" max="12033" width="53.6328125" style="185" customWidth="1"/>
    <col min="12034" max="12038" width="13.90625" style="185" customWidth="1"/>
    <col min="12039" max="12041" width="14.08984375" style="185" customWidth="1"/>
    <col min="12042" max="12061" width="15.6328125" style="185" customWidth="1"/>
    <col min="12062" max="12288" width="11.453125" style="185"/>
    <col min="12289" max="12289" width="53.6328125" style="185" customWidth="1"/>
    <col min="12290" max="12294" width="13.90625" style="185" customWidth="1"/>
    <col min="12295" max="12297" width="14.08984375" style="185" customWidth="1"/>
    <col min="12298" max="12317" width="15.6328125" style="185" customWidth="1"/>
    <col min="12318" max="12544" width="11.453125" style="185"/>
    <col min="12545" max="12545" width="53.6328125" style="185" customWidth="1"/>
    <col min="12546" max="12550" width="13.90625" style="185" customWidth="1"/>
    <col min="12551" max="12553" width="14.08984375" style="185" customWidth="1"/>
    <col min="12554" max="12573" width="15.6328125" style="185" customWidth="1"/>
    <col min="12574" max="12800" width="11.453125" style="185"/>
    <col min="12801" max="12801" width="53.6328125" style="185" customWidth="1"/>
    <col min="12802" max="12806" width="13.90625" style="185" customWidth="1"/>
    <col min="12807" max="12809" width="14.08984375" style="185" customWidth="1"/>
    <col min="12810" max="12829" width="15.6328125" style="185" customWidth="1"/>
    <col min="12830" max="13056" width="11.453125" style="185"/>
    <col min="13057" max="13057" width="53.6328125" style="185" customWidth="1"/>
    <col min="13058" max="13062" width="13.90625" style="185" customWidth="1"/>
    <col min="13063" max="13065" width="14.08984375" style="185" customWidth="1"/>
    <col min="13066" max="13085" width="15.6328125" style="185" customWidth="1"/>
    <col min="13086" max="13312" width="11.453125" style="185"/>
    <col min="13313" max="13313" width="53.6328125" style="185" customWidth="1"/>
    <col min="13314" max="13318" width="13.90625" style="185" customWidth="1"/>
    <col min="13319" max="13321" width="14.08984375" style="185" customWidth="1"/>
    <col min="13322" max="13341" width="15.6328125" style="185" customWidth="1"/>
    <col min="13342" max="13568" width="11.453125" style="185"/>
    <col min="13569" max="13569" width="53.6328125" style="185" customWidth="1"/>
    <col min="13570" max="13574" width="13.90625" style="185" customWidth="1"/>
    <col min="13575" max="13577" width="14.08984375" style="185" customWidth="1"/>
    <col min="13578" max="13597" width="15.6328125" style="185" customWidth="1"/>
    <col min="13598" max="13824" width="11.453125" style="185"/>
    <col min="13825" max="13825" width="53.6328125" style="185" customWidth="1"/>
    <col min="13826" max="13830" width="13.90625" style="185" customWidth="1"/>
    <col min="13831" max="13833" width="14.08984375" style="185" customWidth="1"/>
    <col min="13834" max="13853" width="15.6328125" style="185" customWidth="1"/>
    <col min="13854" max="14080" width="11.453125" style="185"/>
    <col min="14081" max="14081" width="53.6328125" style="185" customWidth="1"/>
    <col min="14082" max="14086" width="13.90625" style="185" customWidth="1"/>
    <col min="14087" max="14089" width="14.08984375" style="185" customWidth="1"/>
    <col min="14090" max="14109" width="15.6328125" style="185" customWidth="1"/>
    <col min="14110" max="14336" width="11.453125" style="185"/>
    <col min="14337" max="14337" width="53.6328125" style="185" customWidth="1"/>
    <col min="14338" max="14342" width="13.90625" style="185" customWidth="1"/>
    <col min="14343" max="14345" width="14.08984375" style="185" customWidth="1"/>
    <col min="14346" max="14365" width="15.6328125" style="185" customWidth="1"/>
    <col min="14366" max="14592" width="11.453125" style="185"/>
    <col min="14593" max="14593" width="53.6328125" style="185" customWidth="1"/>
    <col min="14594" max="14598" width="13.90625" style="185" customWidth="1"/>
    <col min="14599" max="14601" width="14.08984375" style="185" customWidth="1"/>
    <col min="14602" max="14621" width="15.6328125" style="185" customWidth="1"/>
    <col min="14622" max="14848" width="11.453125" style="185"/>
    <col min="14849" max="14849" width="53.6328125" style="185" customWidth="1"/>
    <col min="14850" max="14854" width="13.90625" style="185" customWidth="1"/>
    <col min="14855" max="14857" width="14.08984375" style="185" customWidth="1"/>
    <col min="14858" max="14877" width="15.6328125" style="185" customWidth="1"/>
    <col min="14878" max="15104" width="11.453125" style="185"/>
    <col min="15105" max="15105" width="53.6328125" style="185" customWidth="1"/>
    <col min="15106" max="15110" width="13.90625" style="185" customWidth="1"/>
    <col min="15111" max="15113" width="14.08984375" style="185" customWidth="1"/>
    <col min="15114" max="15133" width="15.6328125" style="185" customWidth="1"/>
    <col min="15134" max="15360" width="11.453125" style="185"/>
    <col min="15361" max="15361" width="53.6328125" style="185" customWidth="1"/>
    <col min="15362" max="15366" width="13.90625" style="185" customWidth="1"/>
    <col min="15367" max="15369" width="14.08984375" style="185" customWidth="1"/>
    <col min="15370" max="15389" width="15.6328125" style="185" customWidth="1"/>
    <col min="15390" max="15616" width="11.453125" style="185"/>
    <col min="15617" max="15617" width="53.6328125" style="185" customWidth="1"/>
    <col min="15618" max="15622" width="13.90625" style="185" customWidth="1"/>
    <col min="15623" max="15625" width="14.08984375" style="185" customWidth="1"/>
    <col min="15626" max="15645" width="15.6328125" style="185" customWidth="1"/>
    <col min="15646" max="15872" width="11.453125" style="185"/>
    <col min="15873" max="15873" width="53.6328125" style="185" customWidth="1"/>
    <col min="15874" max="15878" width="13.90625" style="185" customWidth="1"/>
    <col min="15879" max="15881" width="14.08984375" style="185" customWidth="1"/>
    <col min="15882" max="15901" width="15.6328125" style="185" customWidth="1"/>
    <col min="15902" max="16128" width="11.453125" style="185"/>
    <col min="16129" max="16129" width="53.6328125" style="185" customWidth="1"/>
    <col min="16130" max="16134" width="13.90625" style="185" customWidth="1"/>
    <col min="16135" max="16137" width="14.08984375" style="185" customWidth="1"/>
    <col min="16138" max="16157" width="15.6328125" style="185" customWidth="1"/>
    <col min="16158" max="16384" width="11.453125" style="185"/>
  </cols>
  <sheetData>
    <row r="1" spans="1:29" ht="15.65" x14ac:dyDescent="0.3">
      <c r="A1" s="184"/>
      <c r="B1" s="184"/>
      <c r="C1" s="184"/>
      <c r="D1" s="184"/>
      <c r="E1" s="184"/>
      <c r="F1" s="184"/>
      <c r="G1" s="184"/>
      <c r="H1" s="184"/>
      <c r="I1" s="184"/>
      <c r="J1" s="184"/>
      <c r="K1" s="184"/>
      <c r="L1" s="184"/>
      <c r="M1" s="184"/>
      <c r="N1" s="184"/>
      <c r="O1" s="184"/>
      <c r="P1" s="184"/>
      <c r="Q1" s="184"/>
      <c r="R1" s="184"/>
      <c r="S1" s="184"/>
      <c r="T1" s="184"/>
      <c r="U1" s="184"/>
      <c r="V1" s="184"/>
      <c r="W1" s="184"/>
      <c r="X1" s="184"/>
      <c r="Y1" s="184"/>
      <c r="Z1" s="184"/>
      <c r="AA1" s="184"/>
      <c r="AB1" s="184"/>
      <c r="AC1" s="184"/>
    </row>
    <row r="2" spans="1:29" ht="28.5" customHeight="1" x14ac:dyDescent="0.35">
      <c r="A2" s="467" t="s">
        <v>630</v>
      </c>
      <c r="B2" s="468"/>
      <c r="C2" s="468"/>
      <c r="D2" s="468"/>
      <c r="E2" s="468"/>
      <c r="F2" s="468"/>
      <c r="G2" s="468"/>
      <c r="H2" s="468"/>
      <c r="I2" s="468"/>
      <c r="J2" s="184"/>
      <c r="K2" s="184"/>
      <c r="L2" s="184"/>
      <c r="M2" s="184"/>
      <c r="N2" s="184"/>
      <c r="O2" s="184"/>
      <c r="P2" s="184"/>
      <c r="Q2" s="184"/>
      <c r="R2" s="184"/>
      <c r="S2" s="184"/>
      <c r="T2" s="184"/>
      <c r="U2" s="184"/>
      <c r="V2" s="184"/>
      <c r="W2" s="184"/>
      <c r="X2" s="184"/>
      <c r="Y2" s="184"/>
      <c r="Z2" s="184"/>
      <c r="AA2" s="184"/>
      <c r="AB2" s="184"/>
      <c r="AC2" s="184"/>
    </row>
    <row r="3" spans="1:29" ht="15.65" x14ac:dyDescent="0.3">
      <c r="A3" s="184"/>
      <c r="B3" s="184"/>
      <c r="C3" s="184"/>
      <c r="D3" s="184"/>
      <c r="E3" s="184"/>
      <c r="F3" s="184"/>
      <c r="G3" s="184"/>
      <c r="H3" s="184"/>
      <c r="I3" s="184"/>
      <c r="J3" s="184"/>
      <c r="K3" s="184"/>
      <c r="L3" s="184"/>
      <c r="M3" s="184"/>
      <c r="N3" s="184"/>
      <c r="O3" s="184"/>
      <c r="P3" s="184"/>
      <c r="Q3" s="184"/>
      <c r="R3" s="184"/>
      <c r="S3" s="184"/>
      <c r="T3" s="184"/>
      <c r="U3" s="184"/>
      <c r="V3" s="184"/>
      <c r="W3" s="184"/>
      <c r="X3" s="184"/>
      <c r="Y3" s="184"/>
      <c r="Z3" s="184"/>
      <c r="AA3" s="184"/>
      <c r="AB3" s="184"/>
      <c r="AC3" s="184"/>
    </row>
    <row r="4" spans="1:29" ht="12.75" customHeight="1" x14ac:dyDescent="0.3">
      <c r="A4" s="469" t="s">
        <v>631</v>
      </c>
      <c r="B4" s="470"/>
      <c r="C4" s="470"/>
      <c r="D4" s="470"/>
      <c r="E4" s="470"/>
      <c r="F4" s="470"/>
      <c r="G4" s="470"/>
      <c r="H4" s="470"/>
      <c r="I4" s="470"/>
      <c r="J4" s="184"/>
      <c r="K4" s="184"/>
      <c r="L4" s="184"/>
      <c r="M4" s="184"/>
      <c r="N4" s="184"/>
      <c r="O4" s="184"/>
      <c r="P4" s="184"/>
      <c r="Q4" s="184"/>
      <c r="R4" s="184"/>
      <c r="S4" s="184"/>
      <c r="T4" s="184"/>
      <c r="U4" s="184"/>
      <c r="V4" s="184"/>
      <c r="W4" s="184"/>
      <c r="X4" s="184"/>
      <c r="Y4" s="184"/>
      <c r="Z4" s="184"/>
      <c r="AA4" s="184"/>
      <c r="AB4" s="184"/>
      <c r="AC4" s="184"/>
    </row>
    <row r="5" spans="1:29" ht="16.25" thickBot="1" x14ac:dyDescent="0.35">
      <c r="A5" s="184"/>
      <c r="B5" s="184"/>
      <c r="C5" s="184"/>
      <c r="D5" s="184"/>
      <c r="E5" s="184"/>
      <c r="F5" s="184"/>
      <c r="G5" s="184"/>
      <c r="H5" s="184"/>
      <c r="I5" s="184"/>
      <c r="J5" s="184"/>
      <c r="K5" s="184"/>
      <c r="L5" s="184"/>
      <c r="M5" s="184"/>
      <c r="N5" s="184"/>
      <c r="O5" s="184"/>
      <c r="P5" s="184"/>
      <c r="Q5" s="184"/>
      <c r="R5" s="184"/>
      <c r="S5" s="184"/>
      <c r="T5" s="184"/>
      <c r="U5" s="184"/>
      <c r="V5" s="184"/>
      <c r="W5" s="184"/>
      <c r="X5" s="184"/>
      <c r="Y5" s="184"/>
      <c r="Z5" s="184"/>
      <c r="AA5" s="184"/>
      <c r="AB5" s="184"/>
      <c r="AC5" s="184"/>
    </row>
    <row r="6" spans="1:29" ht="30" x14ac:dyDescent="0.35">
      <c r="A6" s="489"/>
      <c r="B6" s="491" t="s">
        <v>632</v>
      </c>
      <c r="C6" s="491" t="s">
        <v>633</v>
      </c>
      <c r="D6" s="493" t="s">
        <v>634</v>
      </c>
      <c r="E6" s="491" t="s">
        <v>635</v>
      </c>
      <c r="F6" s="222" t="s">
        <v>636</v>
      </c>
      <c r="G6" s="491" t="s">
        <v>637</v>
      </c>
      <c r="H6" s="495" t="s">
        <v>7</v>
      </c>
      <c r="I6" s="184"/>
      <c r="J6" s="184"/>
      <c r="K6" s="184"/>
      <c r="L6" s="184"/>
      <c r="M6" s="184"/>
      <c r="N6" s="184"/>
      <c r="O6" s="184"/>
      <c r="P6" s="184"/>
      <c r="Q6" s="184"/>
      <c r="R6" s="184"/>
      <c r="S6" s="184"/>
      <c r="T6" s="184"/>
      <c r="U6" s="184"/>
      <c r="V6" s="184"/>
      <c r="W6" s="184"/>
      <c r="X6" s="184"/>
      <c r="Y6" s="184"/>
      <c r="Z6" s="184"/>
      <c r="AA6" s="184"/>
      <c r="AB6" s="184"/>
      <c r="AC6" s="184"/>
    </row>
    <row r="7" spans="1:29" x14ac:dyDescent="0.35">
      <c r="A7" s="490"/>
      <c r="B7" s="492"/>
      <c r="C7" s="492"/>
      <c r="D7" s="494"/>
      <c r="E7" s="492"/>
      <c r="F7" s="223" t="s">
        <v>638</v>
      </c>
      <c r="G7" s="492"/>
      <c r="H7" s="496"/>
      <c r="I7" s="184"/>
      <c r="J7" s="184"/>
      <c r="K7" s="184"/>
      <c r="L7" s="184"/>
      <c r="M7" s="184"/>
      <c r="N7" s="184"/>
      <c r="O7" s="184"/>
      <c r="P7" s="184"/>
      <c r="Q7" s="184"/>
      <c r="R7" s="184"/>
      <c r="S7" s="184"/>
      <c r="T7" s="184"/>
      <c r="U7" s="184"/>
      <c r="V7" s="184"/>
      <c r="W7" s="184"/>
      <c r="X7" s="184"/>
      <c r="Y7" s="184"/>
      <c r="Z7" s="184"/>
      <c r="AA7" s="184"/>
      <c r="AB7" s="184"/>
      <c r="AC7" s="184"/>
    </row>
    <row r="8" spans="1:29" x14ac:dyDescent="0.35">
      <c r="A8" s="189" t="s">
        <v>548</v>
      </c>
      <c r="B8" s="190">
        <v>40.700000000000003</v>
      </c>
      <c r="C8" s="190">
        <v>15</v>
      </c>
      <c r="D8" s="190">
        <v>3.8</v>
      </c>
      <c r="E8" s="224">
        <v>17.2</v>
      </c>
      <c r="F8" s="190">
        <v>14.7</v>
      </c>
      <c r="G8" s="225">
        <v>8.6</v>
      </c>
      <c r="H8" s="191">
        <v>100</v>
      </c>
      <c r="I8" s="184"/>
      <c r="J8" s="184"/>
      <c r="K8" s="184"/>
      <c r="L8" s="184"/>
      <c r="M8" s="184"/>
      <c r="N8" s="184"/>
      <c r="O8" s="184"/>
      <c r="P8" s="184"/>
      <c r="Q8" s="184"/>
      <c r="R8" s="184"/>
      <c r="S8" s="184"/>
      <c r="T8" s="184"/>
      <c r="U8" s="184"/>
      <c r="V8" s="184"/>
      <c r="W8" s="184"/>
      <c r="X8" s="184"/>
      <c r="Y8" s="184"/>
      <c r="Z8" s="184"/>
      <c r="AA8" s="184"/>
      <c r="AB8" s="184"/>
      <c r="AC8" s="184"/>
    </row>
    <row r="9" spans="1:29" ht="16.25" thickBot="1" x14ac:dyDescent="0.35">
      <c r="A9" s="192" t="s">
        <v>549</v>
      </c>
      <c r="B9" s="193">
        <v>231315.28790888938</v>
      </c>
      <c r="C9" s="193">
        <v>85257.331482774287</v>
      </c>
      <c r="D9" s="193">
        <v>21807.031523880232</v>
      </c>
      <c r="E9" s="193">
        <v>97579.851388552503</v>
      </c>
      <c r="F9" s="193">
        <v>83936.196595119109</v>
      </c>
      <c r="G9" s="193">
        <v>49037.801100784491</v>
      </c>
      <c r="H9" s="194">
        <v>568933.4</v>
      </c>
      <c r="I9" s="184"/>
      <c r="J9" s="184"/>
      <c r="K9" s="184"/>
      <c r="L9" s="184"/>
      <c r="M9" s="184"/>
      <c r="N9" s="184"/>
      <c r="O9" s="184"/>
      <c r="P9" s="184"/>
      <c r="Q9" s="184"/>
      <c r="R9" s="184"/>
      <c r="S9" s="184"/>
      <c r="T9" s="184"/>
      <c r="U9" s="184"/>
      <c r="V9" s="184"/>
      <c r="W9" s="184"/>
      <c r="X9" s="184"/>
      <c r="Y9" s="184"/>
      <c r="Z9" s="184"/>
      <c r="AA9" s="184"/>
      <c r="AB9" s="184"/>
      <c r="AC9" s="184"/>
    </row>
    <row r="10" spans="1:29" ht="15.65" x14ac:dyDescent="0.3">
      <c r="A10" s="184"/>
      <c r="B10" s="184"/>
      <c r="C10" s="184"/>
      <c r="D10" s="184"/>
      <c r="E10" s="184"/>
      <c r="F10" s="184"/>
      <c r="G10" s="184"/>
      <c r="H10" s="184"/>
      <c r="I10" s="184"/>
      <c r="J10" s="184"/>
      <c r="K10" s="184"/>
      <c r="L10" s="184"/>
      <c r="M10" s="184"/>
      <c r="N10" s="184"/>
      <c r="O10" s="184"/>
      <c r="P10" s="184"/>
      <c r="Q10" s="184"/>
      <c r="R10" s="184"/>
      <c r="S10" s="184"/>
      <c r="T10" s="184"/>
      <c r="U10" s="184"/>
      <c r="V10" s="184"/>
      <c r="W10" s="184"/>
      <c r="X10" s="184"/>
      <c r="Y10" s="184"/>
      <c r="Z10" s="184"/>
      <c r="AA10" s="184"/>
      <c r="AB10" s="184"/>
      <c r="AC10" s="184"/>
    </row>
    <row r="11" spans="1:29" ht="15.65" x14ac:dyDescent="0.3">
      <c r="A11" s="184"/>
      <c r="B11" s="184"/>
      <c r="C11" s="184"/>
      <c r="D11" s="184"/>
      <c r="E11" s="184"/>
      <c r="F11" s="184"/>
      <c r="G11" s="184"/>
      <c r="H11" s="184"/>
      <c r="I11" s="184"/>
      <c r="J11" s="184"/>
      <c r="K11" s="184"/>
      <c r="L11" s="184"/>
      <c r="M11" s="184"/>
      <c r="N11" s="184"/>
      <c r="O11" s="184"/>
      <c r="P11" s="184"/>
      <c r="Q11" s="184"/>
      <c r="R11" s="184"/>
      <c r="S11" s="184"/>
      <c r="T11" s="184"/>
      <c r="U11" s="184"/>
      <c r="V11" s="184"/>
      <c r="W11" s="184"/>
      <c r="X11" s="184"/>
      <c r="Y11" s="184"/>
      <c r="Z11" s="184"/>
      <c r="AA11" s="184"/>
      <c r="AB11" s="184"/>
      <c r="AC11" s="184"/>
    </row>
    <row r="12" spans="1:29" ht="16.25" thickBot="1" x14ac:dyDescent="0.35">
      <c r="A12" s="195"/>
      <c r="B12" s="195"/>
      <c r="C12" s="195"/>
      <c r="D12" s="195"/>
      <c r="E12" s="195"/>
      <c r="F12" s="195"/>
      <c r="G12" s="195"/>
      <c r="H12" s="195"/>
      <c r="I12" s="195"/>
      <c r="J12" s="184"/>
      <c r="K12" s="184"/>
      <c r="L12" s="184"/>
      <c r="M12" s="184"/>
      <c r="N12" s="184"/>
      <c r="O12" s="184"/>
      <c r="P12" s="184"/>
      <c r="Q12" s="184"/>
      <c r="R12" s="184"/>
      <c r="S12" s="184"/>
      <c r="T12" s="184"/>
      <c r="U12" s="184"/>
      <c r="V12" s="184"/>
      <c r="W12" s="184"/>
      <c r="X12" s="184"/>
      <c r="Y12" s="184"/>
      <c r="Z12" s="184"/>
      <c r="AA12" s="184"/>
      <c r="AB12" s="184"/>
      <c r="AC12" s="184"/>
    </row>
    <row r="13" spans="1:29" ht="16.75" thickTop="1" thickBot="1" x14ac:dyDescent="0.35">
      <c r="A13" s="184"/>
      <c r="B13" s="184"/>
      <c r="C13" s="184"/>
      <c r="D13" s="184"/>
      <c r="E13" s="184"/>
      <c r="F13" s="184"/>
      <c r="G13" s="184"/>
      <c r="H13" s="184"/>
      <c r="I13" s="184"/>
      <c r="J13" s="184"/>
      <c r="K13" s="184"/>
      <c r="L13" s="184"/>
      <c r="M13" s="184"/>
      <c r="N13" s="184"/>
      <c r="O13" s="184"/>
      <c r="P13" s="184"/>
      <c r="Q13" s="184"/>
      <c r="R13" s="184"/>
      <c r="S13" s="184"/>
      <c r="T13" s="184"/>
      <c r="U13" s="184"/>
      <c r="V13" s="184"/>
      <c r="W13" s="184"/>
      <c r="X13" s="184"/>
      <c r="Y13" s="184"/>
      <c r="Z13" s="184"/>
      <c r="AA13" s="184"/>
      <c r="AB13" s="184"/>
      <c r="AC13" s="184"/>
    </row>
    <row r="14" spans="1:29" ht="12.75" customHeight="1" x14ac:dyDescent="0.35">
      <c r="A14" s="478"/>
      <c r="B14" s="481"/>
      <c r="C14" s="482"/>
      <c r="D14" s="482"/>
      <c r="E14" s="482"/>
      <c r="F14" s="482"/>
      <c r="G14" s="482"/>
      <c r="H14" s="483" t="s">
        <v>7</v>
      </c>
      <c r="I14" s="484"/>
      <c r="J14" s="184"/>
      <c r="K14" s="184"/>
      <c r="L14" s="184"/>
      <c r="M14" s="184"/>
      <c r="N14" s="184"/>
      <c r="O14" s="184"/>
      <c r="P14" s="184"/>
      <c r="Q14" s="184"/>
      <c r="R14" s="184"/>
      <c r="S14" s="184"/>
      <c r="T14" s="184"/>
      <c r="U14" s="184"/>
      <c r="V14" s="184"/>
      <c r="W14" s="184"/>
      <c r="X14" s="184"/>
      <c r="Y14" s="184"/>
      <c r="Z14" s="184"/>
      <c r="AA14" s="184"/>
      <c r="AB14" s="184"/>
      <c r="AC14" s="184"/>
    </row>
    <row r="15" spans="1:29" ht="30" x14ac:dyDescent="0.35">
      <c r="A15" s="479"/>
      <c r="B15" s="485" t="s">
        <v>632</v>
      </c>
      <c r="C15" s="485" t="s">
        <v>633</v>
      </c>
      <c r="D15" s="485" t="s">
        <v>634</v>
      </c>
      <c r="E15" s="485" t="s">
        <v>635</v>
      </c>
      <c r="F15" s="199" t="s">
        <v>636</v>
      </c>
      <c r="G15" s="485" t="s">
        <v>637</v>
      </c>
      <c r="H15" s="485" t="s">
        <v>550</v>
      </c>
      <c r="I15" s="487" t="s">
        <v>639</v>
      </c>
      <c r="J15" s="184"/>
      <c r="K15" s="184"/>
      <c r="L15" s="184"/>
      <c r="M15" s="184"/>
      <c r="N15" s="184"/>
      <c r="O15" s="184"/>
      <c r="P15" s="184"/>
      <c r="Q15" s="184"/>
      <c r="R15" s="184"/>
      <c r="S15" s="184"/>
      <c r="T15" s="184"/>
      <c r="U15" s="184"/>
      <c r="V15" s="184"/>
      <c r="W15" s="184"/>
      <c r="X15" s="184"/>
      <c r="Y15" s="184"/>
      <c r="Z15" s="184"/>
      <c r="AA15" s="184"/>
      <c r="AB15" s="184"/>
      <c r="AC15" s="184"/>
    </row>
    <row r="16" spans="1:29" x14ac:dyDescent="0.35">
      <c r="A16" s="480"/>
      <c r="B16" s="486"/>
      <c r="C16" s="486"/>
      <c r="D16" s="486"/>
      <c r="E16" s="486"/>
      <c r="F16" s="226" t="s">
        <v>638</v>
      </c>
      <c r="G16" s="486"/>
      <c r="H16" s="486"/>
      <c r="I16" s="488"/>
      <c r="J16" s="184"/>
      <c r="K16" s="184"/>
      <c r="L16" s="184"/>
      <c r="M16" s="184"/>
      <c r="N16" s="184"/>
      <c r="O16" s="184"/>
      <c r="P16" s="184"/>
      <c r="Q16" s="184"/>
      <c r="R16" s="184"/>
      <c r="S16" s="184"/>
      <c r="T16" s="184"/>
      <c r="U16" s="184"/>
      <c r="V16" s="184"/>
      <c r="W16" s="184"/>
      <c r="X16" s="184"/>
      <c r="Y16" s="184"/>
      <c r="Z16" s="184"/>
      <c r="AA16" s="184"/>
      <c r="AB16" s="184"/>
      <c r="AC16" s="184"/>
    </row>
    <row r="17" spans="1:29" ht="16.25" x14ac:dyDescent="0.3">
      <c r="A17" s="227" t="s">
        <v>553</v>
      </c>
      <c r="B17" s="475"/>
      <c r="C17" s="476"/>
      <c r="D17" s="476"/>
      <c r="E17" s="476"/>
      <c r="F17" s="476"/>
      <c r="G17" s="476"/>
      <c r="H17" s="476"/>
      <c r="I17" s="477"/>
      <c r="J17" s="184"/>
      <c r="K17" s="184"/>
      <c r="L17" s="184"/>
      <c r="M17" s="184"/>
      <c r="N17" s="184"/>
      <c r="O17" s="184"/>
      <c r="P17" s="184"/>
      <c r="Q17" s="184"/>
      <c r="R17" s="184"/>
      <c r="S17" s="184"/>
      <c r="T17" s="184"/>
      <c r="U17" s="184"/>
      <c r="V17" s="184"/>
      <c r="W17" s="184"/>
      <c r="X17" s="184"/>
      <c r="Y17" s="184"/>
      <c r="Z17" s="184"/>
      <c r="AA17" s="184"/>
      <c r="AB17" s="184"/>
      <c r="AC17" s="184"/>
    </row>
    <row r="18" spans="1:29" x14ac:dyDescent="0.35">
      <c r="A18" s="228" t="s">
        <v>554</v>
      </c>
      <c r="B18" s="206">
        <v>41.4</v>
      </c>
      <c r="C18" s="206">
        <v>13.9</v>
      </c>
      <c r="D18" s="206">
        <v>4.4000000000000004</v>
      </c>
      <c r="E18" s="206">
        <v>17.5</v>
      </c>
      <c r="F18" s="206">
        <v>14.9</v>
      </c>
      <c r="G18" s="206">
        <v>7.9</v>
      </c>
      <c r="H18" s="206">
        <v>100</v>
      </c>
      <c r="I18" s="229">
        <v>110466.8</v>
      </c>
      <c r="J18" s="184"/>
      <c r="K18" s="184"/>
      <c r="L18" s="184"/>
      <c r="M18" s="184"/>
      <c r="N18" s="184"/>
      <c r="O18" s="184"/>
      <c r="P18" s="184"/>
      <c r="Q18" s="184"/>
      <c r="R18" s="184"/>
      <c r="S18" s="184"/>
      <c r="T18" s="184"/>
      <c r="U18" s="184"/>
      <c r="V18" s="184"/>
      <c r="W18" s="184"/>
      <c r="X18" s="184"/>
      <c r="Y18" s="184"/>
      <c r="Z18" s="184"/>
      <c r="AA18" s="184"/>
      <c r="AB18" s="184"/>
      <c r="AC18" s="184"/>
    </row>
    <row r="19" spans="1:29" x14ac:dyDescent="0.35">
      <c r="A19" s="228" t="s">
        <v>555</v>
      </c>
      <c r="B19" s="206">
        <v>41.23</v>
      </c>
      <c r="C19" s="206">
        <v>15.2</v>
      </c>
      <c r="D19" s="206">
        <v>4.2</v>
      </c>
      <c r="E19" s="206">
        <v>16.3</v>
      </c>
      <c r="F19" s="206">
        <v>15.3</v>
      </c>
      <c r="G19" s="206">
        <v>7.8</v>
      </c>
      <c r="H19" s="206">
        <v>100</v>
      </c>
      <c r="I19" s="229">
        <v>28719.5</v>
      </c>
      <c r="J19" s="184"/>
      <c r="K19" s="184"/>
      <c r="L19" s="184"/>
      <c r="M19" s="184"/>
      <c r="N19" s="184"/>
      <c r="O19" s="184"/>
      <c r="P19" s="184"/>
      <c r="Q19" s="184"/>
      <c r="R19" s="184"/>
      <c r="S19" s="184"/>
      <c r="T19" s="184"/>
      <c r="U19" s="184"/>
      <c r="V19" s="184"/>
      <c r="W19" s="184"/>
      <c r="X19" s="184"/>
      <c r="Y19" s="184"/>
      <c r="Z19" s="184"/>
      <c r="AA19" s="184"/>
      <c r="AB19" s="184"/>
      <c r="AC19" s="184"/>
    </row>
    <row r="20" spans="1:29" x14ac:dyDescent="0.35">
      <c r="A20" s="228" t="s">
        <v>556</v>
      </c>
      <c r="B20" s="206">
        <v>40.6</v>
      </c>
      <c r="C20" s="206">
        <v>14.1</v>
      </c>
      <c r="D20" s="206">
        <v>3.1</v>
      </c>
      <c r="E20" s="206">
        <v>17.5</v>
      </c>
      <c r="F20" s="206">
        <v>14.5</v>
      </c>
      <c r="G20" s="206">
        <v>10.199999999999999</v>
      </c>
      <c r="H20" s="206">
        <v>100</v>
      </c>
      <c r="I20" s="229">
        <v>71545.3</v>
      </c>
      <c r="J20" s="184"/>
      <c r="K20" s="184"/>
      <c r="L20" s="184"/>
      <c r="M20" s="184"/>
      <c r="N20" s="184"/>
      <c r="O20" s="184"/>
      <c r="P20" s="184"/>
      <c r="Q20" s="184"/>
      <c r="R20" s="184"/>
      <c r="S20" s="184"/>
      <c r="T20" s="184"/>
      <c r="U20" s="184"/>
      <c r="V20" s="184"/>
      <c r="W20" s="184"/>
      <c r="X20" s="184"/>
      <c r="Y20" s="184"/>
      <c r="Z20" s="184"/>
      <c r="AA20" s="184"/>
      <c r="AB20" s="184"/>
      <c r="AC20" s="184"/>
    </row>
    <row r="21" spans="1:29" x14ac:dyDescent="0.35">
      <c r="A21" s="228" t="s">
        <v>557</v>
      </c>
      <c r="B21" s="206">
        <v>40.9</v>
      </c>
      <c r="C21" s="206">
        <v>14.6</v>
      </c>
      <c r="D21" s="206">
        <v>3.4</v>
      </c>
      <c r="E21" s="206">
        <v>17.3</v>
      </c>
      <c r="F21" s="206">
        <v>15.8</v>
      </c>
      <c r="G21" s="206">
        <v>8</v>
      </c>
      <c r="H21" s="206">
        <v>100</v>
      </c>
      <c r="I21" s="229">
        <v>42225.7</v>
      </c>
      <c r="J21" s="184"/>
      <c r="K21" s="184"/>
      <c r="L21" s="184"/>
      <c r="M21" s="184"/>
      <c r="N21" s="184"/>
      <c r="O21" s="184"/>
      <c r="P21" s="184"/>
      <c r="Q21" s="184"/>
      <c r="R21" s="184"/>
      <c r="S21" s="184"/>
      <c r="T21" s="184"/>
      <c r="U21" s="184"/>
      <c r="V21" s="184"/>
      <c r="W21" s="184"/>
      <c r="X21" s="184"/>
      <c r="Y21" s="184"/>
      <c r="Z21" s="184"/>
      <c r="AA21" s="184"/>
      <c r="AB21" s="184"/>
      <c r="AC21" s="184"/>
    </row>
    <row r="22" spans="1:29" x14ac:dyDescent="0.35">
      <c r="A22" s="228" t="s">
        <v>558</v>
      </c>
      <c r="B22" s="206">
        <v>40.6</v>
      </c>
      <c r="C22" s="206">
        <v>15.6</v>
      </c>
      <c r="D22" s="206">
        <v>3.8</v>
      </c>
      <c r="E22" s="206">
        <v>16.399999999999999</v>
      </c>
      <c r="F22" s="206">
        <v>13.6</v>
      </c>
      <c r="G22" s="206">
        <v>10</v>
      </c>
      <c r="H22" s="206">
        <v>100</v>
      </c>
      <c r="I22" s="229">
        <v>67611</v>
      </c>
      <c r="J22" s="184"/>
      <c r="K22" s="184"/>
      <c r="L22" s="184"/>
      <c r="M22" s="184"/>
      <c r="N22" s="184"/>
      <c r="O22" s="184"/>
      <c r="P22" s="184"/>
      <c r="Q22" s="184"/>
      <c r="R22" s="184"/>
      <c r="S22" s="184"/>
      <c r="T22" s="184"/>
      <c r="U22" s="184"/>
      <c r="V22" s="184"/>
      <c r="W22" s="184"/>
      <c r="X22" s="184"/>
      <c r="Y22" s="184"/>
      <c r="Z22" s="184"/>
      <c r="AA22" s="184"/>
      <c r="AB22" s="184"/>
      <c r="AC22" s="184"/>
    </row>
    <row r="23" spans="1:29" ht="15.75" customHeight="1" x14ac:dyDescent="0.35">
      <c r="A23" s="228" t="s">
        <v>559</v>
      </c>
      <c r="B23" s="206">
        <v>40.299999999999997</v>
      </c>
      <c r="C23" s="206">
        <v>14.8</v>
      </c>
      <c r="D23" s="206">
        <v>3.7</v>
      </c>
      <c r="E23" s="206">
        <v>17.600000000000001</v>
      </c>
      <c r="F23" s="206">
        <v>14.4</v>
      </c>
      <c r="G23" s="206">
        <v>9.1999999999999993</v>
      </c>
      <c r="H23" s="206">
        <v>100</v>
      </c>
      <c r="I23" s="229">
        <v>104538.2</v>
      </c>
      <c r="J23" s="184"/>
      <c r="K23" s="184"/>
      <c r="L23" s="184"/>
      <c r="M23" s="184"/>
      <c r="N23" s="184"/>
      <c r="O23" s="184"/>
      <c r="P23" s="184"/>
      <c r="Q23" s="184"/>
      <c r="R23" s="184"/>
      <c r="S23" s="184"/>
      <c r="T23" s="184"/>
      <c r="U23" s="184"/>
      <c r="V23" s="184"/>
      <c r="W23" s="184"/>
      <c r="X23" s="184"/>
      <c r="Y23" s="184"/>
      <c r="Z23" s="184"/>
      <c r="AA23" s="184"/>
      <c r="AB23" s="184"/>
      <c r="AC23" s="184"/>
    </row>
    <row r="24" spans="1:29" x14ac:dyDescent="0.35">
      <c r="A24" s="228" t="s">
        <v>560</v>
      </c>
      <c r="B24" s="206">
        <v>40.700000000000003</v>
      </c>
      <c r="C24" s="206">
        <v>15.7</v>
      </c>
      <c r="D24" s="206">
        <v>4</v>
      </c>
      <c r="E24" s="206">
        <v>16.7</v>
      </c>
      <c r="F24" s="206">
        <v>16.8</v>
      </c>
      <c r="G24" s="206">
        <v>6.1</v>
      </c>
      <c r="H24" s="206">
        <v>100</v>
      </c>
      <c r="I24" s="229">
        <v>73686.100000000006</v>
      </c>
      <c r="J24" s="184"/>
      <c r="K24" s="184"/>
      <c r="L24" s="184"/>
      <c r="M24" s="184"/>
      <c r="N24" s="184"/>
      <c r="O24" s="184"/>
      <c r="P24" s="184"/>
      <c r="Q24" s="184"/>
      <c r="R24" s="184"/>
      <c r="S24" s="184"/>
      <c r="T24" s="184"/>
      <c r="U24" s="184"/>
      <c r="V24" s="184"/>
      <c r="W24" s="184"/>
      <c r="X24" s="184"/>
      <c r="Y24" s="184"/>
      <c r="Z24" s="184"/>
      <c r="AA24" s="184"/>
      <c r="AB24" s="184"/>
      <c r="AC24" s="184"/>
    </row>
    <row r="25" spans="1:29" x14ac:dyDescent="0.35">
      <c r="A25" s="228" t="s">
        <v>561</v>
      </c>
      <c r="B25" s="206">
        <v>39.200000000000003</v>
      </c>
      <c r="C25" s="206">
        <v>17</v>
      </c>
      <c r="D25" s="206">
        <v>4.0999999999999996</v>
      </c>
      <c r="E25" s="206">
        <v>18.399999999999999</v>
      </c>
      <c r="F25" s="206">
        <v>12.3</v>
      </c>
      <c r="G25" s="206">
        <v>9</v>
      </c>
      <c r="H25" s="206">
        <v>100</v>
      </c>
      <c r="I25" s="229">
        <v>17036.7</v>
      </c>
      <c r="J25" s="184"/>
      <c r="K25" s="184"/>
      <c r="L25" s="184"/>
      <c r="M25" s="184"/>
      <c r="N25" s="184"/>
      <c r="O25" s="184"/>
      <c r="P25" s="184"/>
      <c r="Q25" s="184"/>
      <c r="R25" s="184"/>
      <c r="S25" s="184"/>
      <c r="T25" s="184"/>
      <c r="U25" s="184"/>
      <c r="V25" s="184"/>
      <c r="W25" s="184"/>
      <c r="X25" s="184"/>
      <c r="Y25" s="184"/>
      <c r="Z25" s="184"/>
      <c r="AA25" s="184"/>
      <c r="AB25" s="184"/>
      <c r="AC25" s="184"/>
    </row>
    <row r="26" spans="1:29" x14ac:dyDescent="0.35">
      <c r="A26" s="228" t="s">
        <v>562</v>
      </c>
      <c r="B26" s="206">
        <v>40.6</v>
      </c>
      <c r="C26" s="206">
        <v>16.2</v>
      </c>
      <c r="D26" s="206">
        <v>3.9</v>
      </c>
      <c r="E26" s="206">
        <v>16.899999999999999</v>
      </c>
      <c r="F26" s="206">
        <v>13.1</v>
      </c>
      <c r="G26" s="206">
        <v>9.3000000000000007</v>
      </c>
      <c r="H26" s="206">
        <v>100</v>
      </c>
      <c r="I26" s="229">
        <v>48372.3</v>
      </c>
      <c r="J26" s="184"/>
      <c r="K26" s="184"/>
      <c r="L26" s="184"/>
      <c r="M26" s="184"/>
      <c r="N26" s="184"/>
      <c r="O26" s="184"/>
      <c r="P26" s="184"/>
      <c r="Q26" s="184"/>
      <c r="R26" s="184"/>
      <c r="S26" s="184"/>
      <c r="T26" s="184"/>
      <c r="U26" s="184"/>
      <c r="V26" s="184"/>
      <c r="W26" s="184"/>
      <c r="X26" s="184"/>
      <c r="Y26" s="184"/>
      <c r="Z26" s="184"/>
      <c r="AA26" s="184"/>
      <c r="AB26" s="184"/>
      <c r="AC26" s="184"/>
    </row>
    <row r="27" spans="1:29" x14ac:dyDescent="0.35">
      <c r="A27" s="228" t="s">
        <v>563</v>
      </c>
      <c r="B27" s="206">
        <v>37.4</v>
      </c>
      <c r="C27" s="206">
        <v>18.2</v>
      </c>
      <c r="D27" s="206">
        <v>4.9000000000000004</v>
      </c>
      <c r="E27" s="206">
        <v>11.6</v>
      </c>
      <c r="F27" s="206">
        <v>19.399999999999999</v>
      </c>
      <c r="G27" s="206">
        <v>8.5</v>
      </c>
      <c r="H27" s="206">
        <v>100</v>
      </c>
      <c r="I27" s="229">
        <v>4731.8</v>
      </c>
      <c r="J27" s="184"/>
      <c r="K27" s="184"/>
      <c r="L27" s="184"/>
      <c r="M27" s="184"/>
      <c r="N27" s="184"/>
      <c r="O27" s="184"/>
      <c r="P27" s="184"/>
      <c r="Q27" s="184"/>
      <c r="R27" s="184"/>
      <c r="S27" s="184"/>
      <c r="T27" s="184"/>
      <c r="U27" s="184"/>
      <c r="V27" s="184"/>
      <c r="W27" s="184"/>
      <c r="X27" s="184"/>
      <c r="Y27" s="184"/>
      <c r="Z27" s="184"/>
      <c r="AA27" s="184"/>
      <c r="AB27" s="184"/>
      <c r="AC27" s="184"/>
    </row>
    <row r="28" spans="1:29" x14ac:dyDescent="0.35">
      <c r="A28" s="227" t="s">
        <v>564</v>
      </c>
      <c r="B28" s="475"/>
      <c r="C28" s="476"/>
      <c r="D28" s="476"/>
      <c r="E28" s="476"/>
      <c r="F28" s="476"/>
      <c r="G28" s="476"/>
      <c r="H28" s="476"/>
      <c r="I28" s="477"/>
      <c r="J28" s="184"/>
      <c r="K28" s="184"/>
      <c r="L28" s="184"/>
      <c r="M28" s="184"/>
      <c r="N28" s="184"/>
      <c r="O28" s="184"/>
      <c r="P28" s="184"/>
      <c r="Q28" s="184"/>
      <c r="R28" s="184"/>
      <c r="S28" s="184"/>
      <c r="T28" s="184"/>
      <c r="U28" s="184"/>
      <c r="V28" s="184"/>
      <c r="W28" s="184"/>
      <c r="X28" s="184"/>
      <c r="Y28" s="184"/>
      <c r="Z28" s="184"/>
      <c r="AA28" s="184"/>
      <c r="AB28" s="184"/>
      <c r="AC28" s="184"/>
    </row>
    <row r="29" spans="1:29" x14ac:dyDescent="0.35">
      <c r="A29" s="228" t="s">
        <v>565</v>
      </c>
      <c r="B29" s="206">
        <v>40.799999999999997</v>
      </c>
      <c r="C29" s="206">
        <v>12.4</v>
      </c>
      <c r="D29" s="206">
        <v>4.5</v>
      </c>
      <c r="E29" s="206">
        <v>17.399999999999999</v>
      </c>
      <c r="F29" s="206">
        <v>16.100000000000001</v>
      </c>
      <c r="G29" s="206">
        <v>8.8000000000000007</v>
      </c>
      <c r="H29" s="206">
        <v>100</v>
      </c>
      <c r="I29" s="229">
        <v>26980.2</v>
      </c>
      <c r="J29" s="184"/>
      <c r="K29" s="184"/>
      <c r="L29" s="184"/>
      <c r="M29" s="184"/>
      <c r="N29" s="184"/>
      <c r="O29" s="184"/>
      <c r="P29" s="184"/>
      <c r="Q29" s="184"/>
      <c r="R29" s="184"/>
      <c r="S29" s="184"/>
      <c r="T29" s="184"/>
      <c r="U29" s="184"/>
      <c r="V29" s="184"/>
      <c r="W29" s="184"/>
      <c r="X29" s="184"/>
      <c r="Y29" s="184"/>
      <c r="Z29" s="184"/>
      <c r="AA29" s="184"/>
      <c r="AB29" s="184"/>
      <c r="AC29" s="184"/>
    </row>
    <row r="30" spans="1:29" x14ac:dyDescent="0.35">
      <c r="A30" s="228" t="s">
        <v>566</v>
      </c>
      <c r="B30" s="206">
        <v>42.9</v>
      </c>
      <c r="C30" s="206">
        <v>9.9</v>
      </c>
      <c r="D30" s="206">
        <v>3.3</v>
      </c>
      <c r="E30" s="206">
        <v>18.600000000000001</v>
      </c>
      <c r="F30" s="206">
        <v>14.9</v>
      </c>
      <c r="G30" s="206">
        <v>10.4</v>
      </c>
      <c r="H30" s="206">
        <v>100</v>
      </c>
      <c r="I30" s="229">
        <v>38272.199999999997</v>
      </c>
      <c r="J30" s="184"/>
      <c r="K30" s="184"/>
      <c r="L30" s="184"/>
      <c r="M30" s="184"/>
      <c r="N30" s="184"/>
      <c r="O30" s="184"/>
      <c r="P30" s="184"/>
      <c r="Q30" s="184"/>
      <c r="R30" s="184"/>
      <c r="S30" s="184"/>
      <c r="T30" s="184"/>
      <c r="U30" s="184"/>
      <c r="V30" s="184"/>
      <c r="W30" s="184"/>
      <c r="X30" s="184"/>
      <c r="Y30" s="184"/>
      <c r="Z30" s="184"/>
      <c r="AA30" s="184"/>
      <c r="AB30" s="184"/>
      <c r="AC30" s="184"/>
    </row>
    <row r="31" spans="1:29" x14ac:dyDescent="0.35">
      <c r="A31" s="228" t="s">
        <v>567</v>
      </c>
      <c r="B31" s="206">
        <v>42.7</v>
      </c>
      <c r="C31" s="206">
        <v>12.5</v>
      </c>
      <c r="D31" s="206">
        <v>2.2999999999999998</v>
      </c>
      <c r="E31" s="206">
        <v>17.7</v>
      </c>
      <c r="F31" s="206">
        <v>15.1</v>
      </c>
      <c r="G31" s="206">
        <v>9.6999999999999993</v>
      </c>
      <c r="H31" s="206">
        <v>100</v>
      </c>
      <c r="I31" s="229">
        <v>47638.3</v>
      </c>
      <c r="J31" s="184"/>
      <c r="K31" s="184"/>
      <c r="L31" s="184"/>
      <c r="M31" s="184"/>
      <c r="N31" s="184"/>
      <c r="O31" s="184"/>
      <c r="P31" s="184"/>
      <c r="Q31" s="184"/>
      <c r="R31" s="184"/>
      <c r="S31" s="184"/>
      <c r="T31" s="184"/>
      <c r="U31" s="184"/>
      <c r="V31" s="184"/>
      <c r="W31" s="184"/>
      <c r="X31" s="184"/>
      <c r="Y31" s="184"/>
      <c r="Z31" s="184"/>
      <c r="AA31" s="184"/>
      <c r="AB31" s="184"/>
      <c r="AC31" s="184"/>
    </row>
    <row r="32" spans="1:29" x14ac:dyDescent="0.35">
      <c r="A32" s="228" t="s">
        <v>568</v>
      </c>
      <c r="B32" s="206">
        <v>40.200000000000003</v>
      </c>
      <c r="C32" s="206">
        <v>14.2</v>
      </c>
      <c r="D32" s="206">
        <v>3.9</v>
      </c>
      <c r="E32" s="206">
        <v>17.899999999999999</v>
      </c>
      <c r="F32" s="206">
        <v>14.2</v>
      </c>
      <c r="G32" s="206">
        <v>9.6</v>
      </c>
      <c r="H32" s="206">
        <v>100</v>
      </c>
      <c r="I32" s="229">
        <v>55114.2</v>
      </c>
      <c r="J32" s="184"/>
      <c r="K32" s="184"/>
      <c r="L32" s="184"/>
      <c r="M32" s="184"/>
      <c r="N32" s="184"/>
      <c r="O32" s="184"/>
      <c r="P32" s="184"/>
      <c r="Q32" s="184"/>
      <c r="R32" s="184"/>
      <c r="S32" s="184"/>
      <c r="T32" s="184"/>
      <c r="U32" s="184"/>
      <c r="V32" s="184"/>
      <c r="W32" s="184"/>
      <c r="X32" s="184"/>
      <c r="Y32" s="184"/>
      <c r="Z32" s="184"/>
      <c r="AA32" s="184"/>
      <c r="AB32" s="184"/>
      <c r="AC32" s="184"/>
    </row>
    <row r="33" spans="1:29" x14ac:dyDescent="0.35">
      <c r="A33" s="228" t="s">
        <v>569</v>
      </c>
      <c r="B33" s="206">
        <v>41.3</v>
      </c>
      <c r="C33" s="206">
        <v>14.8</v>
      </c>
      <c r="D33" s="206">
        <v>3.5</v>
      </c>
      <c r="E33" s="206">
        <v>15.9</v>
      </c>
      <c r="F33" s="206">
        <v>15.1</v>
      </c>
      <c r="G33" s="206">
        <v>9.4</v>
      </c>
      <c r="H33" s="206">
        <v>100</v>
      </c>
      <c r="I33" s="229">
        <v>60854.5</v>
      </c>
      <c r="J33" s="184"/>
      <c r="K33" s="184"/>
      <c r="L33" s="184"/>
      <c r="M33" s="184"/>
      <c r="N33" s="184"/>
      <c r="O33" s="184"/>
      <c r="P33" s="184"/>
      <c r="Q33" s="184"/>
      <c r="R33" s="184"/>
      <c r="S33" s="184"/>
      <c r="T33" s="184"/>
      <c r="U33" s="184"/>
      <c r="V33" s="184"/>
      <c r="W33" s="184"/>
      <c r="X33" s="184"/>
      <c r="Y33" s="184"/>
      <c r="Z33" s="184"/>
      <c r="AA33" s="184"/>
      <c r="AB33" s="184"/>
      <c r="AC33" s="184"/>
    </row>
    <row r="34" spans="1:29" x14ac:dyDescent="0.35">
      <c r="A34" s="228" t="s">
        <v>570</v>
      </c>
      <c r="B34" s="206">
        <v>39.6</v>
      </c>
      <c r="C34" s="206">
        <v>15.9</v>
      </c>
      <c r="D34" s="206">
        <v>4.8</v>
      </c>
      <c r="E34" s="206">
        <v>16.2</v>
      </c>
      <c r="F34" s="206">
        <v>14.6</v>
      </c>
      <c r="G34" s="206">
        <v>8.9</v>
      </c>
      <c r="H34" s="206">
        <v>100</v>
      </c>
      <c r="I34" s="229">
        <v>70782.2</v>
      </c>
      <c r="J34" s="184"/>
      <c r="K34" s="184"/>
      <c r="L34" s="184"/>
      <c r="M34" s="184"/>
      <c r="N34" s="184"/>
      <c r="O34" s="184"/>
      <c r="P34" s="184"/>
      <c r="Q34" s="184"/>
      <c r="R34" s="184"/>
      <c r="S34" s="184"/>
      <c r="T34" s="184"/>
      <c r="U34" s="184"/>
      <c r="V34" s="184"/>
      <c r="W34" s="184"/>
      <c r="X34" s="184"/>
      <c r="Y34" s="184"/>
      <c r="Z34" s="184"/>
      <c r="AA34" s="184"/>
      <c r="AB34" s="184"/>
      <c r="AC34" s="184"/>
    </row>
    <row r="35" spans="1:29" x14ac:dyDescent="0.35">
      <c r="A35" s="228" t="s">
        <v>571</v>
      </c>
      <c r="B35" s="206">
        <v>40.6</v>
      </c>
      <c r="C35" s="206">
        <v>16.600000000000001</v>
      </c>
      <c r="D35" s="206">
        <v>3.2</v>
      </c>
      <c r="E35" s="206">
        <v>17.2</v>
      </c>
      <c r="F35" s="206">
        <v>13.6</v>
      </c>
      <c r="G35" s="206">
        <v>8.8000000000000007</v>
      </c>
      <c r="H35" s="206">
        <v>100</v>
      </c>
      <c r="I35" s="229">
        <v>68864</v>
      </c>
      <c r="J35" s="184"/>
      <c r="K35" s="184"/>
      <c r="L35" s="184"/>
      <c r="M35" s="184"/>
      <c r="N35" s="184"/>
      <c r="O35" s="184"/>
      <c r="P35" s="184"/>
      <c r="Q35" s="184"/>
      <c r="R35" s="184"/>
      <c r="S35" s="184"/>
      <c r="T35" s="184"/>
      <c r="U35" s="184"/>
      <c r="V35" s="184"/>
      <c r="W35" s="184"/>
      <c r="X35" s="184"/>
      <c r="Y35" s="184"/>
      <c r="Z35" s="184"/>
      <c r="AA35" s="184"/>
      <c r="AB35" s="184"/>
      <c r="AC35" s="184"/>
    </row>
    <row r="36" spans="1:29" x14ac:dyDescent="0.35">
      <c r="A36" s="228" t="s">
        <v>572</v>
      </c>
      <c r="B36" s="206">
        <v>40.5</v>
      </c>
      <c r="C36" s="206">
        <v>16.8</v>
      </c>
      <c r="D36" s="206">
        <v>3.1</v>
      </c>
      <c r="E36" s="206">
        <v>16.600000000000001</v>
      </c>
      <c r="F36" s="206">
        <v>15.8</v>
      </c>
      <c r="G36" s="206">
        <v>7.2</v>
      </c>
      <c r="H36" s="206">
        <v>100</v>
      </c>
      <c r="I36" s="229">
        <v>67146.5</v>
      </c>
      <c r="J36" s="184"/>
      <c r="K36" s="184"/>
      <c r="L36" s="184"/>
      <c r="M36" s="184"/>
      <c r="N36" s="184"/>
      <c r="O36" s="184"/>
      <c r="P36" s="184"/>
      <c r="Q36" s="184"/>
      <c r="R36" s="184"/>
      <c r="S36" s="184"/>
      <c r="T36" s="184"/>
      <c r="U36" s="184"/>
      <c r="V36" s="184"/>
      <c r="W36" s="184"/>
      <c r="X36" s="184"/>
      <c r="Y36" s="184"/>
      <c r="Z36" s="184"/>
      <c r="AA36" s="184"/>
      <c r="AB36" s="184"/>
      <c r="AC36" s="184"/>
    </row>
    <row r="37" spans="1:29" x14ac:dyDescent="0.35">
      <c r="A37" s="228" t="s">
        <v>573</v>
      </c>
      <c r="B37" s="206">
        <v>40.5</v>
      </c>
      <c r="C37" s="206">
        <v>16.3</v>
      </c>
      <c r="D37" s="206">
        <v>2.9</v>
      </c>
      <c r="E37" s="206">
        <v>18.5</v>
      </c>
      <c r="F37" s="206">
        <v>14.1</v>
      </c>
      <c r="G37" s="206">
        <v>7.7</v>
      </c>
      <c r="H37" s="206">
        <v>100</v>
      </c>
      <c r="I37" s="229">
        <v>67217.7</v>
      </c>
      <c r="J37" s="184"/>
      <c r="K37" s="184"/>
      <c r="L37" s="184"/>
      <c r="M37" s="184"/>
      <c r="N37" s="184"/>
      <c r="O37" s="184"/>
      <c r="P37" s="184"/>
      <c r="Q37" s="184"/>
      <c r="R37" s="184"/>
      <c r="S37" s="184"/>
      <c r="T37" s="184"/>
      <c r="U37" s="184"/>
      <c r="V37" s="184"/>
      <c r="W37" s="184"/>
      <c r="X37" s="184"/>
      <c r="Y37" s="184"/>
      <c r="Z37" s="184"/>
      <c r="AA37" s="184"/>
      <c r="AB37" s="184"/>
      <c r="AC37" s="184"/>
    </row>
    <row r="38" spans="1:29" x14ac:dyDescent="0.35">
      <c r="A38" s="228" t="s">
        <v>574</v>
      </c>
      <c r="B38" s="206">
        <v>39.799999999999997</v>
      </c>
      <c r="C38" s="206">
        <v>15.7</v>
      </c>
      <c r="D38" s="206">
        <v>6.4</v>
      </c>
      <c r="E38" s="206">
        <v>16.399999999999999</v>
      </c>
      <c r="F38" s="206">
        <v>14.8</v>
      </c>
      <c r="G38" s="206">
        <v>6.9</v>
      </c>
      <c r="H38" s="206">
        <v>100</v>
      </c>
      <c r="I38" s="229">
        <v>66063.600000000006</v>
      </c>
      <c r="J38" s="184"/>
      <c r="K38" s="184"/>
      <c r="L38" s="184"/>
      <c r="M38" s="184"/>
      <c r="N38" s="184"/>
      <c r="O38" s="184"/>
      <c r="P38" s="184"/>
      <c r="Q38" s="184"/>
      <c r="R38" s="184"/>
      <c r="S38" s="184"/>
      <c r="T38" s="184"/>
      <c r="U38" s="184"/>
      <c r="V38" s="184"/>
      <c r="W38" s="184"/>
      <c r="X38" s="184"/>
      <c r="Y38" s="184"/>
      <c r="Z38" s="184"/>
      <c r="AA38" s="184"/>
      <c r="AB38" s="184"/>
      <c r="AC38" s="184"/>
    </row>
    <row r="39" spans="1:29" x14ac:dyDescent="0.35">
      <c r="A39" s="227" t="s">
        <v>575</v>
      </c>
      <c r="B39" s="475"/>
      <c r="C39" s="476"/>
      <c r="D39" s="476"/>
      <c r="E39" s="476"/>
      <c r="F39" s="476"/>
      <c r="G39" s="476"/>
      <c r="H39" s="476"/>
      <c r="I39" s="477"/>
      <c r="J39" s="184"/>
      <c r="K39" s="184"/>
      <c r="L39" s="184"/>
      <c r="M39" s="184"/>
      <c r="N39" s="184"/>
      <c r="O39" s="184"/>
      <c r="P39" s="184"/>
      <c r="Q39" s="184"/>
      <c r="R39" s="184"/>
      <c r="S39" s="184"/>
      <c r="T39" s="184"/>
      <c r="U39" s="184"/>
      <c r="V39" s="184"/>
      <c r="W39" s="184"/>
      <c r="X39" s="184"/>
      <c r="Y39" s="184"/>
      <c r="Z39" s="184"/>
      <c r="AA39" s="184"/>
      <c r="AB39" s="184"/>
      <c r="AC39" s="184"/>
    </row>
    <row r="40" spans="1:29" x14ac:dyDescent="0.35">
      <c r="A40" s="228" t="s">
        <v>505</v>
      </c>
      <c r="B40" s="206">
        <v>42.3</v>
      </c>
      <c r="C40" s="206">
        <v>11.4</v>
      </c>
      <c r="D40" s="206">
        <v>3.4</v>
      </c>
      <c r="E40" s="206">
        <v>17.8</v>
      </c>
      <c r="F40" s="206">
        <v>15</v>
      </c>
      <c r="G40" s="206">
        <v>10.1</v>
      </c>
      <c r="H40" s="206">
        <v>100</v>
      </c>
      <c r="I40" s="229">
        <v>90063.7</v>
      </c>
      <c r="J40" s="184"/>
      <c r="K40" s="184"/>
      <c r="L40" s="184"/>
      <c r="M40" s="184"/>
      <c r="N40" s="184"/>
      <c r="O40" s="184"/>
      <c r="P40" s="184"/>
      <c r="Q40" s="184"/>
      <c r="R40" s="184"/>
      <c r="S40" s="184"/>
      <c r="T40" s="184"/>
      <c r="U40" s="184"/>
      <c r="V40" s="184"/>
      <c r="W40" s="184"/>
      <c r="X40" s="184"/>
      <c r="Y40" s="184"/>
      <c r="Z40" s="184"/>
      <c r="AA40" s="184"/>
      <c r="AB40" s="184"/>
      <c r="AC40" s="184"/>
    </row>
    <row r="41" spans="1:29" x14ac:dyDescent="0.35">
      <c r="A41" s="228" t="s">
        <v>576</v>
      </c>
      <c r="B41" s="206">
        <v>41</v>
      </c>
      <c r="C41" s="206">
        <v>14.2</v>
      </c>
      <c r="D41" s="206">
        <v>3.5</v>
      </c>
      <c r="E41" s="206">
        <v>17.100000000000001</v>
      </c>
      <c r="F41" s="206">
        <v>14.9</v>
      </c>
      <c r="G41" s="206">
        <v>9.3000000000000007</v>
      </c>
      <c r="H41" s="206">
        <v>100</v>
      </c>
      <c r="I41" s="229">
        <v>138795.6</v>
      </c>
      <c r="J41" s="184"/>
      <c r="K41" s="184"/>
      <c r="L41" s="184"/>
      <c r="M41" s="184"/>
      <c r="N41" s="184"/>
      <c r="O41" s="184"/>
      <c r="P41" s="184"/>
      <c r="Q41" s="184"/>
      <c r="R41" s="184"/>
      <c r="S41" s="184"/>
      <c r="T41" s="184"/>
      <c r="U41" s="184"/>
      <c r="V41" s="184"/>
      <c r="W41" s="184"/>
      <c r="X41" s="184"/>
      <c r="Y41" s="184"/>
      <c r="Z41" s="184"/>
      <c r="AA41" s="184"/>
      <c r="AB41" s="184"/>
      <c r="AC41" s="184"/>
    </row>
    <row r="42" spans="1:29" x14ac:dyDescent="0.35">
      <c r="A42" s="228" t="s">
        <v>577</v>
      </c>
      <c r="B42" s="206">
        <v>40.200000000000003</v>
      </c>
      <c r="C42" s="206">
        <v>16.3</v>
      </c>
      <c r="D42" s="206">
        <v>3.7</v>
      </c>
      <c r="E42" s="206">
        <v>16.8</v>
      </c>
      <c r="F42" s="206">
        <v>14.5</v>
      </c>
      <c r="G42" s="206">
        <v>8.5</v>
      </c>
      <c r="H42" s="206">
        <v>100</v>
      </c>
      <c r="I42" s="229">
        <v>173701.9</v>
      </c>
      <c r="J42" s="184"/>
      <c r="K42" s="184"/>
      <c r="L42" s="184"/>
      <c r="M42" s="184"/>
      <c r="N42" s="184"/>
      <c r="O42" s="184"/>
      <c r="P42" s="184"/>
      <c r="Q42" s="184"/>
      <c r="R42" s="184"/>
      <c r="S42" s="184"/>
      <c r="T42" s="184"/>
      <c r="U42" s="184"/>
      <c r="V42" s="184"/>
      <c r="W42" s="184"/>
      <c r="X42" s="184"/>
      <c r="Y42" s="184"/>
      <c r="Z42" s="184"/>
      <c r="AA42" s="184"/>
      <c r="AB42" s="184"/>
      <c r="AC42" s="184"/>
    </row>
    <row r="43" spans="1:29" x14ac:dyDescent="0.35">
      <c r="A43" s="228" t="s">
        <v>578</v>
      </c>
      <c r="B43" s="206">
        <v>40.1</v>
      </c>
      <c r="C43" s="206">
        <v>16.2</v>
      </c>
      <c r="D43" s="206">
        <v>4.5</v>
      </c>
      <c r="E43" s="206">
        <v>17.2</v>
      </c>
      <c r="F43" s="206">
        <v>14.7</v>
      </c>
      <c r="G43" s="206">
        <v>7.3</v>
      </c>
      <c r="H43" s="206">
        <v>100</v>
      </c>
      <c r="I43" s="229">
        <v>166372.1</v>
      </c>
      <c r="J43" s="184"/>
      <c r="K43" s="184"/>
      <c r="L43" s="184"/>
      <c r="M43" s="184"/>
      <c r="N43" s="184"/>
      <c r="O43" s="184"/>
      <c r="P43" s="184"/>
      <c r="Q43" s="184"/>
      <c r="R43" s="184"/>
      <c r="S43" s="184"/>
      <c r="T43" s="184"/>
      <c r="U43" s="184"/>
      <c r="V43" s="184"/>
      <c r="W43" s="184"/>
      <c r="X43" s="184"/>
      <c r="Y43" s="184"/>
      <c r="Z43" s="184"/>
      <c r="AA43" s="184"/>
      <c r="AB43" s="184"/>
      <c r="AC43" s="184"/>
    </row>
    <row r="44" spans="1:29" x14ac:dyDescent="0.35">
      <c r="A44" s="227" t="s">
        <v>579</v>
      </c>
      <c r="B44" s="475"/>
      <c r="C44" s="476"/>
      <c r="D44" s="476"/>
      <c r="E44" s="476"/>
      <c r="F44" s="476"/>
      <c r="G44" s="476"/>
      <c r="H44" s="476"/>
      <c r="I44" s="477"/>
      <c r="J44" s="184"/>
      <c r="K44" s="184"/>
      <c r="L44" s="184"/>
      <c r="M44" s="184"/>
      <c r="N44" s="184"/>
      <c r="O44" s="184"/>
      <c r="P44" s="184"/>
      <c r="Q44" s="184"/>
      <c r="R44" s="184"/>
      <c r="S44" s="184"/>
      <c r="T44" s="184"/>
      <c r="U44" s="184"/>
      <c r="V44" s="184"/>
      <c r="W44" s="184"/>
      <c r="X44" s="184"/>
      <c r="Y44" s="184"/>
      <c r="Z44" s="184"/>
      <c r="AA44" s="184"/>
      <c r="AB44" s="184"/>
      <c r="AC44" s="184"/>
    </row>
    <row r="45" spans="1:29" x14ac:dyDescent="0.35">
      <c r="A45" s="228" t="s">
        <v>580</v>
      </c>
      <c r="B45" s="206">
        <v>41.8</v>
      </c>
      <c r="C45" s="206">
        <v>11.8</v>
      </c>
      <c r="D45" s="206">
        <v>3.8</v>
      </c>
      <c r="E45" s="206">
        <v>17.899999999999999</v>
      </c>
      <c r="F45" s="206">
        <v>15.5</v>
      </c>
      <c r="G45" s="206">
        <v>9.1999999999999993</v>
      </c>
      <c r="H45" s="206">
        <v>100</v>
      </c>
      <c r="I45" s="229">
        <v>45599</v>
      </c>
      <c r="J45" s="184"/>
      <c r="K45" s="184"/>
      <c r="L45" s="184"/>
      <c r="M45" s="184"/>
      <c r="N45" s="184"/>
      <c r="O45" s="184"/>
      <c r="P45" s="184"/>
      <c r="Q45" s="184"/>
      <c r="R45" s="184"/>
      <c r="S45" s="184"/>
      <c r="T45" s="184"/>
      <c r="U45" s="184"/>
      <c r="V45" s="184"/>
      <c r="W45" s="184"/>
      <c r="X45" s="184"/>
      <c r="Y45" s="184"/>
      <c r="Z45" s="184"/>
      <c r="AA45" s="184"/>
      <c r="AB45" s="184"/>
      <c r="AC45" s="184"/>
    </row>
    <row r="46" spans="1:29" x14ac:dyDescent="0.35">
      <c r="A46" s="228" t="s">
        <v>581</v>
      </c>
      <c r="B46" s="206">
        <v>42.7</v>
      </c>
      <c r="C46" s="206">
        <v>11</v>
      </c>
      <c r="D46" s="206">
        <v>2.7</v>
      </c>
      <c r="E46" s="206">
        <v>17.8</v>
      </c>
      <c r="F46" s="206">
        <v>15.2</v>
      </c>
      <c r="G46" s="206">
        <v>10.6</v>
      </c>
      <c r="H46" s="206">
        <v>100</v>
      </c>
      <c r="I46" s="229">
        <v>51981</v>
      </c>
      <c r="J46" s="184"/>
      <c r="K46" s="184"/>
      <c r="L46" s="184"/>
      <c r="M46" s="184"/>
      <c r="N46" s="184"/>
      <c r="O46" s="184"/>
      <c r="P46" s="184"/>
      <c r="Q46" s="184"/>
      <c r="R46" s="184"/>
      <c r="S46" s="184"/>
      <c r="T46" s="184"/>
      <c r="U46" s="184"/>
      <c r="V46" s="184"/>
      <c r="W46" s="184"/>
      <c r="X46" s="184"/>
      <c r="Y46" s="184"/>
      <c r="Z46" s="184"/>
      <c r="AA46" s="184"/>
      <c r="AB46" s="184"/>
      <c r="AC46" s="184"/>
    </row>
    <row r="47" spans="1:29" x14ac:dyDescent="0.35">
      <c r="A47" s="228" t="s">
        <v>582</v>
      </c>
      <c r="B47" s="206">
        <v>40.700000000000003</v>
      </c>
      <c r="C47" s="206">
        <v>14.1</v>
      </c>
      <c r="D47" s="206">
        <v>3.5</v>
      </c>
      <c r="E47" s="206">
        <v>17.899999999999999</v>
      </c>
      <c r="F47" s="206">
        <v>14.1</v>
      </c>
      <c r="G47" s="206">
        <v>9.6999999999999993</v>
      </c>
      <c r="H47" s="206">
        <v>100</v>
      </c>
      <c r="I47" s="229">
        <v>75426.100000000006</v>
      </c>
      <c r="J47" s="184"/>
      <c r="K47" s="184"/>
      <c r="L47" s="184"/>
      <c r="M47" s="184"/>
      <c r="N47" s="184"/>
      <c r="O47" s="184"/>
      <c r="P47" s="184"/>
      <c r="Q47" s="184"/>
      <c r="R47" s="184"/>
      <c r="S47" s="184"/>
      <c r="T47" s="184"/>
      <c r="U47" s="184"/>
      <c r="V47" s="184"/>
      <c r="W47" s="184"/>
      <c r="X47" s="184"/>
      <c r="Y47" s="184"/>
      <c r="Z47" s="184"/>
      <c r="AA47" s="184"/>
      <c r="AB47" s="184"/>
      <c r="AC47" s="184"/>
    </row>
    <row r="48" spans="1:29" x14ac:dyDescent="0.35">
      <c r="A48" s="228" t="s">
        <v>583</v>
      </c>
      <c r="B48" s="206">
        <v>40.6</v>
      </c>
      <c r="C48" s="206">
        <v>15.4</v>
      </c>
      <c r="D48" s="206">
        <v>4.4000000000000004</v>
      </c>
      <c r="E48" s="206">
        <v>16</v>
      </c>
      <c r="F48" s="206">
        <v>14.6</v>
      </c>
      <c r="G48" s="206">
        <v>9</v>
      </c>
      <c r="H48" s="206">
        <v>100</v>
      </c>
      <c r="I48" s="229">
        <v>83698</v>
      </c>
      <c r="J48" s="184"/>
      <c r="K48" s="184"/>
      <c r="L48" s="184"/>
      <c r="M48" s="184"/>
      <c r="N48" s="184"/>
      <c r="O48" s="184"/>
      <c r="P48" s="184"/>
      <c r="Q48" s="184"/>
      <c r="R48" s="184"/>
      <c r="S48" s="184"/>
      <c r="T48" s="184"/>
      <c r="U48" s="184"/>
      <c r="V48" s="184"/>
      <c r="W48" s="184"/>
      <c r="X48" s="184"/>
      <c r="Y48" s="184"/>
      <c r="Z48" s="184"/>
      <c r="AA48" s="184"/>
      <c r="AB48" s="184"/>
      <c r="AC48" s="184"/>
    </row>
    <row r="49" spans="1:29" x14ac:dyDescent="0.35">
      <c r="A49" s="228" t="s">
        <v>584</v>
      </c>
      <c r="B49" s="206">
        <v>39.6</v>
      </c>
      <c r="C49" s="206">
        <v>15.4</v>
      </c>
      <c r="D49" s="206">
        <v>3.8</v>
      </c>
      <c r="E49" s="206">
        <v>16.8</v>
      </c>
      <c r="F49" s="206">
        <v>15.3</v>
      </c>
      <c r="G49" s="206">
        <v>9.1</v>
      </c>
      <c r="H49" s="206">
        <v>100</v>
      </c>
      <c r="I49" s="229">
        <v>72688.5</v>
      </c>
      <c r="J49" s="184"/>
      <c r="K49" s="184"/>
      <c r="L49" s="184"/>
      <c r="M49" s="184"/>
      <c r="N49" s="184"/>
      <c r="O49" s="184"/>
      <c r="P49" s="184"/>
      <c r="Q49" s="184"/>
      <c r="R49" s="184"/>
      <c r="S49" s="184"/>
      <c r="T49" s="184"/>
      <c r="U49" s="184"/>
      <c r="V49" s="184"/>
      <c r="W49" s="184"/>
      <c r="X49" s="184"/>
      <c r="Y49" s="184"/>
      <c r="Z49" s="184"/>
      <c r="AA49" s="184"/>
      <c r="AB49" s="184"/>
      <c r="AC49" s="184"/>
    </row>
    <row r="50" spans="1:29" x14ac:dyDescent="0.35">
      <c r="A50" s="228" t="s">
        <v>585</v>
      </c>
      <c r="B50" s="206">
        <v>40.9</v>
      </c>
      <c r="C50" s="206">
        <v>17.100000000000001</v>
      </c>
      <c r="D50" s="206">
        <v>3.2</v>
      </c>
      <c r="E50" s="206">
        <v>16.7</v>
      </c>
      <c r="F50" s="206">
        <v>14.3</v>
      </c>
      <c r="G50" s="206">
        <v>7.8</v>
      </c>
      <c r="H50" s="206">
        <v>100</v>
      </c>
      <c r="I50" s="229">
        <v>98720.6</v>
      </c>
      <c r="J50" s="184"/>
      <c r="K50" s="184"/>
      <c r="L50" s="184"/>
      <c r="M50" s="184"/>
      <c r="N50" s="184"/>
      <c r="O50" s="184"/>
      <c r="P50" s="184"/>
      <c r="Q50" s="184"/>
      <c r="R50" s="184"/>
      <c r="S50" s="184"/>
      <c r="T50" s="184"/>
      <c r="U50" s="184"/>
      <c r="V50" s="184"/>
      <c r="W50" s="184"/>
      <c r="X50" s="184"/>
      <c r="Y50" s="184"/>
      <c r="Z50" s="184"/>
      <c r="AA50" s="184"/>
      <c r="AB50" s="184"/>
      <c r="AC50" s="184"/>
    </row>
    <row r="51" spans="1:29" x14ac:dyDescent="0.35">
      <c r="A51" s="228" t="s">
        <v>586</v>
      </c>
      <c r="B51" s="206">
        <v>40.299999999999997</v>
      </c>
      <c r="C51" s="206">
        <v>16.100000000000001</v>
      </c>
      <c r="D51" s="206">
        <v>2.7</v>
      </c>
      <c r="E51" s="206">
        <v>18.399999999999999</v>
      </c>
      <c r="F51" s="206">
        <v>15</v>
      </c>
      <c r="G51" s="206">
        <v>7.5</v>
      </c>
      <c r="H51" s="206">
        <v>100</v>
      </c>
      <c r="I51" s="229">
        <v>70543.600000000006</v>
      </c>
      <c r="J51" s="184"/>
      <c r="K51" s="184"/>
      <c r="L51" s="184"/>
      <c r="M51" s="184"/>
      <c r="N51" s="184"/>
      <c r="O51" s="184"/>
      <c r="P51" s="184"/>
      <c r="Q51" s="184"/>
      <c r="R51" s="184"/>
      <c r="S51" s="184"/>
      <c r="T51" s="184"/>
      <c r="U51" s="184"/>
      <c r="V51" s="184"/>
      <c r="W51" s="184"/>
      <c r="X51" s="184"/>
      <c r="Y51" s="184"/>
      <c r="Z51" s="184"/>
      <c r="AA51" s="184"/>
      <c r="AB51" s="184"/>
      <c r="AC51" s="184"/>
    </row>
    <row r="52" spans="1:29" x14ac:dyDescent="0.35">
      <c r="A52" s="228" t="s">
        <v>587</v>
      </c>
      <c r="B52" s="206">
        <v>39.9</v>
      </c>
      <c r="C52" s="206">
        <v>16</v>
      </c>
      <c r="D52" s="206">
        <v>6.3</v>
      </c>
      <c r="E52" s="206">
        <v>16.399999999999999</v>
      </c>
      <c r="F52" s="206">
        <v>14.6</v>
      </c>
      <c r="G52" s="206">
        <v>6.8</v>
      </c>
      <c r="H52" s="206">
        <v>100</v>
      </c>
      <c r="I52" s="229">
        <v>70276.600000000006</v>
      </c>
      <c r="J52" s="184"/>
      <c r="K52" s="184"/>
      <c r="L52" s="184"/>
      <c r="M52" s="184"/>
      <c r="N52" s="184"/>
      <c r="O52" s="184"/>
      <c r="P52" s="184"/>
      <c r="Q52" s="184"/>
      <c r="R52" s="184"/>
      <c r="S52" s="184"/>
      <c r="T52" s="184"/>
      <c r="U52" s="184"/>
      <c r="V52" s="184"/>
      <c r="W52" s="184"/>
      <c r="X52" s="184"/>
      <c r="Y52" s="184"/>
      <c r="Z52" s="184"/>
      <c r="AA52" s="184"/>
      <c r="AB52" s="184"/>
      <c r="AC52" s="184"/>
    </row>
    <row r="53" spans="1:29" x14ac:dyDescent="0.35">
      <c r="A53" s="227" t="s">
        <v>588</v>
      </c>
      <c r="B53" s="475"/>
      <c r="C53" s="476"/>
      <c r="D53" s="476"/>
      <c r="E53" s="476"/>
      <c r="F53" s="476"/>
      <c r="G53" s="476"/>
      <c r="H53" s="476"/>
      <c r="I53" s="477"/>
      <c r="J53" s="184"/>
      <c r="K53" s="184"/>
      <c r="L53" s="184"/>
      <c r="M53" s="184"/>
      <c r="N53" s="184"/>
      <c r="O53" s="184"/>
      <c r="P53" s="184"/>
      <c r="Q53" s="184"/>
      <c r="R53" s="184"/>
      <c r="S53" s="184"/>
      <c r="T53" s="184"/>
      <c r="U53" s="184"/>
      <c r="V53" s="184"/>
      <c r="W53" s="184"/>
      <c r="X53" s="184"/>
      <c r="Y53" s="184"/>
      <c r="Z53" s="184"/>
      <c r="AA53" s="184"/>
      <c r="AB53" s="184"/>
      <c r="AC53" s="184"/>
    </row>
    <row r="54" spans="1:29" x14ac:dyDescent="0.35">
      <c r="A54" s="228" t="s">
        <v>589</v>
      </c>
      <c r="B54" s="206">
        <v>40.6</v>
      </c>
      <c r="C54" s="206">
        <v>13.7</v>
      </c>
      <c r="D54" s="206">
        <v>3.6</v>
      </c>
      <c r="E54" s="206">
        <v>19.100000000000001</v>
      </c>
      <c r="F54" s="206">
        <v>19.5</v>
      </c>
      <c r="G54" s="206">
        <v>3.5</v>
      </c>
      <c r="H54" s="206">
        <v>100</v>
      </c>
      <c r="I54" s="229">
        <v>78437.600000000006</v>
      </c>
      <c r="J54" s="184"/>
      <c r="K54" s="184"/>
      <c r="L54" s="184"/>
      <c r="M54" s="184"/>
      <c r="N54" s="184"/>
      <c r="O54" s="184"/>
      <c r="P54" s="184"/>
      <c r="Q54" s="184"/>
      <c r="R54" s="184"/>
      <c r="S54" s="184"/>
      <c r="T54" s="184"/>
      <c r="U54" s="184"/>
      <c r="V54" s="184"/>
      <c r="W54" s="184"/>
      <c r="X54" s="184"/>
      <c r="Y54" s="184"/>
      <c r="Z54" s="184"/>
      <c r="AA54" s="184"/>
      <c r="AB54" s="184"/>
      <c r="AC54" s="184"/>
    </row>
    <row r="55" spans="1:29" x14ac:dyDescent="0.35">
      <c r="A55" s="228" t="s">
        <v>590</v>
      </c>
      <c r="B55" s="206">
        <v>42.1</v>
      </c>
      <c r="C55" s="206">
        <v>11.9</v>
      </c>
      <c r="D55" s="206">
        <v>3.7</v>
      </c>
      <c r="E55" s="206">
        <v>20.7</v>
      </c>
      <c r="F55" s="206">
        <v>17.399999999999999</v>
      </c>
      <c r="G55" s="206">
        <v>4.2</v>
      </c>
      <c r="H55" s="206">
        <v>100</v>
      </c>
      <c r="I55" s="229">
        <v>154268.20000000001</v>
      </c>
      <c r="J55" s="184"/>
      <c r="K55" s="184"/>
      <c r="L55" s="184"/>
      <c r="M55" s="184"/>
      <c r="N55" s="184"/>
      <c r="O55" s="184"/>
      <c r="P55" s="184"/>
      <c r="Q55" s="184"/>
      <c r="R55" s="184"/>
      <c r="S55" s="184"/>
      <c r="T55" s="184"/>
      <c r="U55" s="184"/>
      <c r="V55" s="184"/>
      <c r="W55" s="184"/>
      <c r="X55" s="184"/>
      <c r="Y55" s="184"/>
      <c r="Z55" s="184"/>
      <c r="AA55" s="184"/>
      <c r="AB55" s="184"/>
      <c r="AC55" s="184"/>
    </row>
    <row r="56" spans="1:29" x14ac:dyDescent="0.35">
      <c r="A56" s="228" t="s">
        <v>591</v>
      </c>
      <c r="B56" s="206">
        <v>40</v>
      </c>
      <c r="C56" s="206">
        <v>17.899999999999999</v>
      </c>
      <c r="D56" s="206">
        <v>4.2</v>
      </c>
      <c r="E56" s="206">
        <v>15.2</v>
      </c>
      <c r="F56" s="206">
        <v>13.7</v>
      </c>
      <c r="G56" s="206">
        <v>9</v>
      </c>
      <c r="H56" s="206">
        <v>100</v>
      </c>
      <c r="I56" s="229">
        <v>107693.1</v>
      </c>
      <c r="J56" s="184"/>
      <c r="K56" s="184"/>
      <c r="L56" s="184"/>
      <c r="M56" s="184"/>
      <c r="N56" s="184"/>
      <c r="O56" s="184"/>
      <c r="P56" s="184"/>
      <c r="Q56" s="184"/>
      <c r="R56" s="184"/>
      <c r="S56" s="184"/>
      <c r="T56" s="184"/>
      <c r="U56" s="184"/>
      <c r="V56" s="184"/>
      <c r="W56" s="184"/>
      <c r="X56" s="184"/>
      <c r="Y56" s="184"/>
      <c r="Z56" s="184"/>
      <c r="AA56" s="184"/>
      <c r="AB56" s="184"/>
      <c r="AC56" s="184"/>
    </row>
    <row r="57" spans="1:29" x14ac:dyDescent="0.35">
      <c r="A57" s="228" t="s">
        <v>592</v>
      </c>
      <c r="B57" s="206">
        <v>39.799999999999997</v>
      </c>
      <c r="C57" s="206">
        <v>16.8</v>
      </c>
      <c r="D57" s="206">
        <v>4.0999999999999996</v>
      </c>
      <c r="E57" s="206">
        <v>14.2</v>
      </c>
      <c r="F57" s="206">
        <v>11.4</v>
      </c>
      <c r="G57" s="206">
        <v>13.7</v>
      </c>
      <c r="H57" s="206">
        <v>100</v>
      </c>
      <c r="I57" s="229">
        <v>124423</v>
      </c>
      <c r="J57" s="184"/>
      <c r="K57" s="184"/>
      <c r="L57" s="184"/>
      <c r="M57" s="184"/>
      <c r="N57" s="184"/>
      <c r="O57" s="184"/>
      <c r="P57" s="184"/>
      <c r="Q57" s="184"/>
      <c r="R57" s="184"/>
      <c r="S57" s="184"/>
      <c r="T57" s="184"/>
      <c r="U57" s="184"/>
      <c r="V57" s="184"/>
      <c r="W57" s="184"/>
      <c r="X57" s="184"/>
      <c r="Y57" s="184"/>
      <c r="Z57" s="184"/>
      <c r="AA57" s="184"/>
      <c r="AB57" s="184"/>
      <c r="AC57" s="184"/>
    </row>
    <row r="58" spans="1:29" x14ac:dyDescent="0.35">
      <c r="A58" s="228" t="s">
        <v>640</v>
      </c>
      <c r="B58" s="206">
        <v>40.1</v>
      </c>
      <c r="C58" s="206">
        <v>15.3</v>
      </c>
      <c r="D58" s="206">
        <v>3.3</v>
      </c>
      <c r="E58" s="206">
        <v>14.1</v>
      </c>
      <c r="F58" s="206">
        <v>11.2</v>
      </c>
      <c r="G58" s="206">
        <v>16</v>
      </c>
      <c r="H58" s="206">
        <v>100</v>
      </c>
      <c r="I58" s="229">
        <v>47797.1</v>
      </c>
      <c r="J58" s="184"/>
      <c r="K58" s="184"/>
      <c r="L58" s="184"/>
      <c r="M58" s="184"/>
      <c r="N58" s="184"/>
      <c r="O58" s="184"/>
      <c r="P58" s="184"/>
      <c r="Q58" s="184"/>
      <c r="R58" s="184"/>
      <c r="S58" s="184"/>
      <c r="T58" s="184"/>
      <c r="U58" s="184"/>
      <c r="V58" s="184"/>
      <c r="W58" s="184"/>
      <c r="X58" s="184"/>
      <c r="Y58" s="184"/>
      <c r="Z58" s="184"/>
      <c r="AA58" s="184"/>
      <c r="AB58" s="184"/>
      <c r="AC58" s="184"/>
    </row>
    <row r="59" spans="1:29" x14ac:dyDescent="0.35">
      <c r="A59" s="228" t="s">
        <v>594</v>
      </c>
      <c r="B59" s="206">
        <v>41</v>
      </c>
      <c r="C59" s="206">
        <v>16.600000000000001</v>
      </c>
      <c r="D59" s="206">
        <v>4.0999999999999996</v>
      </c>
      <c r="E59" s="206">
        <v>15.9</v>
      </c>
      <c r="F59" s="206">
        <v>12.6</v>
      </c>
      <c r="G59" s="206">
        <v>9.8000000000000007</v>
      </c>
      <c r="H59" s="206">
        <v>100</v>
      </c>
      <c r="I59" s="229">
        <v>37847.800000000003</v>
      </c>
      <c r="J59" s="184"/>
      <c r="K59" s="184"/>
      <c r="L59" s="184"/>
      <c r="M59" s="184"/>
      <c r="N59" s="184"/>
      <c r="O59" s="184"/>
      <c r="P59" s="184"/>
      <c r="Q59" s="184"/>
      <c r="R59" s="184"/>
      <c r="S59" s="184"/>
      <c r="T59" s="184"/>
      <c r="U59" s="184"/>
      <c r="V59" s="184"/>
      <c r="W59" s="184"/>
      <c r="X59" s="184"/>
      <c r="Y59" s="184"/>
      <c r="Z59" s="184"/>
      <c r="AA59" s="184"/>
      <c r="AB59" s="184"/>
      <c r="AC59" s="184"/>
    </row>
    <row r="60" spans="1:29" x14ac:dyDescent="0.35">
      <c r="A60" s="228" t="s">
        <v>595</v>
      </c>
      <c r="B60" s="206">
        <v>41.2</v>
      </c>
      <c r="C60" s="206">
        <v>12.2</v>
      </c>
      <c r="D60" s="206">
        <v>2.2999999999999998</v>
      </c>
      <c r="E60" s="206">
        <v>20.5</v>
      </c>
      <c r="F60" s="206">
        <v>14.6</v>
      </c>
      <c r="G60" s="206">
        <v>9.1999999999999993</v>
      </c>
      <c r="H60" s="206">
        <v>100</v>
      </c>
      <c r="I60" s="229">
        <v>18466.599999999999</v>
      </c>
      <c r="J60" s="184"/>
      <c r="K60" s="184"/>
      <c r="L60" s="184"/>
      <c r="M60" s="184"/>
      <c r="N60" s="184"/>
      <c r="O60" s="184"/>
      <c r="P60" s="184"/>
      <c r="Q60" s="184"/>
      <c r="R60" s="184"/>
      <c r="S60" s="184"/>
      <c r="T60" s="184"/>
      <c r="U60" s="184"/>
      <c r="V60" s="184"/>
      <c r="W60" s="184"/>
      <c r="X60" s="184"/>
      <c r="Y60" s="184"/>
      <c r="Z60" s="184"/>
      <c r="AA60" s="184"/>
      <c r="AB60" s="184"/>
      <c r="AC60" s="184"/>
    </row>
    <row r="61" spans="1:29" x14ac:dyDescent="0.35">
      <c r="A61" s="227" t="s">
        <v>596</v>
      </c>
      <c r="B61" s="475"/>
      <c r="C61" s="476"/>
      <c r="D61" s="476"/>
      <c r="E61" s="476"/>
      <c r="F61" s="476"/>
      <c r="G61" s="476"/>
      <c r="H61" s="476"/>
      <c r="I61" s="477"/>
      <c r="J61" s="184"/>
      <c r="K61" s="184"/>
      <c r="L61" s="184"/>
      <c r="M61" s="184"/>
      <c r="N61" s="184"/>
      <c r="O61" s="184"/>
      <c r="P61" s="184"/>
      <c r="Q61" s="184"/>
      <c r="R61" s="184"/>
      <c r="S61" s="184"/>
      <c r="T61" s="184"/>
      <c r="U61" s="184"/>
      <c r="V61" s="184"/>
      <c r="W61" s="184"/>
      <c r="X61" s="184"/>
      <c r="Y61" s="184"/>
      <c r="Z61" s="184"/>
      <c r="AA61" s="184"/>
      <c r="AB61" s="184"/>
      <c r="AC61" s="184"/>
    </row>
    <row r="62" spans="1:29" x14ac:dyDescent="0.35">
      <c r="A62" s="228" t="s">
        <v>597</v>
      </c>
      <c r="B62" s="206">
        <v>40.9</v>
      </c>
      <c r="C62" s="206">
        <v>14.9</v>
      </c>
      <c r="D62" s="206">
        <v>3.9</v>
      </c>
      <c r="E62" s="206">
        <v>17</v>
      </c>
      <c r="F62" s="206">
        <v>14.5</v>
      </c>
      <c r="G62" s="206">
        <v>8.8000000000000007</v>
      </c>
      <c r="H62" s="206">
        <v>100</v>
      </c>
      <c r="I62" s="229">
        <v>464899</v>
      </c>
      <c r="J62" s="184"/>
      <c r="K62" s="184"/>
      <c r="L62" s="184"/>
      <c r="M62" s="184"/>
      <c r="N62" s="184"/>
      <c r="O62" s="184"/>
      <c r="P62" s="184"/>
      <c r="Q62" s="184"/>
      <c r="R62" s="184"/>
      <c r="S62" s="184"/>
      <c r="T62" s="184"/>
      <c r="U62" s="184"/>
      <c r="V62" s="184"/>
      <c r="W62" s="184"/>
      <c r="X62" s="184"/>
      <c r="Y62" s="184"/>
      <c r="Z62" s="184"/>
      <c r="AA62" s="184"/>
      <c r="AB62" s="184"/>
      <c r="AC62" s="184"/>
    </row>
    <row r="63" spans="1:29" x14ac:dyDescent="0.35">
      <c r="A63" s="228" t="s">
        <v>598</v>
      </c>
      <c r="B63" s="206">
        <v>39.9</v>
      </c>
      <c r="C63" s="206">
        <v>15.1</v>
      </c>
      <c r="D63" s="206">
        <v>3.3</v>
      </c>
      <c r="E63" s="206">
        <v>17.899999999999999</v>
      </c>
      <c r="F63" s="206">
        <v>15.8</v>
      </c>
      <c r="G63" s="206">
        <v>8</v>
      </c>
      <c r="H63" s="206">
        <v>100</v>
      </c>
      <c r="I63" s="229">
        <v>104034.4</v>
      </c>
      <c r="J63" s="184"/>
      <c r="K63" s="184"/>
      <c r="L63" s="184"/>
      <c r="M63" s="184"/>
      <c r="N63" s="184"/>
      <c r="O63" s="184"/>
      <c r="P63" s="184"/>
      <c r="Q63" s="184"/>
      <c r="R63" s="184"/>
      <c r="S63" s="184"/>
      <c r="T63" s="184"/>
      <c r="U63" s="184"/>
      <c r="V63" s="184"/>
      <c r="W63" s="184"/>
      <c r="X63" s="184"/>
      <c r="Y63" s="184"/>
      <c r="Z63" s="184"/>
      <c r="AA63" s="184"/>
      <c r="AB63" s="184"/>
      <c r="AC63" s="184"/>
    </row>
    <row r="64" spans="1:29" x14ac:dyDescent="0.35">
      <c r="A64" s="227" t="s">
        <v>599</v>
      </c>
      <c r="B64" s="475"/>
      <c r="C64" s="476"/>
      <c r="D64" s="476"/>
      <c r="E64" s="476"/>
      <c r="F64" s="476"/>
      <c r="G64" s="476"/>
      <c r="H64" s="476"/>
      <c r="I64" s="477"/>
      <c r="J64" s="184"/>
      <c r="K64" s="184"/>
      <c r="L64" s="184"/>
      <c r="M64" s="184"/>
      <c r="N64" s="184"/>
      <c r="O64" s="184"/>
      <c r="P64" s="184"/>
      <c r="Q64" s="184"/>
      <c r="R64" s="184"/>
      <c r="S64" s="184"/>
      <c r="T64" s="184"/>
      <c r="U64" s="184"/>
      <c r="V64" s="184"/>
      <c r="W64" s="184"/>
      <c r="X64" s="184"/>
      <c r="Y64" s="184"/>
      <c r="Z64" s="184"/>
      <c r="AA64" s="184"/>
      <c r="AB64" s="184"/>
      <c r="AC64" s="184"/>
    </row>
    <row r="65" spans="1:29" x14ac:dyDescent="0.35">
      <c r="A65" s="228" t="s">
        <v>600</v>
      </c>
      <c r="B65" s="206">
        <v>38.799999999999997</v>
      </c>
      <c r="C65" s="206">
        <v>18.2</v>
      </c>
      <c r="D65" s="206">
        <v>4.5</v>
      </c>
      <c r="E65" s="206">
        <v>14.2</v>
      </c>
      <c r="F65" s="206">
        <v>15.1</v>
      </c>
      <c r="G65" s="206">
        <v>9.1999999999999993</v>
      </c>
      <c r="H65" s="206">
        <v>100</v>
      </c>
      <c r="I65" s="229">
        <v>127348.6</v>
      </c>
      <c r="J65" s="184"/>
      <c r="K65" s="184"/>
      <c r="L65" s="184"/>
      <c r="M65" s="184"/>
      <c r="N65" s="184"/>
      <c r="O65" s="184"/>
      <c r="P65" s="184"/>
      <c r="Q65" s="184"/>
      <c r="R65" s="184"/>
      <c r="S65" s="184"/>
      <c r="T65" s="184"/>
      <c r="U65" s="184"/>
      <c r="V65" s="184"/>
      <c r="W65" s="184"/>
      <c r="X65" s="184"/>
      <c r="Y65" s="184"/>
      <c r="Z65" s="184"/>
      <c r="AA65" s="184"/>
      <c r="AB65" s="184"/>
      <c r="AC65" s="184"/>
    </row>
    <row r="66" spans="1:29" x14ac:dyDescent="0.35">
      <c r="A66" s="228" t="s">
        <v>601</v>
      </c>
      <c r="B66" s="206">
        <v>40</v>
      </c>
      <c r="C66" s="206">
        <v>17.7</v>
      </c>
      <c r="D66" s="206">
        <v>4.5</v>
      </c>
      <c r="E66" s="206">
        <v>14.6</v>
      </c>
      <c r="F66" s="206">
        <v>11.8</v>
      </c>
      <c r="G66" s="206">
        <v>11.4</v>
      </c>
      <c r="H66" s="206">
        <v>100</v>
      </c>
      <c r="I66" s="229">
        <v>220935.3</v>
      </c>
      <c r="J66" s="184"/>
      <c r="K66" s="184"/>
      <c r="L66" s="184"/>
      <c r="M66" s="184"/>
      <c r="N66" s="184"/>
      <c r="O66" s="184"/>
      <c r="P66" s="184"/>
      <c r="Q66" s="184"/>
      <c r="R66" s="184"/>
      <c r="S66" s="184"/>
      <c r="T66" s="184"/>
      <c r="U66" s="184"/>
      <c r="V66" s="184"/>
      <c r="W66" s="184"/>
      <c r="X66" s="184"/>
      <c r="Y66" s="184"/>
      <c r="Z66" s="184"/>
      <c r="AA66" s="184"/>
      <c r="AB66" s="184"/>
      <c r="AC66" s="184"/>
    </row>
    <row r="67" spans="1:29" x14ac:dyDescent="0.35">
      <c r="A67" s="228" t="s">
        <v>602</v>
      </c>
      <c r="B67" s="206">
        <v>42</v>
      </c>
      <c r="C67" s="206">
        <v>13.7</v>
      </c>
      <c r="D67" s="206">
        <v>3.6</v>
      </c>
      <c r="E67" s="206">
        <v>19</v>
      </c>
      <c r="F67" s="206">
        <v>15.9</v>
      </c>
      <c r="G67" s="206">
        <v>5.8</v>
      </c>
      <c r="H67" s="206">
        <v>100</v>
      </c>
      <c r="I67" s="229">
        <v>158189.29999999999</v>
      </c>
      <c r="J67" s="184"/>
      <c r="K67" s="184"/>
      <c r="L67" s="184"/>
      <c r="M67" s="184"/>
      <c r="N67" s="184"/>
      <c r="O67" s="184"/>
      <c r="P67" s="184"/>
      <c r="Q67" s="184"/>
      <c r="R67" s="184"/>
      <c r="S67" s="184"/>
      <c r="T67" s="184"/>
      <c r="U67" s="184"/>
      <c r="V67" s="184"/>
      <c r="W67" s="184"/>
      <c r="X67" s="184"/>
      <c r="Y67" s="184"/>
      <c r="Z67" s="184"/>
      <c r="AA67" s="184"/>
      <c r="AB67" s="184"/>
      <c r="AC67" s="184"/>
    </row>
    <row r="68" spans="1:29" x14ac:dyDescent="0.35">
      <c r="A68" s="228" t="s">
        <v>603</v>
      </c>
      <c r="B68" s="206">
        <v>43.2</v>
      </c>
      <c r="C68" s="206">
        <v>2.2000000000000002</v>
      </c>
      <c r="D68" s="206">
        <v>0.9</v>
      </c>
      <c r="E68" s="206">
        <v>26.5</v>
      </c>
      <c r="F68" s="206">
        <v>21.8</v>
      </c>
      <c r="G68" s="206">
        <v>5.4</v>
      </c>
      <c r="H68" s="206">
        <v>100</v>
      </c>
      <c r="I68" s="229">
        <v>41842.400000000001</v>
      </c>
      <c r="J68" s="184"/>
      <c r="K68" s="184"/>
      <c r="L68" s="184"/>
      <c r="M68" s="184"/>
      <c r="N68" s="184"/>
      <c r="O68" s="184"/>
      <c r="P68" s="184"/>
      <c r="Q68" s="184"/>
      <c r="R68" s="184"/>
      <c r="S68" s="184"/>
      <c r="T68" s="184"/>
      <c r="U68" s="184"/>
      <c r="V68" s="184"/>
      <c r="W68" s="184"/>
      <c r="X68" s="184"/>
      <c r="Y68" s="184"/>
      <c r="Z68" s="184"/>
      <c r="AA68" s="184"/>
      <c r="AB68" s="184"/>
      <c r="AC68" s="184"/>
    </row>
    <row r="69" spans="1:29" x14ac:dyDescent="0.35">
      <c r="A69" s="228" t="s">
        <v>604</v>
      </c>
      <c r="B69" s="206">
        <v>44.3</v>
      </c>
      <c r="C69" s="206">
        <v>1.8</v>
      </c>
      <c r="D69" s="206">
        <v>0.5</v>
      </c>
      <c r="E69" s="206">
        <v>29.3</v>
      </c>
      <c r="F69" s="206">
        <v>20.9</v>
      </c>
      <c r="G69" s="206">
        <v>3.2</v>
      </c>
      <c r="H69" s="206">
        <v>100</v>
      </c>
      <c r="I69" s="229">
        <v>20617.8</v>
      </c>
      <c r="J69" s="184"/>
      <c r="K69" s="184"/>
      <c r="L69" s="184"/>
      <c r="M69" s="184"/>
      <c r="N69" s="184"/>
      <c r="O69" s="184"/>
      <c r="P69" s="184"/>
      <c r="Q69" s="184"/>
      <c r="R69" s="184"/>
      <c r="S69" s="184"/>
      <c r="T69" s="184"/>
      <c r="U69" s="184"/>
      <c r="V69" s="184"/>
      <c r="W69" s="184"/>
      <c r="X69" s="184"/>
      <c r="Y69" s="184"/>
      <c r="Z69" s="184"/>
      <c r="AA69" s="184"/>
      <c r="AB69" s="184"/>
      <c r="AC69" s="184"/>
    </row>
    <row r="70" spans="1:29" x14ac:dyDescent="0.35">
      <c r="A70" s="227" t="s">
        <v>605</v>
      </c>
      <c r="B70" s="475"/>
      <c r="C70" s="476"/>
      <c r="D70" s="476"/>
      <c r="E70" s="476"/>
      <c r="F70" s="476"/>
      <c r="G70" s="476"/>
      <c r="H70" s="476"/>
      <c r="I70" s="477"/>
      <c r="J70" s="184"/>
      <c r="K70" s="184"/>
      <c r="L70" s="184"/>
      <c r="M70" s="184"/>
      <c r="N70" s="184"/>
      <c r="O70" s="184"/>
      <c r="P70" s="184"/>
      <c r="Q70" s="184"/>
      <c r="R70" s="184"/>
      <c r="S70" s="184"/>
      <c r="T70" s="184"/>
      <c r="U70" s="184"/>
      <c r="V70" s="184"/>
      <c r="W70" s="184"/>
      <c r="X70" s="184"/>
      <c r="Y70" s="184"/>
      <c r="Z70" s="184"/>
      <c r="AA70" s="184"/>
      <c r="AB70" s="184"/>
      <c r="AC70" s="184"/>
    </row>
    <row r="71" spans="1:29" x14ac:dyDescent="0.35">
      <c r="A71" s="228" t="s">
        <v>606</v>
      </c>
      <c r="B71" s="206">
        <v>42</v>
      </c>
      <c r="C71" s="206">
        <v>15.6</v>
      </c>
      <c r="D71" s="206">
        <v>7.3</v>
      </c>
      <c r="E71" s="206">
        <v>14.7</v>
      </c>
      <c r="F71" s="206">
        <v>9.6999999999999993</v>
      </c>
      <c r="G71" s="206">
        <v>10.7</v>
      </c>
      <c r="H71" s="206">
        <v>100</v>
      </c>
      <c r="I71" s="229">
        <v>16329.3</v>
      </c>
      <c r="J71" s="184"/>
      <c r="K71" s="184"/>
      <c r="L71" s="184"/>
      <c r="M71" s="184"/>
      <c r="N71" s="184"/>
      <c r="O71" s="184"/>
      <c r="P71" s="184"/>
      <c r="Q71" s="184"/>
      <c r="R71" s="184"/>
      <c r="S71" s="184"/>
      <c r="T71" s="184"/>
      <c r="U71" s="184"/>
      <c r="V71" s="184"/>
      <c r="W71" s="184"/>
      <c r="X71" s="184"/>
      <c r="Y71" s="184"/>
      <c r="Z71" s="184"/>
      <c r="AA71" s="184"/>
      <c r="AB71" s="184"/>
      <c r="AC71" s="184"/>
    </row>
    <row r="72" spans="1:29" x14ac:dyDescent="0.35">
      <c r="A72" s="228" t="s">
        <v>607</v>
      </c>
      <c r="B72" s="206">
        <v>36.799999999999997</v>
      </c>
      <c r="C72" s="206">
        <v>16.100000000000001</v>
      </c>
      <c r="D72" s="206">
        <v>12.6</v>
      </c>
      <c r="E72" s="206">
        <v>14.1</v>
      </c>
      <c r="F72" s="206">
        <v>10.5</v>
      </c>
      <c r="G72" s="206">
        <v>9.9</v>
      </c>
      <c r="H72" s="206">
        <v>100</v>
      </c>
      <c r="I72" s="229">
        <v>41716.800000000003</v>
      </c>
      <c r="J72" s="184"/>
      <c r="K72" s="184"/>
      <c r="L72" s="184"/>
      <c r="M72" s="184"/>
      <c r="N72" s="184"/>
      <c r="O72" s="184"/>
      <c r="P72" s="184"/>
      <c r="Q72" s="184"/>
      <c r="R72" s="184"/>
      <c r="S72" s="184"/>
      <c r="T72" s="184"/>
      <c r="U72" s="184"/>
      <c r="V72" s="184"/>
      <c r="W72" s="184"/>
      <c r="X72" s="184"/>
      <c r="Y72" s="184"/>
      <c r="Z72" s="184"/>
      <c r="AA72" s="184"/>
      <c r="AB72" s="184"/>
      <c r="AC72" s="184"/>
    </row>
    <row r="73" spans="1:29" x14ac:dyDescent="0.35">
      <c r="A73" s="228" t="s">
        <v>608</v>
      </c>
      <c r="B73" s="206">
        <v>38.5</v>
      </c>
      <c r="C73" s="206">
        <v>18</v>
      </c>
      <c r="D73" s="206">
        <v>5.2</v>
      </c>
      <c r="E73" s="206">
        <v>14.6</v>
      </c>
      <c r="F73" s="206">
        <v>12.8</v>
      </c>
      <c r="G73" s="206">
        <v>10.9</v>
      </c>
      <c r="H73" s="206">
        <v>100</v>
      </c>
      <c r="I73" s="229">
        <v>89316.9</v>
      </c>
      <c r="J73" s="184"/>
      <c r="K73" s="184"/>
      <c r="L73" s="184"/>
      <c r="M73" s="184"/>
      <c r="N73" s="184"/>
      <c r="O73" s="184"/>
      <c r="P73" s="184"/>
      <c r="Q73" s="184"/>
      <c r="R73" s="184"/>
      <c r="S73" s="184"/>
      <c r="T73" s="184"/>
      <c r="U73" s="184"/>
      <c r="V73" s="184"/>
      <c r="W73" s="184"/>
      <c r="X73" s="184"/>
      <c r="Y73" s="184"/>
      <c r="Z73" s="184"/>
      <c r="AA73" s="184"/>
      <c r="AB73" s="184"/>
      <c r="AC73" s="184"/>
    </row>
    <row r="74" spans="1:29" x14ac:dyDescent="0.35">
      <c r="A74" s="228" t="s">
        <v>609</v>
      </c>
      <c r="B74" s="206">
        <v>39.700000000000003</v>
      </c>
      <c r="C74" s="206">
        <v>19.399999999999999</v>
      </c>
      <c r="D74" s="206">
        <v>4.5999999999999996</v>
      </c>
      <c r="E74" s="206">
        <v>14.2</v>
      </c>
      <c r="F74" s="206">
        <v>13.4</v>
      </c>
      <c r="G74" s="206">
        <v>8.6999999999999993</v>
      </c>
      <c r="H74" s="206">
        <v>100</v>
      </c>
      <c r="I74" s="229">
        <v>105587.2</v>
      </c>
      <c r="J74" s="184"/>
      <c r="K74" s="184"/>
      <c r="L74" s="184"/>
      <c r="M74" s="184"/>
      <c r="N74" s="184"/>
      <c r="O74" s="184"/>
      <c r="P74" s="184"/>
      <c r="Q74" s="184"/>
      <c r="R74" s="184"/>
      <c r="S74" s="184"/>
      <c r="T74" s="184"/>
      <c r="U74" s="184"/>
      <c r="V74" s="184"/>
      <c r="W74" s="184"/>
      <c r="X74" s="184"/>
      <c r="Y74" s="184"/>
      <c r="Z74" s="184"/>
      <c r="AA74" s="184"/>
      <c r="AB74" s="184"/>
      <c r="AC74" s="184"/>
    </row>
    <row r="75" spans="1:29" x14ac:dyDescent="0.35">
      <c r="A75" s="228" t="s">
        <v>610</v>
      </c>
      <c r="B75" s="206">
        <v>40.200000000000003</v>
      </c>
      <c r="C75" s="206">
        <v>17.600000000000001</v>
      </c>
      <c r="D75" s="206">
        <v>2.9</v>
      </c>
      <c r="E75" s="206">
        <v>15.7</v>
      </c>
      <c r="F75" s="206">
        <v>13.6</v>
      </c>
      <c r="G75" s="206">
        <v>10</v>
      </c>
      <c r="H75" s="206">
        <v>100</v>
      </c>
      <c r="I75" s="229">
        <v>73317.2</v>
      </c>
      <c r="J75" s="184"/>
      <c r="K75" s="184"/>
      <c r="L75" s="184"/>
      <c r="M75" s="184"/>
      <c r="N75" s="184"/>
      <c r="O75" s="184"/>
      <c r="P75" s="184"/>
      <c r="Q75" s="184"/>
      <c r="R75" s="184"/>
      <c r="S75" s="184"/>
      <c r="T75" s="184"/>
      <c r="U75" s="184"/>
      <c r="V75" s="184"/>
      <c r="W75" s="184"/>
      <c r="X75" s="184"/>
      <c r="Y75" s="184"/>
      <c r="Z75" s="184"/>
      <c r="AA75" s="184"/>
      <c r="AB75" s="184"/>
      <c r="AC75" s="184"/>
    </row>
    <row r="76" spans="1:29" x14ac:dyDescent="0.35">
      <c r="A76" s="228" t="s">
        <v>611</v>
      </c>
      <c r="B76" s="206">
        <v>42.1</v>
      </c>
      <c r="C76" s="206">
        <v>19.399999999999999</v>
      </c>
      <c r="D76" s="206">
        <v>2.5</v>
      </c>
      <c r="E76" s="206">
        <v>14.4</v>
      </c>
      <c r="F76" s="206">
        <v>13.1</v>
      </c>
      <c r="G76" s="206">
        <v>8.5</v>
      </c>
      <c r="H76" s="206">
        <v>100</v>
      </c>
      <c r="I76" s="229">
        <v>113719.2</v>
      </c>
      <c r="J76" s="184"/>
      <c r="K76" s="184"/>
      <c r="L76" s="184"/>
      <c r="M76" s="184"/>
      <c r="N76" s="184"/>
      <c r="O76" s="184"/>
      <c r="P76" s="184"/>
      <c r="Q76" s="184"/>
      <c r="R76" s="184"/>
      <c r="S76" s="184"/>
      <c r="T76" s="184"/>
      <c r="U76" s="184"/>
      <c r="V76" s="184"/>
      <c r="W76" s="184"/>
      <c r="X76" s="184"/>
      <c r="Y76" s="184"/>
      <c r="Z76" s="184"/>
      <c r="AA76" s="184"/>
      <c r="AB76" s="184"/>
      <c r="AC76" s="184"/>
    </row>
    <row r="77" spans="1:29" x14ac:dyDescent="0.35">
      <c r="A77" s="228" t="s">
        <v>612</v>
      </c>
      <c r="B77" s="206">
        <v>43.6</v>
      </c>
      <c r="C77" s="206">
        <v>2.4</v>
      </c>
      <c r="D77" s="206">
        <v>0.5</v>
      </c>
      <c r="E77" s="206">
        <v>27</v>
      </c>
      <c r="F77" s="206">
        <v>21.6</v>
      </c>
      <c r="G77" s="206">
        <v>4.9000000000000004</v>
      </c>
      <c r="H77" s="206">
        <v>100</v>
      </c>
      <c r="I77" s="229">
        <v>105918.2</v>
      </c>
      <c r="J77" s="184"/>
      <c r="K77" s="184"/>
      <c r="L77" s="184"/>
      <c r="M77" s="184"/>
      <c r="N77" s="184"/>
      <c r="O77" s="184"/>
      <c r="P77" s="184"/>
      <c r="Q77" s="184"/>
      <c r="R77" s="184"/>
      <c r="S77" s="184"/>
      <c r="T77" s="184"/>
      <c r="U77" s="184"/>
      <c r="V77" s="184"/>
      <c r="W77" s="184"/>
      <c r="X77" s="184"/>
      <c r="Y77" s="184"/>
      <c r="Z77" s="184"/>
      <c r="AA77" s="184"/>
      <c r="AB77" s="184"/>
      <c r="AC77" s="184"/>
    </row>
    <row r="78" spans="1:29" x14ac:dyDescent="0.35">
      <c r="A78" s="228" t="s">
        <v>613</v>
      </c>
      <c r="B78" s="206">
        <v>41.2</v>
      </c>
      <c r="C78" s="206">
        <v>5.2</v>
      </c>
      <c r="D78" s="206">
        <v>2.1</v>
      </c>
      <c r="E78" s="206">
        <v>22.5</v>
      </c>
      <c r="F78" s="206">
        <v>19.3</v>
      </c>
      <c r="G78" s="206">
        <v>9.6999999999999993</v>
      </c>
      <c r="H78" s="206">
        <v>100</v>
      </c>
      <c r="I78" s="229">
        <v>8728.2000000000007</v>
      </c>
      <c r="J78" s="184"/>
      <c r="K78" s="184"/>
      <c r="L78" s="184"/>
      <c r="M78" s="184"/>
      <c r="N78" s="184"/>
      <c r="O78" s="184"/>
      <c r="P78" s="184"/>
      <c r="Q78" s="184"/>
      <c r="R78" s="184"/>
      <c r="S78" s="184"/>
      <c r="T78" s="184"/>
      <c r="U78" s="184"/>
      <c r="V78" s="184"/>
      <c r="W78" s="184"/>
      <c r="X78" s="184"/>
      <c r="Y78" s="184"/>
      <c r="Z78" s="184"/>
      <c r="AA78" s="184"/>
      <c r="AB78" s="184"/>
      <c r="AC78" s="184"/>
    </row>
    <row r="79" spans="1:29" x14ac:dyDescent="0.35">
      <c r="A79" s="228" t="s">
        <v>614</v>
      </c>
      <c r="B79" s="206">
        <v>39.700000000000003</v>
      </c>
      <c r="C79" s="206">
        <v>21.9</v>
      </c>
      <c r="D79" s="206">
        <v>1.9</v>
      </c>
      <c r="E79" s="206">
        <v>9.5</v>
      </c>
      <c r="F79" s="206">
        <v>18.399999999999999</v>
      </c>
      <c r="G79" s="206">
        <v>8.6</v>
      </c>
      <c r="H79" s="206">
        <v>100</v>
      </c>
      <c r="I79" s="229">
        <v>5363.7</v>
      </c>
      <c r="J79" s="184"/>
      <c r="K79" s="184"/>
      <c r="L79" s="184"/>
      <c r="M79" s="184"/>
      <c r="N79" s="184"/>
      <c r="O79" s="184"/>
      <c r="P79" s="184"/>
      <c r="Q79" s="184"/>
      <c r="R79" s="184"/>
      <c r="S79" s="184"/>
      <c r="T79" s="184"/>
      <c r="U79" s="184"/>
      <c r="V79" s="184"/>
      <c r="W79" s="184"/>
      <c r="X79" s="184"/>
      <c r="Y79" s="184"/>
      <c r="Z79" s="184"/>
      <c r="AA79" s="184"/>
      <c r="AB79" s="184"/>
      <c r="AC79" s="184"/>
    </row>
    <row r="80" spans="1:29" x14ac:dyDescent="0.35">
      <c r="A80" s="228" t="s">
        <v>615</v>
      </c>
      <c r="B80" s="206">
        <v>40.799999999999997</v>
      </c>
      <c r="C80" s="206">
        <v>3.6</v>
      </c>
      <c r="D80" s="206">
        <v>0.8</v>
      </c>
      <c r="E80" s="206">
        <v>26.3</v>
      </c>
      <c r="F80" s="206">
        <v>21.1</v>
      </c>
      <c r="G80" s="206">
        <v>7.4</v>
      </c>
      <c r="H80" s="206">
        <v>100</v>
      </c>
      <c r="I80" s="229">
        <v>8937</v>
      </c>
      <c r="J80" s="184"/>
      <c r="K80" s="184"/>
      <c r="L80" s="184"/>
      <c r="M80" s="184"/>
      <c r="N80" s="184"/>
      <c r="O80" s="184"/>
      <c r="P80" s="184"/>
      <c r="Q80" s="184"/>
      <c r="R80" s="184"/>
      <c r="S80" s="184"/>
      <c r="T80" s="184"/>
      <c r="U80" s="184"/>
      <c r="V80" s="184"/>
      <c r="W80" s="184"/>
      <c r="X80" s="184"/>
      <c r="Y80" s="184"/>
      <c r="Z80" s="184"/>
      <c r="AA80" s="184"/>
      <c r="AB80" s="184"/>
      <c r="AC80" s="184"/>
    </row>
    <row r="81" spans="1:29" ht="16" thickBot="1" x14ac:dyDescent="0.4">
      <c r="A81" s="230" t="s">
        <v>128</v>
      </c>
      <c r="B81" s="231">
        <v>40.700000000000003</v>
      </c>
      <c r="C81" s="231">
        <v>15</v>
      </c>
      <c r="D81" s="231">
        <v>3.8</v>
      </c>
      <c r="E81" s="232">
        <v>17.2</v>
      </c>
      <c r="F81" s="231">
        <v>14.7</v>
      </c>
      <c r="G81" s="233">
        <v>8.6</v>
      </c>
      <c r="H81" s="234">
        <v>100</v>
      </c>
      <c r="I81" s="235">
        <v>568933.4</v>
      </c>
      <c r="J81" s="184"/>
      <c r="K81" s="184"/>
      <c r="L81" s="184"/>
      <c r="M81" s="184"/>
      <c r="N81" s="184"/>
      <c r="O81" s="184"/>
      <c r="P81" s="184"/>
      <c r="Q81" s="184"/>
      <c r="R81" s="184"/>
      <c r="S81" s="184"/>
      <c r="T81" s="184"/>
      <c r="U81" s="184"/>
      <c r="V81" s="184"/>
      <c r="W81" s="184"/>
      <c r="X81" s="184"/>
      <c r="Y81" s="184"/>
      <c r="Z81" s="184"/>
      <c r="AA81" s="184"/>
      <c r="AB81" s="184"/>
      <c r="AC81" s="184"/>
    </row>
    <row r="82" spans="1:29" x14ac:dyDescent="0.35">
      <c r="A82" s="184"/>
      <c r="B82" s="184"/>
      <c r="C82" s="184"/>
      <c r="D82" s="184"/>
      <c r="E82" s="184"/>
      <c r="F82" s="184"/>
      <c r="G82" s="184"/>
      <c r="H82" s="184"/>
      <c r="I82" s="184"/>
      <c r="J82" s="184"/>
      <c r="K82" s="184"/>
      <c r="L82" s="184"/>
      <c r="M82" s="184"/>
      <c r="N82" s="184"/>
      <c r="O82" s="184"/>
      <c r="P82" s="184"/>
      <c r="Q82" s="184"/>
      <c r="R82" s="184"/>
      <c r="S82" s="184"/>
      <c r="T82" s="184"/>
      <c r="U82" s="184"/>
      <c r="V82" s="184"/>
      <c r="W82" s="184"/>
      <c r="X82" s="184"/>
      <c r="Y82" s="184"/>
      <c r="Z82" s="184"/>
      <c r="AA82" s="184"/>
      <c r="AB82" s="184"/>
      <c r="AC82" s="184"/>
    </row>
    <row r="83" spans="1:29" x14ac:dyDescent="0.35">
      <c r="A83" s="213" t="s">
        <v>616</v>
      </c>
      <c r="B83" s="184"/>
      <c r="C83" s="184"/>
      <c r="D83" s="184"/>
      <c r="E83" s="184"/>
      <c r="F83" s="184"/>
      <c r="G83" s="184"/>
      <c r="H83" s="184"/>
      <c r="I83" s="184"/>
      <c r="J83" s="184"/>
      <c r="K83" s="184"/>
      <c r="L83" s="184"/>
      <c r="M83" s="184"/>
      <c r="N83" s="184"/>
      <c r="O83" s="184"/>
      <c r="P83" s="184"/>
      <c r="Q83" s="184"/>
      <c r="R83" s="184"/>
      <c r="S83" s="184"/>
      <c r="T83" s="184"/>
      <c r="U83" s="184"/>
      <c r="V83" s="184"/>
      <c r="W83" s="184"/>
      <c r="X83" s="184"/>
      <c r="Y83" s="184"/>
      <c r="Z83" s="184"/>
      <c r="AA83" s="184"/>
      <c r="AB83" s="184"/>
      <c r="AC83" s="184"/>
    </row>
    <row r="84" spans="1:29" x14ac:dyDescent="0.35">
      <c r="A84" s="184"/>
      <c r="B84" s="184"/>
      <c r="C84" s="184"/>
      <c r="D84" s="184"/>
      <c r="E84" s="184"/>
      <c r="F84" s="184"/>
      <c r="G84" s="184"/>
      <c r="H84" s="184"/>
      <c r="I84" s="184"/>
      <c r="J84" s="184"/>
      <c r="K84" s="184"/>
      <c r="L84" s="184"/>
      <c r="M84" s="184"/>
      <c r="N84" s="184"/>
      <c r="O84" s="184"/>
      <c r="P84" s="184"/>
      <c r="Q84" s="184"/>
      <c r="R84" s="184"/>
      <c r="S84" s="184"/>
      <c r="T84" s="184"/>
      <c r="U84" s="184"/>
      <c r="V84" s="184"/>
      <c r="W84" s="184"/>
      <c r="X84" s="184"/>
      <c r="Y84" s="184"/>
      <c r="Z84" s="184"/>
      <c r="AA84" s="184"/>
      <c r="AB84" s="184"/>
      <c r="AC84" s="184"/>
    </row>
    <row r="85" spans="1:29" x14ac:dyDescent="0.35">
      <c r="A85" s="184"/>
      <c r="B85" s="184"/>
      <c r="C85" s="184"/>
      <c r="D85" s="184"/>
      <c r="E85" s="184"/>
      <c r="F85" s="184"/>
      <c r="G85" s="184"/>
      <c r="H85" s="184"/>
      <c r="I85" s="184"/>
      <c r="J85" s="184"/>
      <c r="K85" s="184"/>
      <c r="L85" s="184"/>
      <c r="M85" s="184"/>
      <c r="N85" s="184"/>
      <c r="O85" s="184"/>
      <c r="P85" s="184"/>
      <c r="Q85" s="184"/>
      <c r="R85" s="184"/>
      <c r="S85" s="184"/>
      <c r="T85" s="184"/>
      <c r="U85" s="184"/>
      <c r="V85" s="184"/>
      <c r="W85" s="184"/>
      <c r="X85" s="184"/>
      <c r="Y85" s="184"/>
      <c r="Z85" s="184"/>
      <c r="AA85" s="184"/>
      <c r="AB85" s="184"/>
      <c r="AC85" s="184"/>
    </row>
    <row r="86" spans="1:29" x14ac:dyDescent="0.35">
      <c r="A86" s="184"/>
      <c r="B86" s="184"/>
      <c r="C86" s="184"/>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184"/>
      <c r="AC86" s="184"/>
    </row>
    <row r="87" spans="1:29" x14ac:dyDescent="0.35">
      <c r="A87" s="184"/>
      <c r="B87" s="184"/>
      <c r="C87" s="184"/>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84"/>
      <c r="AC87" s="184"/>
    </row>
    <row r="88" spans="1:29" x14ac:dyDescent="0.35">
      <c r="A88" s="184"/>
      <c r="B88" s="184"/>
      <c r="C88" s="184"/>
      <c r="D88" s="184"/>
      <c r="E88" s="184"/>
      <c r="F88" s="184"/>
      <c r="G88" s="184"/>
      <c r="H88" s="184"/>
      <c r="I88" s="184"/>
      <c r="J88" s="184"/>
      <c r="K88" s="184"/>
      <c r="L88" s="184"/>
      <c r="M88" s="184"/>
      <c r="N88" s="184"/>
      <c r="O88" s="184"/>
      <c r="P88" s="184"/>
      <c r="Q88" s="184"/>
      <c r="R88" s="184"/>
      <c r="S88" s="184"/>
      <c r="T88" s="184"/>
      <c r="U88" s="184"/>
      <c r="V88" s="184"/>
      <c r="W88" s="184"/>
      <c r="X88" s="184"/>
      <c r="Y88" s="184"/>
      <c r="Z88" s="184"/>
      <c r="AA88" s="184"/>
      <c r="AB88" s="184"/>
      <c r="AC88" s="184"/>
    </row>
    <row r="89" spans="1:29" x14ac:dyDescent="0.35">
      <c r="A89" s="184"/>
      <c r="B89" s="184"/>
      <c r="C89" s="184"/>
      <c r="D89" s="184"/>
      <c r="E89" s="184"/>
      <c r="F89" s="184"/>
      <c r="G89" s="184"/>
      <c r="H89" s="184"/>
      <c r="I89" s="184"/>
      <c r="J89" s="184"/>
      <c r="K89" s="184"/>
      <c r="L89" s="184"/>
      <c r="M89" s="184"/>
      <c r="N89" s="184"/>
      <c r="O89" s="184"/>
      <c r="P89" s="184"/>
      <c r="Q89" s="184"/>
      <c r="R89" s="184"/>
      <c r="S89" s="184"/>
      <c r="T89" s="184"/>
      <c r="U89" s="184"/>
      <c r="V89" s="184"/>
      <c r="W89" s="184"/>
      <c r="X89" s="184"/>
      <c r="Y89" s="184"/>
      <c r="Z89" s="184"/>
      <c r="AA89" s="184"/>
      <c r="AB89" s="184"/>
      <c r="AC89" s="184"/>
    </row>
    <row r="90" spans="1:29" x14ac:dyDescent="0.35">
      <c r="A90" s="184"/>
      <c r="B90" s="184"/>
      <c r="C90" s="184"/>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184"/>
      <c r="AC90" s="184"/>
    </row>
    <row r="91" spans="1:29" x14ac:dyDescent="0.35">
      <c r="A91" s="184"/>
      <c r="B91" s="184"/>
      <c r="C91" s="184"/>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184"/>
      <c r="AC91" s="184"/>
    </row>
    <row r="92" spans="1:29" x14ac:dyDescent="0.35">
      <c r="A92" s="184"/>
      <c r="B92" s="184"/>
      <c r="C92" s="184"/>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184"/>
      <c r="AC92" s="184"/>
    </row>
    <row r="93" spans="1:29" x14ac:dyDescent="0.35">
      <c r="A93" s="184"/>
      <c r="B93" s="184"/>
      <c r="C93" s="184"/>
      <c r="D93" s="184"/>
      <c r="E93" s="184"/>
      <c r="F93" s="184"/>
      <c r="G93" s="184"/>
      <c r="H93" s="184"/>
      <c r="I93" s="184"/>
      <c r="J93" s="184"/>
      <c r="K93" s="184"/>
      <c r="L93" s="184"/>
      <c r="M93" s="184"/>
      <c r="N93" s="184"/>
      <c r="O93" s="184"/>
      <c r="P93" s="184"/>
      <c r="Q93" s="184"/>
      <c r="R93" s="184"/>
      <c r="S93" s="184"/>
      <c r="T93" s="184"/>
      <c r="U93" s="184"/>
      <c r="V93" s="184"/>
      <c r="W93" s="184"/>
      <c r="X93" s="184"/>
      <c r="Y93" s="184"/>
      <c r="Z93" s="184"/>
      <c r="AA93" s="184"/>
      <c r="AB93" s="184"/>
      <c r="AC93" s="184"/>
    </row>
    <row r="94" spans="1:29" x14ac:dyDescent="0.35">
      <c r="A94" s="184"/>
      <c r="B94" s="184"/>
      <c r="C94" s="184"/>
      <c r="D94" s="184"/>
      <c r="E94" s="184"/>
      <c r="F94" s="184"/>
      <c r="G94" s="184"/>
      <c r="H94" s="184"/>
      <c r="I94" s="184"/>
      <c r="J94" s="184"/>
      <c r="K94" s="184"/>
      <c r="L94" s="184"/>
      <c r="M94" s="184"/>
      <c r="N94" s="184"/>
      <c r="O94" s="184"/>
      <c r="P94" s="184"/>
      <c r="Q94" s="184"/>
      <c r="R94" s="184"/>
      <c r="S94" s="184"/>
      <c r="T94" s="184"/>
      <c r="U94" s="184"/>
      <c r="V94" s="184"/>
      <c r="W94" s="184"/>
      <c r="X94" s="184"/>
      <c r="Y94" s="184"/>
      <c r="Z94" s="184"/>
      <c r="AA94" s="184"/>
      <c r="AB94" s="184"/>
      <c r="AC94" s="184"/>
    </row>
    <row r="95" spans="1:29" x14ac:dyDescent="0.35">
      <c r="A95" s="184"/>
      <c r="B95" s="184"/>
      <c r="C95" s="184"/>
      <c r="D95" s="184"/>
      <c r="E95" s="184"/>
      <c r="F95" s="184"/>
      <c r="G95" s="184"/>
      <c r="H95" s="184"/>
      <c r="I95" s="184"/>
      <c r="J95" s="184"/>
      <c r="K95" s="184"/>
      <c r="L95" s="184"/>
      <c r="M95" s="184"/>
      <c r="N95" s="184"/>
      <c r="O95" s="184"/>
      <c r="P95" s="184"/>
      <c r="Q95" s="184"/>
      <c r="R95" s="184"/>
      <c r="S95" s="184"/>
      <c r="T95" s="184"/>
      <c r="U95" s="184"/>
      <c r="V95" s="184"/>
      <c r="W95" s="184"/>
      <c r="X95" s="184"/>
      <c r="Y95" s="184"/>
      <c r="Z95" s="184"/>
      <c r="AA95" s="184"/>
      <c r="AB95" s="184"/>
      <c r="AC95" s="184"/>
    </row>
    <row r="96" spans="1:29" x14ac:dyDescent="0.35">
      <c r="A96" s="184"/>
      <c r="B96" s="184"/>
      <c r="C96" s="184"/>
      <c r="D96" s="184"/>
      <c r="E96" s="184"/>
      <c r="F96" s="184"/>
      <c r="G96" s="184"/>
      <c r="H96" s="184"/>
      <c r="I96" s="184"/>
      <c r="J96" s="184"/>
      <c r="K96" s="184"/>
      <c r="L96" s="184"/>
      <c r="M96" s="184"/>
      <c r="N96" s="184"/>
      <c r="O96" s="184"/>
      <c r="P96" s="184"/>
      <c r="Q96" s="184"/>
      <c r="R96" s="184"/>
      <c r="S96" s="184"/>
      <c r="T96" s="184"/>
      <c r="U96" s="184"/>
      <c r="V96" s="184"/>
      <c r="W96" s="184"/>
      <c r="X96" s="184"/>
      <c r="Y96" s="184"/>
      <c r="Z96" s="184"/>
      <c r="AA96" s="184"/>
      <c r="AB96" s="184"/>
      <c r="AC96" s="184"/>
    </row>
    <row r="97" spans="1:29" x14ac:dyDescent="0.35">
      <c r="A97" s="184"/>
      <c r="B97" s="184"/>
      <c r="C97" s="184"/>
      <c r="D97" s="184"/>
      <c r="E97" s="184"/>
      <c r="F97" s="184"/>
      <c r="G97" s="184"/>
      <c r="H97" s="184"/>
      <c r="I97" s="184"/>
      <c r="J97" s="184"/>
      <c r="K97" s="184"/>
      <c r="L97" s="184"/>
      <c r="M97" s="184"/>
      <c r="N97" s="184"/>
      <c r="O97" s="184"/>
      <c r="P97" s="184"/>
      <c r="Q97" s="184"/>
      <c r="R97" s="184"/>
      <c r="S97" s="184"/>
      <c r="T97" s="184"/>
      <c r="U97" s="184"/>
      <c r="V97" s="184"/>
      <c r="W97" s="184"/>
      <c r="X97" s="184"/>
      <c r="Y97" s="184"/>
      <c r="Z97" s="184"/>
      <c r="AA97" s="184"/>
      <c r="AB97" s="184"/>
      <c r="AC97" s="184"/>
    </row>
    <row r="98" spans="1:29" x14ac:dyDescent="0.35">
      <c r="A98" s="184"/>
      <c r="B98" s="184"/>
      <c r="C98" s="184"/>
      <c r="D98" s="184"/>
      <c r="E98" s="184"/>
      <c r="F98" s="184"/>
      <c r="G98" s="184"/>
      <c r="H98" s="184"/>
      <c r="I98" s="184"/>
      <c r="J98" s="184"/>
      <c r="K98" s="184"/>
      <c r="L98" s="184"/>
      <c r="M98" s="184"/>
      <c r="N98" s="184"/>
      <c r="O98" s="184"/>
      <c r="P98" s="184"/>
      <c r="Q98" s="184"/>
      <c r="R98" s="184"/>
      <c r="S98" s="184"/>
      <c r="T98" s="184"/>
      <c r="U98" s="184"/>
      <c r="V98" s="184"/>
      <c r="W98" s="184"/>
      <c r="X98" s="184"/>
      <c r="Y98" s="184"/>
      <c r="Z98" s="184"/>
      <c r="AA98" s="184"/>
      <c r="AB98" s="184"/>
      <c r="AC98" s="184"/>
    </row>
    <row r="99" spans="1:29" x14ac:dyDescent="0.35">
      <c r="A99" s="184"/>
      <c r="B99" s="184"/>
      <c r="C99" s="184"/>
      <c r="D99" s="184"/>
      <c r="E99" s="184"/>
      <c r="F99" s="184"/>
      <c r="G99" s="184"/>
      <c r="H99" s="184"/>
      <c r="I99" s="184"/>
      <c r="J99" s="184"/>
      <c r="K99" s="184"/>
      <c r="L99" s="184"/>
      <c r="M99" s="184"/>
      <c r="N99" s="184"/>
      <c r="O99" s="184"/>
      <c r="P99" s="184"/>
      <c r="Q99" s="184"/>
      <c r="R99" s="184"/>
      <c r="S99" s="184"/>
      <c r="T99" s="184"/>
      <c r="U99" s="184"/>
      <c r="V99" s="184"/>
      <c r="W99" s="184"/>
      <c r="X99" s="184"/>
      <c r="Y99" s="184"/>
      <c r="Z99" s="184"/>
      <c r="AA99" s="184"/>
      <c r="AB99" s="184"/>
      <c r="AC99" s="184"/>
    </row>
    <row r="100" spans="1:29" x14ac:dyDescent="0.35">
      <c r="A100" s="184"/>
      <c r="B100" s="184"/>
      <c r="C100" s="184"/>
      <c r="D100" s="184"/>
      <c r="E100" s="184"/>
      <c r="F100" s="184"/>
      <c r="G100" s="184"/>
      <c r="H100" s="184"/>
      <c r="I100" s="184"/>
      <c r="J100" s="184"/>
      <c r="K100" s="184"/>
      <c r="L100" s="184"/>
      <c r="M100" s="184"/>
      <c r="N100" s="184"/>
      <c r="O100" s="184"/>
      <c r="P100" s="184"/>
      <c r="Q100" s="184"/>
      <c r="R100" s="184"/>
      <c r="S100" s="184"/>
      <c r="T100" s="184"/>
      <c r="U100" s="184"/>
      <c r="V100" s="184"/>
      <c r="W100" s="184"/>
      <c r="X100" s="184"/>
      <c r="Y100" s="184"/>
      <c r="Z100" s="184"/>
      <c r="AA100" s="184"/>
      <c r="AB100" s="184"/>
      <c r="AC100" s="184"/>
    </row>
    <row r="101" spans="1:29" x14ac:dyDescent="0.35">
      <c r="A101" s="184"/>
      <c r="B101" s="184"/>
      <c r="C101" s="184"/>
      <c r="D101" s="184"/>
      <c r="E101" s="184"/>
      <c r="F101" s="184"/>
      <c r="G101" s="184"/>
      <c r="H101" s="184"/>
      <c r="I101" s="184"/>
      <c r="J101" s="184"/>
      <c r="K101" s="184"/>
      <c r="L101" s="184"/>
      <c r="M101" s="184"/>
      <c r="N101" s="184"/>
      <c r="O101" s="184"/>
      <c r="P101" s="184"/>
      <c r="Q101" s="184"/>
      <c r="R101" s="184"/>
      <c r="S101" s="184"/>
      <c r="T101" s="184"/>
      <c r="U101" s="184"/>
      <c r="V101" s="184"/>
      <c r="W101" s="184"/>
      <c r="X101" s="184"/>
      <c r="Y101" s="184"/>
      <c r="Z101" s="184"/>
      <c r="AA101" s="184"/>
      <c r="AB101" s="184"/>
      <c r="AC101" s="184"/>
    </row>
    <row r="102" spans="1:29" x14ac:dyDescent="0.35">
      <c r="A102" s="184"/>
      <c r="B102" s="184"/>
      <c r="C102" s="184"/>
      <c r="D102" s="184"/>
      <c r="E102" s="184"/>
      <c r="F102" s="184"/>
      <c r="G102" s="184"/>
      <c r="H102" s="184"/>
      <c r="I102" s="184"/>
      <c r="J102" s="184"/>
      <c r="K102" s="184"/>
      <c r="L102" s="184"/>
      <c r="M102" s="184"/>
      <c r="N102" s="184"/>
      <c r="O102" s="184"/>
      <c r="P102" s="184"/>
      <c r="Q102" s="184"/>
      <c r="R102" s="184"/>
      <c r="S102" s="184"/>
      <c r="T102" s="184"/>
      <c r="U102" s="184"/>
      <c r="V102" s="184"/>
      <c r="W102" s="184"/>
      <c r="X102" s="184"/>
      <c r="Y102" s="184"/>
      <c r="Z102" s="184"/>
      <c r="AA102" s="184"/>
      <c r="AB102" s="184"/>
      <c r="AC102" s="184"/>
    </row>
    <row r="103" spans="1:29" x14ac:dyDescent="0.35">
      <c r="A103" s="184"/>
      <c r="B103" s="184"/>
      <c r="C103" s="184"/>
      <c r="D103" s="184"/>
      <c r="E103" s="184"/>
      <c r="F103" s="184"/>
      <c r="G103" s="184"/>
      <c r="H103" s="184"/>
      <c r="I103" s="184"/>
      <c r="J103" s="184"/>
      <c r="K103" s="184"/>
      <c r="L103" s="184"/>
      <c r="M103" s="184"/>
      <c r="N103" s="184"/>
      <c r="O103" s="184"/>
      <c r="P103" s="184"/>
      <c r="Q103" s="184"/>
      <c r="R103" s="184"/>
      <c r="S103" s="184"/>
      <c r="T103" s="184"/>
      <c r="U103" s="184"/>
      <c r="V103" s="184"/>
      <c r="W103" s="184"/>
      <c r="X103" s="184"/>
      <c r="Y103" s="184"/>
      <c r="Z103" s="184"/>
      <c r="AA103" s="184"/>
      <c r="AB103" s="184"/>
      <c r="AC103" s="184"/>
    </row>
    <row r="104" spans="1:29" x14ac:dyDescent="0.35">
      <c r="A104" s="184"/>
      <c r="B104" s="184"/>
      <c r="C104" s="184"/>
      <c r="D104" s="184"/>
      <c r="E104" s="184"/>
      <c r="F104" s="184"/>
      <c r="G104" s="184"/>
      <c r="H104" s="184"/>
      <c r="I104" s="184"/>
      <c r="J104" s="184"/>
      <c r="K104" s="184"/>
      <c r="L104" s="184"/>
      <c r="M104" s="184"/>
      <c r="N104" s="184"/>
      <c r="O104" s="184"/>
      <c r="P104" s="184"/>
      <c r="Q104" s="184"/>
      <c r="R104" s="184"/>
      <c r="S104" s="184"/>
      <c r="T104" s="184"/>
      <c r="U104" s="184"/>
      <c r="V104" s="184"/>
      <c r="W104" s="184"/>
      <c r="X104" s="184"/>
      <c r="Y104" s="184"/>
      <c r="Z104" s="184"/>
      <c r="AA104" s="184"/>
      <c r="AB104" s="184"/>
      <c r="AC104" s="184"/>
    </row>
    <row r="105" spans="1:29" x14ac:dyDescent="0.35">
      <c r="A105" s="184"/>
      <c r="B105" s="184"/>
      <c r="C105" s="184"/>
      <c r="D105" s="184"/>
      <c r="E105" s="184"/>
      <c r="F105" s="184"/>
      <c r="G105" s="184"/>
      <c r="H105" s="184"/>
      <c r="I105" s="184"/>
      <c r="J105" s="184"/>
      <c r="K105" s="184"/>
      <c r="L105" s="184"/>
      <c r="M105" s="184"/>
      <c r="N105" s="184"/>
      <c r="O105" s="184"/>
      <c r="P105" s="184"/>
      <c r="Q105" s="184"/>
      <c r="R105" s="184"/>
      <c r="S105" s="184"/>
      <c r="T105" s="184"/>
      <c r="U105" s="184"/>
      <c r="V105" s="184"/>
      <c r="W105" s="184"/>
      <c r="X105" s="184"/>
      <c r="Y105" s="184"/>
      <c r="Z105" s="184"/>
      <c r="AA105" s="184"/>
      <c r="AB105" s="184"/>
      <c r="AC105" s="184"/>
    </row>
    <row r="106" spans="1:29" x14ac:dyDescent="0.35">
      <c r="A106" s="184"/>
      <c r="B106" s="184"/>
      <c r="C106" s="184"/>
      <c r="D106" s="184"/>
      <c r="E106" s="184"/>
      <c r="F106" s="184"/>
      <c r="G106" s="184"/>
      <c r="H106" s="184"/>
      <c r="I106" s="184"/>
      <c r="J106" s="184"/>
      <c r="K106" s="184"/>
      <c r="L106" s="184"/>
      <c r="M106" s="184"/>
      <c r="N106" s="184"/>
      <c r="O106" s="184"/>
      <c r="P106" s="184"/>
      <c r="Q106" s="184"/>
      <c r="R106" s="184"/>
      <c r="S106" s="184"/>
      <c r="T106" s="184"/>
      <c r="U106" s="184"/>
      <c r="V106" s="184"/>
      <c r="W106" s="184"/>
      <c r="X106" s="184"/>
      <c r="Y106" s="184"/>
      <c r="Z106" s="184"/>
      <c r="AA106" s="184"/>
      <c r="AB106" s="184"/>
      <c r="AC106" s="184"/>
    </row>
    <row r="107" spans="1:29" x14ac:dyDescent="0.35">
      <c r="A107" s="184"/>
      <c r="B107" s="184"/>
      <c r="C107" s="184"/>
      <c r="D107" s="184"/>
      <c r="E107" s="184"/>
      <c r="F107" s="184"/>
      <c r="G107" s="184"/>
      <c r="H107" s="184"/>
      <c r="I107" s="184"/>
      <c r="J107" s="184"/>
      <c r="K107" s="184"/>
      <c r="L107" s="184"/>
      <c r="M107" s="184"/>
      <c r="N107" s="184"/>
      <c r="O107" s="184"/>
      <c r="P107" s="184"/>
      <c r="Q107" s="184"/>
      <c r="R107" s="184"/>
      <c r="S107" s="184"/>
      <c r="T107" s="184"/>
      <c r="U107" s="184"/>
      <c r="V107" s="184"/>
      <c r="W107" s="184"/>
      <c r="X107" s="184"/>
      <c r="Y107" s="184"/>
      <c r="Z107" s="184"/>
      <c r="AA107" s="184"/>
      <c r="AB107" s="184"/>
      <c r="AC107" s="184"/>
    </row>
    <row r="108" spans="1:29" x14ac:dyDescent="0.35">
      <c r="A108" s="184"/>
      <c r="B108" s="184"/>
      <c r="C108" s="184"/>
      <c r="D108" s="184"/>
      <c r="E108" s="184"/>
      <c r="F108" s="184"/>
      <c r="G108" s="184"/>
      <c r="H108" s="184"/>
      <c r="I108" s="184"/>
      <c r="J108" s="184"/>
      <c r="K108" s="184"/>
      <c r="L108" s="184"/>
      <c r="M108" s="184"/>
      <c r="N108" s="184"/>
      <c r="O108" s="184"/>
      <c r="P108" s="184"/>
      <c r="Q108" s="184"/>
      <c r="R108" s="184"/>
      <c r="S108" s="184"/>
      <c r="T108" s="184"/>
      <c r="U108" s="184"/>
      <c r="V108" s="184"/>
      <c r="W108" s="184"/>
      <c r="X108" s="184"/>
      <c r="Y108" s="184"/>
      <c r="Z108" s="184"/>
      <c r="AA108" s="184"/>
      <c r="AB108" s="184"/>
      <c r="AC108" s="184"/>
    </row>
    <row r="109" spans="1:29" x14ac:dyDescent="0.35">
      <c r="A109" s="184"/>
      <c r="B109" s="184"/>
      <c r="C109" s="184"/>
      <c r="D109" s="184"/>
      <c r="E109" s="184"/>
      <c r="F109" s="184"/>
      <c r="G109" s="184"/>
      <c r="H109" s="184"/>
      <c r="I109" s="184"/>
      <c r="J109" s="184"/>
      <c r="K109" s="184"/>
      <c r="L109" s="184"/>
      <c r="M109" s="184"/>
      <c r="N109" s="184"/>
      <c r="O109" s="184"/>
      <c r="P109" s="184"/>
      <c r="Q109" s="184"/>
      <c r="R109" s="184"/>
      <c r="S109" s="184"/>
      <c r="T109" s="184"/>
      <c r="U109" s="184"/>
      <c r="V109" s="184"/>
      <c r="W109" s="184"/>
      <c r="X109" s="184"/>
      <c r="Y109" s="184"/>
      <c r="Z109" s="184"/>
      <c r="AA109" s="184"/>
      <c r="AB109" s="184"/>
      <c r="AC109" s="184"/>
    </row>
    <row r="110" spans="1:29" x14ac:dyDescent="0.35">
      <c r="A110" s="184"/>
      <c r="B110" s="184"/>
      <c r="C110" s="184"/>
      <c r="D110" s="184"/>
      <c r="E110" s="184"/>
      <c r="F110" s="184"/>
      <c r="G110" s="184"/>
      <c r="H110" s="184"/>
      <c r="I110" s="184"/>
      <c r="J110" s="184"/>
      <c r="K110" s="184"/>
      <c r="L110" s="184"/>
      <c r="M110" s="184"/>
      <c r="N110" s="184"/>
      <c r="O110" s="184"/>
      <c r="P110" s="184"/>
      <c r="Q110" s="184"/>
      <c r="R110" s="184"/>
      <c r="S110" s="184"/>
      <c r="T110" s="184"/>
      <c r="U110" s="184"/>
      <c r="V110" s="184"/>
      <c r="W110" s="184"/>
      <c r="X110" s="184"/>
      <c r="Y110" s="184"/>
      <c r="Z110" s="184"/>
      <c r="AA110" s="184"/>
      <c r="AB110" s="184"/>
      <c r="AC110" s="184"/>
    </row>
    <row r="111" spans="1:29" x14ac:dyDescent="0.35">
      <c r="A111" s="184"/>
      <c r="B111" s="184"/>
      <c r="C111" s="184"/>
      <c r="D111" s="184"/>
      <c r="E111" s="184"/>
      <c r="F111" s="184"/>
      <c r="G111" s="184"/>
      <c r="H111" s="184"/>
      <c r="I111" s="184"/>
      <c r="J111" s="184"/>
      <c r="K111" s="184"/>
      <c r="L111" s="184"/>
      <c r="M111" s="184"/>
      <c r="N111" s="184"/>
      <c r="O111" s="184"/>
      <c r="P111" s="184"/>
      <c r="Q111" s="184"/>
      <c r="R111" s="184"/>
      <c r="S111" s="184"/>
      <c r="T111" s="184"/>
      <c r="U111" s="184"/>
      <c r="V111" s="184"/>
      <c r="W111" s="184"/>
      <c r="X111" s="184"/>
      <c r="Y111" s="184"/>
      <c r="Z111" s="184"/>
      <c r="AA111" s="184"/>
      <c r="AB111" s="184"/>
      <c r="AC111" s="184"/>
    </row>
    <row r="112" spans="1:29" x14ac:dyDescent="0.35">
      <c r="A112" s="184"/>
      <c r="B112" s="184"/>
      <c r="C112" s="184"/>
      <c r="D112" s="184"/>
      <c r="E112" s="184"/>
      <c r="F112" s="184"/>
      <c r="G112" s="184"/>
      <c r="H112" s="184"/>
      <c r="I112" s="184"/>
      <c r="J112" s="184"/>
      <c r="K112" s="184"/>
      <c r="L112" s="184"/>
      <c r="M112" s="184"/>
      <c r="N112" s="184"/>
      <c r="O112" s="184"/>
      <c r="P112" s="184"/>
      <c r="Q112" s="184"/>
      <c r="R112" s="184"/>
      <c r="S112" s="184"/>
      <c r="T112" s="184"/>
      <c r="U112" s="184"/>
      <c r="V112" s="184"/>
      <c r="W112" s="184"/>
      <c r="X112" s="184"/>
      <c r="Y112" s="184"/>
      <c r="Z112" s="184"/>
      <c r="AA112" s="184"/>
      <c r="AB112" s="184"/>
      <c r="AC112" s="184"/>
    </row>
    <row r="113" spans="1:29" x14ac:dyDescent="0.35">
      <c r="A113" s="184"/>
      <c r="B113" s="184"/>
      <c r="C113" s="184"/>
      <c r="D113" s="184"/>
      <c r="E113" s="184"/>
      <c r="F113" s="184"/>
      <c r="G113" s="184"/>
      <c r="H113" s="184"/>
      <c r="I113" s="184"/>
      <c r="J113" s="184"/>
      <c r="K113" s="184"/>
      <c r="L113" s="184"/>
      <c r="M113" s="184"/>
      <c r="N113" s="184"/>
      <c r="O113" s="184"/>
      <c r="P113" s="184"/>
      <c r="Q113" s="184"/>
      <c r="R113" s="184"/>
      <c r="S113" s="184"/>
      <c r="T113" s="184"/>
      <c r="U113" s="184"/>
      <c r="V113" s="184"/>
      <c r="W113" s="184"/>
      <c r="X113" s="184"/>
      <c r="Y113" s="184"/>
      <c r="Z113" s="184"/>
      <c r="AA113" s="184"/>
      <c r="AB113" s="184"/>
      <c r="AC113" s="184"/>
    </row>
    <row r="114" spans="1:29" x14ac:dyDescent="0.35">
      <c r="A114" s="184"/>
      <c r="B114" s="184"/>
      <c r="C114" s="184"/>
      <c r="D114" s="184"/>
      <c r="E114" s="184"/>
      <c r="F114" s="184"/>
      <c r="G114" s="184"/>
      <c r="H114" s="184"/>
      <c r="I114" s="184"/>
      <c r="J114" s="184"/>
      <c r="K114" s="184"/>
      <c r="L114" s="184"/>
      <c r="M114" s="184"/>
      <c r="N114" s="184"/>
      <c r="O114" s="184"/>
      <c r="P114" s="184"/>
      <c r="Q114" s="184"/>
      <c r="R114" s="184"/>
      <c r="S114" s="184"/>
      <c r="T114" s="184"/>
      <c r="U114" s="184"/>
      <c r="V114" s="184"/>
      <c r="W114" s="184"/>
      <c r="X114" s="184"/>
      <c r="Y114" s="184"/>
      <c r="Z114" s="184"/>
      <c r="AA114" s="184"/>
      <c r="AB114" s="184"/>
      <c r="AC114" s="184"/>
    </row>
    <row r="115" spans="1:29" x14ac:dyDescent="0.35">
      <c r="A115" s="184"/>
      <c r="B115" s="184"/>
      <c r="C115" s="184"/>
      <c r="D115" s="184"/>
      <c r="E115" s="184"/>
      <c r="F115" s="184"/>
      <c r="G115" s="184"/>
      <c r="H115" s="184"/>
      <c r="I115" s="184"/>
      <c r="J115" s="184"/>
      <c r="K115" s="184"/>
      <c r="L115" s="184"/>
      <c r="M115" s="184"/>
      <c r="N115" s="184"/>
      <c r="O115" s="184"/>
      <c r="P115" s="184"/>
      <c r="Q115" s="184"/>
      <c r="R115" s="184"/>
      <c r="S115" s="184"/>
      <c r="T115" s="184"/>
      <c r="U115" s="184"/>
      <c r="V115" s="184"/>
      <c r="W115" s="184"/>
      <c r="X115" s="184"/>
      <c r="Y115" s="184"/>
      <c r="Z115" s="184"/>
      <c r="AA115" s="184"/>
      <c r="AB115" s="184"/>
      <c r="AC115" s="184"/>
    </row>
    <row r="116" spans="1:29" x14ac:dyDescent="0.35">
      <c r="A116" s="184"/>
      <c r="B116" s="184"/>
      <c r="C116" s="184"/>
      <c r="D116" s="184"/>
      <c r="E116" s="184"/>
      <c r="F116" s="184"/>
      <c r="G116" s="184"/>
      <c r="H116" s="184"/>
      <c r="I116" s="184"/>
      <c r="J116" s="184"/>
      <c r="K116" s="184"/>
      <c r="L116" s="184"/>
      <c r="M116" s="184"/>
      <c r="N116" s="184"/>
      <c r="O116" s="184"/>
      <c r="P116" s="184"/>
      <c r="Q116" s="184"/>
      <c r="R116" s="184"/>
      <c r="S116" s="184"/>
      <c r="T116" s="184"/>
      <c r="U116" s="184"/>
      <c r="V116" s="184"/>
      <c r="W116" s="184"/>
      <c r="X116" s="184"/>
      <c r="Y116" s="184"/>
      <c r="Z116" s="184"/>
      <c r="AA116" s="184"/>
      <c r="AB116" s="184"/>
      <c r="AC116" s="184"/>
    </row>
    <row r="117" spans="1:29" x14ac:dyDescent="0.35">
      <c r="A117" s="184"/>
      <c r="B117" s="184"/>
      <c r="C117" s="184"/>
      <c r="D117" s="184"/>
      <c r="E117" s="184"/>
      <c r="F117" s="184"/>
      <c r="G117" s="184"/>
      <c r="H117" s="184"/>
      <c r="I117" s="184"/>
      <c r="J117" s="184"/>
      <c r="K117" s="184"/>
      <c r="L117" s="184"/>
      <c r="M117" s="184"/>
      <c r="N117" s="184"/>
      <c r="O117" s="184"/>
      <c r="P117" s="184"/>
      <c r="Q117" s="184"/>
      <c r="R117" s="184"/>
      <c r="S117" s="184"/>
      <c r="T117" s="184"/>
      <c r="U117" s="184"/>
      <c r="V117" s="184"/>
      <c r="W117" s="184"/>
      <c r="X117" s="184"/>
      <c r="Y117" s="184"/>
      <c r="Z117" s="184"/>
      <c r="AA117" s="184"/>
      <c r="AB117" s="184"/>
      <c r="AC117" s="184"/>
    </row>
    <row r="118" spans="1:29" x14ac:dyDescent="0.35">
      <c r="A118" s="184"/>
      <c r="B118" s="184"/>
      <c r="C118" s="184"/>
      <c r="D118" s="184"/>
      <c r="E118" s="184"/>
      <c r="F118" s="184"/>
      <c r="G118" s="184"/>
      <c r="H118" s="184"/>
      <c r="I118" s="184"/>
      <c r="J118" s="184"/>
      <c r="K118" s="184"/>
      <c r="L118" s="184"/>
      <c r="M118" s="184"/>
      <c r="N118" s="184"/>
      <c r="O118" s="184"/>
      <c r="P118" s="184"/>
      <c r="Q118" s="184"/>
      <c r="R118" s="184"/>
      <c r="S118" s="184"/>
      <c r="T118" s="184"/>
      <c r="U118" s="184"/>
      <c r="V118" s="184"/>
      <c r="W118" s="184"/>
      <c r="X118" s="184"/>
      <c r="Y118" s="184"/>
      <c r="Z118" s="184"/>
      <c r="AA118" s="184"/>
      <c r="AB118" s="184"/>
      <c r="AC118" s="184"/>
    </row>
    <row r="119" spans="1:29" x14ac:dyDescent="0.35">
      <c r="A119" s="184"/>
      <c r="B119" s="184"/>
      <c r="C119" s="184"/>
      <c r="D119" s="184"/>
      <c r="E119" s="184"/>
      <c r="F119" s="184"/>
      <c r="G119" s="184"/>
      <c r="H119" s="184"/>
      <c r="I119" s="184"/>
      <c r="J119" s="184"/>
      <c r="K119" s="184"/>
      <c r="L119" s="184"/>
      <c r="M119" s="184"/>
      <c r="N119" s="184"/>
      <c r="O119" s="184"/>
      <c r="P119" s="184"/>
      <c r="Q119" s="184"/>
      <c r="R119" s="184"/>
      <c r="S119" s="184"/>
      <c r="T119" s="184"/>
      <c r="U119" s="184"/>
      <c r="V119" s="184"/>
      <c r="W119" s="184"/>
      <c r="X119" s="184"/>
      <c r="Y119" s="184"/>
      <c r="Z119" s="184"/>
      <c r="AA119" s="184"/>
      <c r="AB119" s="184"/>
      <c r="AC119" s="184"/>
    </row>
    <row r="120" spans="1:29" x14ac:dyDescent="0.35">
      <c r="A120" s="184"/>
      <c r="B120" s="184"/>
      <c r="C120" s="184"/>
      <c r="D120" s="184"/>
      <c r="E120" s="184"/>
      <c r="F120" s="184"/>
      <c r="G120" s="184"/>
      <c r="H120" s="184"/>
      <c r="I120" s="184"/>
      <c r="J120" s="184"/>
      <c r="K120" s="184"/>
      <c r="L120" s="184"/>
      <c r="M120" s="184"/>
      <c r="N120" s="184"/>
      <c r="O120" s="184"/>
      <c r="P120" s="184"/>
      <c r="Q120" s="184"/>
      <c r="R120" s="184"/>
      <c r="S120" s="184"/>
      <c r="T120" s="184"/>
      <c r="U120" s="184"/>
      <c r="V120" s="184"/>
      <c r="W120" s="184"/>
      <c r="X120" s="184"/>
      <c r="Y120" s="184"/>
      <c r="Z120" s="184"/>
      <c r="AA120" s="184"/>
      <c r="AB120" s="184"/>
      <c r="AC120" s="184"/>
    </row>
    <row r="121" spans="1:29" x14ac:dyDescent="0.35">
      <c r="A121" s="184"/>
      <c r="B121" s="184"/>
      <c r="C121" s="184"/>
      <c r="D121" s="184"/>
      <c r="E121" s="184"/>
      <c r="F121" s="184"/>
      <c r="G121" s="184"/>
      <c r="H121" s="184"/>
      <c r="I121" s="184"/>
      <c r="J121" s="184"/>
      <c r="K121" s="184"/>
      <c r="L121" s="184"/>
      <c r="M121" s="184"/>
      <c r="N121" s="184"/>
      <c r="O121" s="184"/>
      <c r="P121" s="184"/>
      <c r="Q121" s="184"/>
      <c r="R121" s="184"/>
      <c r="S121" s="184"/>
      <c r="T121" s="184"/>
      <c r="U121" s="184"/>
      <c r="V121" s="184"/>
      <c r="W121" s="184"/>
      <c r="X121" s="184"/>
      <c r="Y121" s="184"/>
      <c r="Z121" s="184"/>
      <c r="AA121" s="184"/>
      <c r="AB121" s="184"/>
      <c r="AC121" s="184"/>
    </row>
    <row r="122" spans="1:29" x14ac:dyDescent="0.35">
      <c r="A122" s="184"/>
      <c r="B122" s="184"/>
      <c r="C122" s="184"/>
      <c r="D122" s="184"/>
      <c r="E122" s="184"/>
      <c r="F122" s="184"/>
      <c r="G122" s="184"/>
      <c r="H122" s="184"/>
      <c r="I122" s="184"/>
      <c r="J122" s="184"/>
      <c r="K122" s="184"/>
      <c r="L122" s="184"/>
      <c r="M122" s="184"/>
      <c r="N122" s="184"/>
      <c r="O122" s="184"/>
      <c r="P122" s="184"/>
      <c r="Q122" s="184"/>
      <c r="R122" s="184"/>
      <c r="S122" s="184"/>
      <c r="T122" s="184"/>
      <c r="U122" s="184"/>
      <c r="V122" s="184"/>
      <c r="W122" s="184"/>
      <c r="X122" s="184"/>
      <c r="Y122" s="184"/>
      <c r="Z122" s="184"/>
      <c r="AA122" s="184"/>
      <c r="AB122" s="184"/>
      <c r="AC122" s="184"/>
    </row>
    <row r="123" spans="1:29" x14ac:dyDescent="0.35">
      <c r="A123" s="184"/>
      <c r="B123" s="184"/>
      <c r="C123" s="184"/>
      <c r="D123" s="184"/>
      <c r="E123" s="184"/>
      <c r="F123" s="184"/>
      <c r="G123" s="184"/>
      <c r="H123" s="184"/>
      <c r="I123" s="184"/>
      <c r="J123" s="184"/>
      <c r="K123" s="184"/>
      <c r="L123" s="184"/>
      <c r="M123" s="184"/>
      <c r="N123" s="184"/>
      <c r="O123" s="184"/>
      <c r="P123" s="184"/>
      <c r="Q123" s="184"/>
      <c r="R123" s="184"/>
      <c r="S123" s="184"/>
      <c r="T123" s="184"/>
      <c r="U123" s="184"/>
      <c r="V123" s="184"/>
      <c r="W123" s="184"/>
      <c r="X123" s="184"/>
      <c r="Y123" s="184"/>
      <c r="Z123" s="184"/>
      <c r="AA123" s="184"/>
      <c r="AB123" s="184"/>
      <c r="AC123" s="184"/>
    </row>
    <row r="124" spans="1:29" x14ac:dyDescent="0.35">
      <c r="A124" s="184"/>
      <c r="B124" s="184"/>
      <c r="C124" s="184"/>
      <c r="D124" s="184"/>
      <c r="E124" s="184"/>
      <c r="F124" s="184"/>
      <c r="G124" s="184"/>
      <c r="H124" s="184"/>
      <c r="I124" s="184"/>
      <c r="J124" s="184"/>
      <c r="K124" s="184"/>
      <c r="L124" s="184"/>
      <c r="M124" s="184"/>
      <c r="N124" s="184"/>
      <c r="O124" s="184"/>
      <c r="P124" s="184"/>
      <c r="Q124" s="184"/>
      <c r="R124" s="184"/>
      <c r="S124" s="184"/>
      <c r="T124" s="184"/>
      <c r="U124" s="184"/>
      <c r="V124" s="184"/>
      <c r="W124" s="184"/>
      <c r="X124" s="184"/>
      <c r="Y124" s="184"/>
      <c r="Z124" s="184"/>
      <c r="AA124" s="184"/>
      <c r="AB124" s="184"/>
      <c r="AC124" s="184"/>
    </row>
    <row r="125" spans="1:29" x14ac:dyDescent="0.35">
      <c r="A125" s="184"/>
      <c r="B125" s="184"/>
      <c r="C125" s="184"/>
      <c r="D125" s="184"/>
      <c r="E125" s="184"/>
      <c r="F125" s="184"/>
      <c r="G125" s="184"/>
      <c r="H125" s="184"/>
      <c r="I125" s="184"/>
      <c r="J125" s="184"/>
      <c r="K125" s="184"/>
      <c r="L125" s="184"/>
      <c r="M125" s="184"/>
      <c r="N125" s="184"/>
      <c r="O125" s="184"/>
      <c r="P125" s="184"/>
      <c r="Q125" s="184"/>
      <c r="R125" s="184"/>
      <c r="S125" s="184"/>
      <c r="T125" s="184"/>
      <c r="U125" s="184"/>
      <c r="V125" s="184"/>
      <c r="W125" s="184"/>
      <c r="X125" s="184"/>
      <c r="Y125" s="184"/>
      <c r="Z125" s="184"/>
      <c r="AA125" s="184"/>
      <c r="AB125" s="184"/>
      <c r="AC125" s="184"/>
    </row>
    <row r="126" spans="1:29" x14ac:dyDescent="0.35">
      <c r="A126" s="184"/>
      <c r="B126" s="184"/>
      <c r="C126" s="184"/>
      <c r="D126" s="184"/>
      <c r="E126" s="184"/>
      <c r="F126" s="184"/>
      <c r="G126" s="184"/>
      <c r="H126" s="184"/>
      <c r="I126" s="184"/>
      <c r="J126" s="184"/>
      <c r="K126" s="184"/>
      <c r="L126" s="184"/>
      <c r="M126" s="184"/>
      <c r="N126" s="184"/>
      <c r="O126" s="184"/>
      <c r="P126" s="184"/>
      <c r="Q126" s="184"/>
      <c r="R126" s="184"/>
      <c r="S126" s="184"/>
      <c r="T126" s="184"/>
      <c r="U126" s="184"/>
      <c r="V126" s="184"/>
      <c r="W126" s="184"/>
      <c r="X126" s="184"/>
      <c r="Y126" s="184"/>
      <c r="Z126" s="184"/>
      <c r="AA126" s="184"/>
      <c r="AB126" s="184"/>
      <c r="AC126" s="184"/>
    </row>
    <row r="127" spans="1:29" x14ac:dyDescent="0.35">
      <c r="A127" s="184"/>
      <c r="B127" s="184"/>
      <c r="C127" s="184"/>
      <c r="D127" s="184"/>
      <c r="E127" s="184"/>
      <c r="F127" s="184"/>
      <c r="G127" s="184"/>
      <c r="H127" s="184"/>
      <c r="I127" s="184"/>
      <c r="J127" s="184"/>
      <c r="K127" s="184"/>
      <c r="L127" s="184"/>
      <c r="M127" s="184"/>
      <c r="N127" s="184"/>
      <c r="O127" s="184"/>
      <c r="P127" s="184"/>
      <c r="Q127" s="184"/>
      <c r="R127" s="184"/>
      <c r="S127" s="184"/>
      <c r="T127" s="184"/>
      <c r="U127" s="184"/>
      <c r="V127" s="184"/>
      <c r="W127" s="184"/>
      <c r="X127" s="184"/>
      <c r="Y127" s="184"/>
      <c r="Z127" s="184"/>
      <c r="AA127" s="184"/>
      <c r="AB127" s="184"/>
      <c r="AC127" s="184"/>
    </row>
    <row r="128" spans="1:29" x14ac:dyDescent="0.35">
      <c r="A128" s="184"/>
      <c r="B128" s="184"/>
      <c r="C128" s="184"/>
      <c r="D128" s="184"/>
      <c r="E128" s="184"/>
      <c r="F128" s="184"/>
      <c r="G128" s="184"/>
      <c r="H128" s="184"/>
      <c r="I128" s="184"/>
      <c r="J128" s="184"/>
      <c r="K128" s="184"/>
      <c r="L128" s="184"/>
      <c r="M128" s="184"/>
      <c r="N128" s="184"/>
      <c r="O128" s="184"/>
      <c r="P128" s="184"/>
      <c r="Q128" s="184"/>
      <c r="R128" s="184"/>
      <c r="S128" s="184"/>
      <c r="T128" s="184"/>
      <c r="U128" s="184"/>
      <c r="V128" s="184"/>
      <c r="W128" s="184"/>
      <c r="X128" s="184"/>
      <c r="Y128" s="184"/>
      <c r="Z128" s="184"/>
      <c r="AA128" s="184"/>
      <c r="AB128" s="184"/>
      <c r="AC128" s="184"/>
    </row>
    <row r="129" spans="1:29" x14ac:dyDescent="0.35">
      <c r="A129" s="184"/>
      <c r="B129" s="184"/>
      <c r="C129" s="184"/>
      <c r="D129" s="184"/>
      <c r="E129" s="184"/>
      <c r="F129" s="184"/>
      <c r="G129" s="184"/>
      <c r="H129" s="184"/>
      <c r="I129" s="184"/>
      <c r="J129" s="184"/>
      <c r="K129" s="184"/>
      <c r="L129" s="184"/>
      <c r="M129" s="184"/>
      <c r="N129" s="184"/>
      <c r="O129" s="184"/>
      <c r="P129" s="184"/>
      <c r="Q129" s="184"/>
      <c r="R129" s="184"/>
      <c r="S129" s="184"/>
      <c r="T129" s="184"/>
      <c r="U129" s="184"/>
      <c r="V129" s="184"/>
      <c r="W129" s="184"/>
      <c r="X129" s="184"/>
      <c r="Y129" s="184"/>
      <c r="Z129" s="184"/>
      <c r="AA129" s="184"/>
      <c r="AB129" s="184"/>
      <c r="AC129" s="184"/>
    </row>
    <row r="130" spans="1:29" x14ac:dyDescent="0.35">
      <c r="A130" s="184"/>
      <c r="B130" s="184"/>
      <c r="C130" s="184"/>
      <c r="D130" s="184"/>
      <c r="E130" s="184"/>
      <c r="F130" s="184"/>
      <c r="G130" s="184"/>
      <c r="H130" s="184"/>
      <c r="I130" s="184"/>
      <c r="J130" s="184"/>
      <c r="K130" s="184"/>
      <c r="L130" s="184"/>
      <c r="M130" s="184"/>
      <c r="N130" s="184"/>
      <c r="O130" s="184"/>
      <c r="P130" s="184"/>
      <c r="Q130" s="184"/>
      <c r="R130" s="184"/>
      <c r="S130" s="184"/>
      <c r="T130" s="184"/>
      <c r="U130" s="184"/>
      <c r="V130" s="184"/>
      <c r="W130" s="184"/>
      <c r="X130" s="184"/>
      <c r="Y130" s="184"/>
      <c r="Z130" s="184"/>
      <c r="AA130" s="184"/>
      <c r="AB130" s="184"/>
      <c r="AC130" s="184"/>
    </row>
    <row r="131" spans="1:29" x14ac:dyDescent="0.35">
      <c r="A131" s="184"/>
      <c r="B131" s="184"/>
      <c r="C131" s="184"/>
      <c r="D131" s="184"/>
      <c r="E131" s="184"/>
      <c r="F131" s="184"/>
      <c r="G131" s="184"/>
      <c r="H131" s="184"/>
      <c r="I131" s="184"/>
      <c r="J131" s="184"/>
      <c r="K131" s="184"/>
      <c r="L131" s="184"/>
      <c r="M131" s="184"/>
      <c r="N131" s="184"/>
      <c r="O131" s="184"/>
      <c r="P131" s="184"/>
      <c r="Q131" s="184"/>
      <c r="R131" s="184"/>
      <c r="S131" s="184"/>
      <c r="T131" s="184"/>
      <c r="U131" s="184"/>
      <c r="V131" s="184"/>
      <c r="W131" s="184"/>
      <c r="X131" s="184"/>
      <c r="Y131" s="184"/>
      <c r="Z131" s="184"/>
      <c r="AA131" s="184"/>
      <c r="AB131" s="184"/>
      <c r="AC131" s="184"/>
    </row>
    <row r="132" spans="1:29" x14ac:dyDescent="0.35">
      <c r="A132" s="184"/>
      <c r="B132" s="184"/>
      <c r="C132" s="184"/>
      <c r="D132" s="184"/>
      <c r="E132" s="184"/>
      <c r="F132" s="184"/>
      <c r="G132" s="184"/>
      <c r="H132" s="184"/>
      <c r="I132" s="184"/>
      <c r="J132" s="184"/>
      <c r="K132" s="184"/>
      <c r="L132" s="184"/>
      <c r="M132" s="184"/>
      <c r="N132" s="184"/>
      <c r="O132" s="184"/>
      <c r="P132" s="184"/>
      <c r="Q132" s="184"/>
      <c r="R132" s="184"/>
      <c r="S132" s="184"/>
      <c r="T132" s="184"/>
      <c r="U132" s="184"/>
      <c r="V132" s="184"/>
      <c r="W132" s="184"/>
      <c r="X132" s="184"/>
      <c r="Y132" s="184"/>
      <c r="Z132" s="184"/>
      <c r="AA132" s="184"/>
      <c r="AB132" s="184"/>
      <c r="AC132" s="184"/>
    </row>
    <row r="133" spans="1:29" x14ac:dyDescent="0.35">
      <c r="A133" s="184"/>
      <c r="B133" s="184"/>
      <c r="C133" s="184"/>
      <c r="D133" s="184"/>
      <c r="E133" s="184"/>
      <c r="F133" s="184"/>
      <c r="G133" s="184"/>
      <c r="H133" s="184"/>
      <c r="I133" s="184"/>
      <c r="J133" s="184"/>
      <c r="K133" s="184"/>
      <c r="L133" s="184"/>
      <c r="M133" s="184"/>
      <c r="N133" s="184"/>
      <c r="O133" s="184"/>
      <c r="P133" s="184"/>
      <c r="Q133" s="184"/>
      <c r="R133" s="184"/>
      <c r="S133" s="184"/>
      <c r="T133" s="184"/>
      <c r="U133" s="184"/>
      <c r="V133" s="184"/>
      <c r="W133" s="184"/>
      <c r="X133" s="184"/>
      <c r="Y133" s="184"/>
      <c r="Z133" s="184"/>
      <c r="AA133" s="184"/>
      <c r="AB133" s="184"/>
      <c r="AC133" s="184"/>
    </row>
    <row r="134" spans="1:29" x14ac:dyDescent="0.35">
      <c r="A134" s="184"/>
      <c r="B134" s="184"/>
      <c r="C134" s="184"/>
      <c r="D134" s="184"/>
      <c r="E134" s="184"/>
      <c r="F134" s="184"/>
      <c r="G134" s="184"/>
      <c r="H134" s="184"/>
      <c r="I134" s="184"/>
      <c r="J134" s="184"/>
      <c r="K134" s="184"/>
      <c r="L134" s="184"/>
      <c r="M134" s="184"/>
      <c r="N134" s="184"/>
      <c r="O134" s="184"/>
      <c r="P134" s="184"/>
      <c r="Q134" s="184"/>
      <c r="R134" s="184"/>
      <c r="S134" s="184"/>
      <c r="T134" s="184"/>
      <c r="U134" s="184"/>
      <c r="V134" s="184"/>
      <c r="W134" s="184"/>
      <c r="X134" s="184"/>
      <c r="Y134" s="184"/>
      <c r="Z134" s="184"/>
      <c r="AA134" s="184"/>
      <c r="AB134" s="184"/>
      <c r="AC134" s="184"/>
    </row>
    <row r="135" spans="1:29" x14ac:dyDescent="0.35">
      <c r="A135" s="184"/>
      <c r="B135" s="184"/>
      <c r="C135" s="184"/>
      <c r="D135" s="184"/>
      <c r="E135" s="184"/>
      <c r="F135" s="184"/>
      <c r="G135" s="184"/>
      <c r="H135" s="184"/>
      <c r="I135" s="184"/>
      <c r="J135" s="184"/>
      <c r="K135" s="184"/>
      <c r="L135" s="184"/>
      <c r="M135" s="184"/>
      <c r="N135" s="184"/>
      <c r="O135" s="184"/>
      <c r="P135" s="184"/>
      <c r="Q135" s="184"/>
      <c r="R135" s="184"/>
      <c r="S135" s="184"/>
      <c r="T135" s="184"/>
      <c r="U135" s="184"/>
      <c r="V135" s="184"/>
      <c r="W135" s="184"/>
      <c r="X135" s="184"/>
      <c r="Y135" s="184"/>
      <c r="Z135" s="184"/>
      <c r="AA135" s="184"/>
      <c r="AB135" s="184"/>
      <c r="AC135" s="184"/>
    </row>
    <row r="136" spans="1:29" x14ac:dyDescent="0.35">
      <c r="A136" s="184"/>
      <c r="B136" s="184"/>
      <c r="C136" s="184"/>
      <c r="D136" s="184"/>
      <c r="E136" s="184"/>
      <c r="F136" s="184"/>
      <c r="G136" s="184"/>
      <c r="H136" s="184"/>
      <c r="I136" s="184"/>
      <c r="J136" s="184"/>
      <c r="K136" s="184"/>
      <c r="L136" s="184"/>
      <c r="M136" s="184"/>
      <c r="N136" s="184"/>
      <c r="O136" s="184"/>
      <c r="P136" s="184"/>
      <c r="Q136" s="184"/>
      <c r="R136" s="184"/>
      <c r="S136" s="184"/>
      <c r="T136" s="184"/>
      <c r="U136" s="184"/>
      <c r="V136" s="184"/>
      <c r="W136" s="184"/>
      <c r="X136" s="184"/>
      <c r="Y136" s="184"/>
      <c r="Z136" s="184"/>
      <c r="AA136" s="184"/>
      <c r="AB136" s="184"/>
      <c r="AC136" s="184"/>
    </row>
    <row r="137" spans="1:29" x14ac:dyDescent="0.35">
      <c r="A137" s="184"/>
      <c r="B137" s="184"/>
      <c r="C137" s="184"/>
      <c r="D137" s="184"/>
      <c r="E137" s="184"/>
      <c r="F137" s="184"/>
      <c r="G137" s="184"/>
      <c r="H137" s="184"/>
      <c r="I137" s="184"/>
      <c r="J137" s="184"/>
      <c r="K137" s="184"/>
      <c r="L137" s="184"/>
      <c r="M137" s="184"/>
      <c r="N137" s="184"/>
      <c r="O137" s="184"/>
      <c r="P137" s="184"/>
      <c r="Q137" s="184"/>
      <c r="R137" s="184"/>
      <c r="S137" s="184"/>
      <c r="T137" s="184"/>
      <c r="U137" s="184"/>
      <c r="V137" s="184"/>
      <c r="W137" s="184"/>
      <c r="X137" s="184"/>
      <c r="Y137" s="184"/>
      <c r="Z137" s="184"/>
      <c r="AA137" s="184"/>
      <c r="AB137" s="184"/>
      <c r="AC137" s="184"/>
    </row>
    <row r="138" spans="1:29" x14ac:dyDescent="0.35">
      <c r="A138" s="184"/>
      <c r="B138" s="184"/>
      <c r="C138" s="184"/>
      <c r="D138" s="184"/>
      <c r="E138" s="184"/>
      <c r="F138" s="184"/>
      <c r="G138" s="184"/>
      <c r="H138" s="184"/>
      <c r="I138" s="184"/>
      <c r="J138" s="184"/>
      <c r="K138" s="184"/>
      <c r="L138" s="184"/>
      <c r="M138" s="184"/>
      <c r="N138" s="184"/>
      <c r="O138" s="184"/>
      <c r="P138" s="184"/>
      <c r="Q138" s="184"/>
      <c r="R138" s="184"/>
      <c r="S138" s="184"/>
      <c r="T138" s="184"/>
      <c r="U138" s="184"/>
      <c r="V138" s="184"/>
      <c r="W138" s="184"/>
      <c r="X138" s="184"/>
      <c r="Y138" s="184"/>
      <c r="Z138" s="184"/>
      <c r="AA138" s="184"/>
      <c r="AB138" s="184"/>
      <c r="AC138" s="184"/>
    </row>
    <row r="139" spans="1:29" x14ac:dyDescent="0.35">
      <c r="A139" s="184"/>
      <c r="B139" s="184"/>
      <c r="C139" s="184"/>
      <c r="D139" s="184"/>
      <c r="E139" s="184"/>
      <c r="F139" s="184"/>
      <c r="G139" s="184"/>
      <c r="H139" s="184"/>
      <c r="I139" s="184"/>
      <c r="J139" s="184"/>
      <c r="K139" s="184"/>
      <c r="L139" s="184"/>
      <c r="M139" s="184"/>
      <c r="N139" s="184"/>
      <c r="O139" s="184"/>
      <c r="P139" s="184"/>
      <c r="Q139" s="184"/>
      <c r="R139" s="184"/>
      <c r="S139" s="184"/>
      <c r="T139" s="184"/>
      <c r="U139" s="184"/>
      <c r="V139" s="184"/>
      <c r="W139" s="184"/>
      <c r="X139" s="184"/>
      <c r="Y139" s="184"/>
      <c r="Z139" s="184"/>
      <c r="AA139" s="184"/>
      <c r="AB139" s="184"/>
      <c r="AC139" s="184"/>
    </row>
    <row r="140" spans="1:29" x14ac:dyDescent="0.35">
      <c r="A140" s="184"/>
      <c r="B140" s="184"/>
      <c r="C140" s="184"/>
      <c r="D140" s="184"/>
      <c r="E140" s="184"/>
      <c r="F140" s="184"/>
      <c r="G140" s="184"/>
      <c r="H140" s="184"/>
      <c r="I140" s="184"/>
      <c r="J140" s="184"/>
      <c r="K140" s="184"/>
      <c r="L140" s="184"/>
      <c r="M140" s="184"/>
      <c r="N140" s="184"/>
      <c r="O140" s="184"/>
      <c r="P140" s="184"/>
      <c r="Q140" s="184"/>
      <c r="R140" s="184"/>
      <c r="S140" s="184"/>
      <c r="T140" s="184"/>
      <c r="U140" s="184"/>
      <c r="V140" s="184"/>
      <c r="W140" s="184"/>
      <c r="X140" s="184"/>
      <c r="Y140" s="184"/>
      <c r="Z140" s="184"/>
      <c r="AA140" s="184"/>
      <c r="AB140" s="184"/>
      <c r="AC140" s="184"/>
    </row>
    <row r="141" spans="1:29" x14ac:dyDescent="0.35">
      <c r="A141" s="184"/>
      <c r="B141" s="184"/>
      <c r="C141" s="184"/>
      <c r="D141" s="184"/>
      <c r="E141" s="184"/>
      <c r="F141" s="184"/>
      <c r="G141" s="184"/>
      <c r="H141" s="184"/>
      <c r="I141" s="184"/>
      <c r="J141" s="184"/>
      <c r="K141" s="184"/>
      <c r="L141" s="184"/>
      <c r="M141" s="184"/>
      <c r="N141" s="184"/>
      <c r="O141" s="184"/>
      <c r="P141" s="184"/>
      <c r="Q141" s="184"/>
      <c r="R141" s="184"/>
      <c r="S141" s="184"/>
      <c r="T141" s="184"/>
      <c r="U141" s="184"/>
      <c r="V141" s="184"/>
      <c r="W141" s="184"/>
      <c r="X141" s="184"/>
      <c r="Y141" s="184"/>
      <c r="Z141" s="184"/>
      <c r="AA141" s="184"/>
      <c r="AB141" s="184"/>
      <c r="AC141" s="184"/>
    </row>
    <row r="142" spans="1:29" x14ac:dyDescent="0.35">
      <c r="A142" s="184"/>
      <c r="B142" s="184"/>
      <c r="C142" s="184"/>
      <c r="D142" s="184"/>
      <c r="E142" s="184"/>
      <c r="F142" s="184"/>
      <c r="G142" s="184"/>
      <c r="H142" s="184"/>
      <c r="I142" s="184"/>
      <c r="J142" s="184"/>
      <c r="K142" s="184"/>
      <c r="L142" s="184"/>
      <c r="M142" s="184"/>
      <c r="N142" s="184"/>
      <c r="O142" s="184"/>
      <c r="P142" s="184"/>
      <c r="Q142" s="184"/>
      <c r="R142" s="184"/>
      <c r="S142" s="184"/>
      <c r="T142" s="184"/>
      <c r="U142" s="184"/>
      <c r="V142" s="184"/>
      <c r="W142" s="184"/>
      <c r="X142" s="184"/>
      <c r="Y142" s="184"/>
      <c r="Z142" s="184"/>
      <c r="AA142" s="184"/>
      <c r="AB142" s="184"/>
      <c r="AC142" s="184"/>
    </row>
  </sheetData>
  <mergeCells count="27">
    <mergeCell ref="A2:I2"/>
    <mergeCell ref="A4:I4"/>
    <mergeCell ref="A6:A7"/>
    <mergeCell ref="B6:B7"/>
    <mergeCell ref="C6:C7"/>
    <mergeCell ref="D6:D7"/>
    <mergeCell ref="E6:E7"/>
    <mergeCell ref="G6:G7"/>
    <mergeCell ref="H6:H7"/>
    <mergeCell ref="A14:A16"/>
    <mergeCell ref="B14:G14"/>
    <mergeCell ref="H14:I14"/>
    <mergeCell ref="B15:B16"/>
    <mergeCell ref="C15:C16"/>
    <mergeCell ref="D15:D16"/>
    <mergeCell ref="E15:E16"/>
    <mergeCell ref="G15:G16"/>
    <mergeCell ref="H15:H16"/>
    <mergeCell ref="I15:I16"/>
    <mergeCell ref="B64:I64"/>
    <mergeCell ref="B70:I70"/>
    <mergeCell ref="B17:I17"/>
    <mergeCell ref="B28:I28"/>
    <mergeCell ref="B39:I39"/>
    <mergeCell ref="B44:I44"/>
    <mergeCell ref="B53:I53"/>
    <mergeCell ref="B61:I6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60"/>
  <sheetViews>
    <sheetView workbookViewId="0">
      <selection activeCell="B18" sqref="B18"/>
    </sheetView>
  </sheetViews>
  <sheetFormatPr baseColWidth="10" defaultColWidth="11.453125" defaultRowHeight="15.5" x14ac:dyDescent="0.35"/>
  <cols>
    <col min="1" max="1" width="24.453125" style="185" customWidth="1"/>
    <col min="2" max="28" width="15.6328125" style="185" customWidth="1"/>
    <col min="29" max="256" width="11.453125" style="185"/>
    <col min="257" max="257" width="24.453125" style="185" customWidth="1"/>
    <col min="258" max="284" width="15.6328125" style="185" customWidth="1"/>
    <col min="285" max="512" width="11.453125" style="185"/>
    <col min="513" max="513" width="24.453125" style="185" customWidth="1"/>
    <col min="514" max="540" width="15.6328125" style="185" customWidth="1"/>
    <col min="541" max="768" width="11.453125" style="185"/>
    <col min="769" max="769" width="24.453125" style="185" customWidth="1"/>
    <col min="770" max="796" width="15.6328125" style="185" customWidth="1"/>
    <col min="797" max="1024" width="11.453125" style="185"/>
    <col min="1025" max="1025" width="24.453125" style="185" customWidth="1"/>
    <col min="1026" max="1052" width="15.6328125" style="185" customWidth="1"/>
    <col min="1053" max="1280" width="11.453125" style="185"/>
    <col min="1281" max="1281" width="24.453125" style="185" customWidth="1"/>
    <col min="1282" max="1308" width="15.6328125" style="185" customWidth="1"/>
    <col min="1309" max="1536" width="11.453125" style="185"/>
    <col min="1537" max="1537" width="24.453125" style="185" customWidth="1"/>
    <col min="1538" max="1564" width="15.6328125" style="185" customWidth="1"/>
    <col min="1565" max="1792" width="11.453125" style="185"/>
    <col min="1793" max="1793" width="24.453125" style="185" customWidth="1"/>
    <col min="1794" max="1820" width="15.6328125" style="185" customWidth="1"/>
    <col min="1821" max="2048" width="11.453125" style="185"/>
    <col min="2049" max="2049" width="24.453125" style="185" customWidth="1"/>
    <col min="2050" max="2076" width="15.6328125" style="185" customWidth="1"/>
    <col min="2077" max="2304" width="11.453125" style="185"/>
    <col min="2305" max="2305" width="24.453125" style="185" customWidth="1"/>
    <col min="2306" max="2332" width="15.6328125" style="185" customWidth="1"/>
    <col min="2333" max="2560" width="11.453125" style="185"/>
    <col min="2561" max="2561" width="24.453125" style="185" customWidth="1"/>
    <col min="2562" max="2588" width="15.6328125" style="185" customWidth="1"/>
    <col min="2589" max="2816" width="11.453125" style="185"/>
    <col min="2817" max="2817" width="24.453125" style="185" customWidth="1"/>
    <col min="2818" max="2844" width="15.6328125" style="185" customWidth="1"/>
    <col min="2845" max="3072" width="11.453125" style="185"/>
    <col min="3073" max="3073" width="24.453125" style="185" customWidth="1"/>
    <col min="3074" max="3100" width="15.6328125" style="185" customWidth="1"/>
    <col min="3101" max="3328" width="11.453125" style="185"/>
    <col min="3329" max="3329" width="24.453125" style="185" customWidth="1"/>
    <col min="3330" max="3356" width="15.6328125" style="185" customWidth="1"/>
    <col min="3357" max="3584" width="11.453125" style="185"/>
    <col min="3585" max="3585" width="24.453125" style="185" customWidth="1"/>
    <col min="3586" max="3612" width="15.6328125" style="185" customWidth="1"/>
    <col min="3613" max="3840" width="11.453125" style="185"/>
    <col min="3841" max="3841" width="24.453125" style="185" customWidth="1"/>
    <col min="3842" max="3868" width="15.6328125" style="185" customWidth="1"/>
    <col min="3869" max="4096" width="11.453125" style="185"/>
    <col min="4097" max="4097" width="24.453125" style="185" customWidth="1"/>
    <col min="4098" max="4124" width="15.6328125" style="185" customWidth="1"/>
    <col min="4125" max="4352" width="11.453125" style="185"/>
    <col min="4353" max="4353" width="24.453125" style="185" customWidth="1"/>
    <col min="4354" max="4380" width="15.6328125" style="185" customWidth="1"/>
    <col min="4381" max="4608" width="11.453125" style="185"/>
    <col min="4609" max="4609" width="24.453125" style="185" customWidth="1"/>
    <col min="4610" max="4636" width="15.6328125" style="185" customWidth="1"/>
    <col min="4637" max="4864" width="11.453125" style="185"/>
    <col min="4865" max="4865" width="24.453125" style="185" customWidth="1"/>
    <col min="4866" max="4892" width="15.6328125" style="185" customWidth="1"/>
    <col min="4893" max="5120" width="11.453125" style="185"/>
    <col min="5121" max="5121" width="24.453125" style="185" customWidth="1"/>
    <col min="5122" max="5148" width="15.6328125" style="185" customWidth="1"/>
    <col min="5149" max="5376" width="11.453125" style="185"/>
    <col min="5377" max="5377" width="24.453125" style="185" customWidth="1"/>
    <col min="5378" max="5404" width="15.6328125" style="185" customWidth="1"/>
    <col min="5405" max="5632" width="11.453125" style="185"/>
    <col min="5633" max="5633" width="24.453125" style="185" customWidth="1"/>
    <col min="5634" max="5660" width="15.6328125" style="185" customWidth="1"/>
    <col min="5661" max="5888" width="11.453125" style="185"/>
    <col min="5889" max="5889" width="24.453125" style="185" customWidth="1"/>
    <col min="5890" max="5916" width="15.6328125" style="185" customWidth="1"/>
    <col min="5917" max="6144" width="11.453125" style="185"/>
    <col min="6145" max="6145" width="24.453125" style="185" customWidth="1"/>
    <col min="6146" max="6172" width="15.6328125" style="185" customWidth="1"/>
    <col min="6173" max="6400" width="11.453125" style="185"/>
    <col min="6401" max="6401" width="24.453125" style="185" customWidth="1"/>
    <col min="6402" max="6428" width="15.6328125" style="185" customWidth="1"/>
    <col min="6429" max="6656" width="11.453125" style="185"/>
    <col min="6657" max="6657" width="24.453125" style="185" customWidth="1"/>
    <col min="6658" max="6684" width="15.6328125" style="185" customWidth="1"/>
    <col min="6685" max="6912" width="11.453125" style="185"/>
    <col min="6913" max="6913" width="24.453125" style="185" customWidth="1"/>
    <col min="6914" max="6940" width="15.6328125" style="185" customWidth="1"/>
    <col min="6941" max="7168" width="11.453125" style="185"/>
    <col min="7169" max="7169" width="24.453125" style="185" customWidth="1"/>
    <col min="7170" max="7196" width="15.6328125" style="185" customWidth="1"/>
    <col min="7197" max="7424" width="11.453125" style="185"/>
    <col min="7425" max="7425" width="24.453125" style="185" customWidth="1"/>
    <col min="7426" max="7452" width="15.6328125" style="185" customWidth="1"/>
    <col min="7453" max="7680" width="11.453125" style="185"/>
    <col min="7681" max="7681" width="24.453125" style="185" customWidth="1"/>
    <col min="7682" max="7708" width="15.6328125" style="185" customWidth="1"/>
    <col min="7709" max="7936" width="11.453125" style="185"/>
    <col min="7937" max="7937" width="24.453125" style="185" customWidth="1"/>
    <col min="7938" max="7964" width="15.6328125" style="185" customWidth="1"/>
    <col min="7965" max="8192" width="11.453125" style="185"/>
    <col min="8193" max="8193" width="24.453125" style="185" customWidth="1"/>
    <col min="8194" max="8220" width="15.6328125" style="185" customWidth="1"/>
    <col min="8221" max="8448" width="11.453125" style="185"/>
    <col min="8449" max="8449" width="24.453125" style="185" customWidth="1"/>
    <col min="8450" max="8476" width="15.6328125" style="185" customWidth="1"/>
    <col min="8477" max="8704" width="11.453125" style="185"/>
    <col min="8705" max="8705" width="24.453125" style="185" customWidth="1"/>
    <col min="8706" max="8732" width="15.6328125" style="185" customWidth="1"/>
    <col min="8733" max="8960" width="11.453125" style="185"/>
    <col min="8961" max="8961" width="24.453125" style="185" customWidth="1"/>
    <col min="8962" max="8988" width="15.6328125" style="185" customWidth="1"/>
    <col min="8989" max="9216" width="11.453125" style="185"/>
    <col min="9217" max="9217" width="24.453125" style="185" customWidth="1"/>
    <col min="9218" max="9244" width="15.6328125" style="185" customWidth="1"/>
    <col min="9245" max="9472" width="11.453125" style="185"/>
    <col min="9473" max="9473" width="24.453125" style="185" customWidth="1"/>
    <col min="9474" max="9500" width="15.6328125" style="185" customWidth="1"/>
    <col min="9501" max="9728" width="11.453125" style="185"/>
    <col min="9729" max="9729" width="24.453125" style="185" customWidth="1"/>
    <col min="9730" max="9756" width="15.6328125" style="185" customWidth="1"/>
    <col min="9757" max="9984" width="11.453125" style="185"/>
    <col min="9985" max="9985" width="24.453125" style="185" customWidth="1"/>
    <col min="9986" max="10012" width="15.6328125" style="185" customWidth="1"/>
    <col min="10013" max="10240" width="11.453125" style="185"/>
    <col min="10241" max="10241" width="24.453125" style="185" customWidth="1"/>
    <col min="10242" max="10268" width="15.6328125" style="185" customWidth="1"/>
    <col min="10269" max="10496" width="11.453125" style="185"/>
    <col min="10497" max="10497" width="24.453125" style="185" customWidth="1"/>
    <col min="10498" max="10524" width="15.6328125" style="185" customWidth="1"/>
    <col min="10525" max="10752" width="11.453125" style="185"/>
    <col min="10753" max="10753" width="24.453125" style="185" customWidth="1"/>
    <col min="10754" max="10780" width="15.6328125" style="185" customWidth="1"/>
    <col min="10781" max="11008" width="11.453125" style="185"/>
    <col min="11009" max="11009" width="24.453125" style="185" customWidth="1"/>
    <col min="11010" max="11036" width="15.6328125" style="185" customWidth="1"/>
    <col min="11037" max="11264" width="11.453125" style="185"/>
    <col min="11265" max="11265" width="24.453125" style="185" customWidth="1"/>
    <col min="11266" max="11292" width="15.6328125" style="185" customWidth="1"/>
    <col min="11293" max="11520" width="11.453125" style="185"/>
    <col min="11521" max="11521" width="24.453125" style="185" customWidth="1"/>
    <col min="11522" max="11548" width="15.6328125" style="185" customWidth="1"/>
    <col min="11549" max="11776" width="11.453125" style="185"/>
    <col min="11777" max="11777" width="24.453125" style="185" customWidth="1"/>
    <col min="11778" max="11804" width="15.6328125" style="185" customWidth="1"/>
    <col min="11805" max="12032" width="11.453125" style="185"/>
    <col min="12033" max="12033" width="24.453125" style="185" customWidth="1"/>
    <col min="12034" max="12060" width="15.6328125" style="185" customWidth="1"/>
    <col min="12061" max="12288" width="11.453125" style="185"/>
    <col min="12289" max="12289" width="24.453125" style="185" customWidth="1"/>
    <col min="12290" max="12316" width="15.6328125" style="185" customWidth="1"/>
    <col min="12317" max="12544" width="11.453125" style="185"/>
    <col min="12545" max="12545" width="24.453125" style="185" customWidth="1"/>
    <col min="12546" max="12572" width="15.6328125" style="185" customWidth="1"/>
    <col min="12573" max="12800" width="11.453125" style="185"/>
    <col min="12801" max="12801" width="24.453125" style="185" customWidth="1"/>
    <col min="12802" max="12828" width="15.6328125" style="185" customWidth="1"/>
    <col min="12829" max="13056" width="11.453125" style="185"/>
    <col min="13057" max="13057" width="24.453125" style="185" customWidth="1"/>
    <col min="13058" max="13084" width="15.6328125" style="185" customWidth="1"/>
    <col min="13085" max="13312" width="11.453125" style="185"/>
    <col min="13313" max="13313" width="24.453125" style="185" customWidth="1"/>
    <col min="13314" max="13340" width="15.6328125" style="185" customWidth="1"/>
    <col min="13341" max="13568" width="11.453125" style="185"/>
    <col min="13569" max="13569" width="24.453125" style="185" customWidth="1"/>
    <col min="13570" max="13596" width="15.6328125" style="185" customWidth="1"/>
    <col min="13597" max="13824" width="11.453125" style="185"/>
    <col min="13825" max="13825" width="24.453125" style="185" customWidth="1"/>
    <col min="13826" max="13852" width="15.6328125" style="185" customWidth="1"/>
    <col min="13853" max="14080" width="11.453125" style="185"/>
    <col min="14081" max="14081" width="24.453125" style="185" customWidth="1"/>
    <col min="14082" max="14108" width="15.6328125" style="185" customWidth="1"/>
    <col min="14109" max="14336" width="11.453125" style="185"/>
    <col min="14337" max="14337" width="24.453125" style="185" customWidth="1"/>
    <col min="14338" max="14364" width="15.6328125" style="185" customWidth="1"/>
    <col min="14365" max="14592" width="11.453125" style="185"/>
    <col min="14593" max="14593" width="24.453125" style="185" customWidth="1"/>
    <col min="14594" max="14620" width="15.6328125" style="185" customWidth="1"/>
    <col min="14621" max="14848" width="11.453125" style="185"/>
    <col min="14849" max="14849" width="24.453125" style="185" customWidth="1"/>
    <col min="14850" max="14876" width="15.6328125" style="185" customWidth="1"/>
    <col min="14877" max="15104" width="11.453125" style="185"/>
    <col min="15105" max="15105" width="24.453125" style="185" customWidth="1"/>
    <col min="15106" max="15132" width="15.6328125" style="185" customWidth="1"/>
    <col min="15133" max="15360" width="11.453125" style="185"/>
    <col min="15361" max="15361" width="24.453125" style="185" customWidth="1"/>
    <col min="15362" max="15388" width="15.6328125" style="185" customWidth="1"/>
    <col min="15389" max="15616" width="11.453125" style="185"/>
    <col min="15617" max="15617" width="24.453125" style="185" customWidth="1"/>
    <col min="15618" max="15644" width="15.6328125" style="185" customWidth="1"/>
    <col min="15645" max="15872" width="11.453125" style="185"/>
    <col min="15873" max="15873" width="24.453125" style="185" customWidth="1"/>
    <col min="15874" max="15900" width="15.6328125" style="185" customWidth="1"/>
    <col min="15901" max="16128" width="11.453125" style="185"/>
    <col min="16129" max="16129" width="24.453125" style="185" customWidth="1"/>
    <col min="16130" max="16156" width="15.6328125" style="185" customWidth="1"/>
    <col min="16157" max="16384" width="11.453125" style="185"/>
  </cols>
  <sheetData>
    <row r="1" spans="1:18" ht="34.5" customHeight="1" x14ac:dyDescent="0.55000000000000004">
      <c r="A1" s="467" t="s">
        <v>652</v>
      </c>
      <c r="B1" s="508"/>
      <c r="C1" s="508"/>
      <c r="D1" s="508"/>
      <c r="E1" s="508"/>
      <c r="F1" s="508"/>
      <c r="G1" s="508"/>
      <c r="H1" s="508"/>
      <c r="I1" s="508"/>
      <c r="J1" s="508"/>
      <c r="K1" s="508"/>
      <c r="L1" s="508"/>
      <c r="M1" s="508"/>
      <c r="N1" s="236"/>
      <c r="O1" s="236"/>
      <c r="P1" s="236"/>
      <c r="Q1" s="236"/>
      <c r="R1" s="236"/>
    </row>
    <row r="3" spans="1:18" ht="12.75" customHeight="1" x14ac:dyDescent="0.35">
      <c r="A3" s="469" t="s">
        <v>641</v>
      </c>
      <c r="B3" s="497"/>
      <c r="C3" s="497"/>
      <c r="D3" s="497"/>
      <c r="E3" s="497"/>
      <c r="F3" s="497"/>
      <c r="G3" s="497"/>
      <c r="H3" s="497"/>
      <c r="I3" s="497"/>
      <c r="J3" s="497"/>
      <c r="K3" s="497"/>
      <c r="L3" s="497"/>
      <c r="M3" s="497"/>
    </row>
    <row r="4" spans="1:18" ht="16.25" thickBot="1" x14ac:dyDescent="0.35"/>
    <row r="5" spans="1:18" ht="12.75" customHeight="1" x14ac:dyDescent="0.35">
      <c r="A5" s="498" t="s">
        <v>564</v>
      </c>
      <c r="B5" s="473" t="s">
        <v>642</v>
      </c>
      <c r="C5" s="501"/>
      <c r="D5" s="501"/>
      <c r="E5" s="501"/>
      <c r="F5" s="501"/>
      <c r="G5" s="501"/>
      <c r="H5" s="501"/>
      <c r="I5" s="501"/>
      <c r="J5" s="501"/>
      <c r="K5" s="501"/>
      <c r="L5" s="502" t="s">
        <v>7</v>
      </c>
      <c r="M5" s="503"/>
    </row>
    <row r="6" spans="1:18" ht="12.75" customHeight="1" x14ac:dyDescent="0.35">
      <c r="A6" s="499"/>
      <c r="B6" s="506" t="s">
        <v>643</v>
      </c>
      <c r="C6" s="507"/>
      <c r="D6" s="506" t="s">
        <v>644</v>
      </c>
      <c r="E6" s="507"/>
      <c r="F6" s="506" t="s">
        <v>645</v>
      </c>
      <c r="G6" s="507"/>
      <c r="H6" s="506" t="s">
        <v>646</v>
      </c>
      <c r="I6" s="507"/>
      <c r="J6" s="506" t="s">
        <v>647</v>
      </c>
      <c r="K6" s="507"/>
      <c r="L6" s="504"/>
      <c r="M6" s="505"/>
    </row>
    <row r="7" spans="1:18" x14ac:dyDescent="0.35">
      <c r="A7" s="500"/>
      <c r="B7" s="237" t="s">
        <v>648</v>
      </c>
      <c r="C7" s="237" t="s">
        <v>550</v>
      </c>
      <c r="D7" s="237" t="s">
        <v>648</v>
      </c>
      <c r="E7" s="237" t="s">
        <v>550</v>
      </c>
      <c r="F7" s="237" t="s">
        <v>648</v>
      </c>
      <c r="G7" s="237" t="s">
        <v>550</v>
      </c>
      <c r="H7" s="237" t="s">
        <v>648</v>
      </c>
      <c r="I7" s="237" t="s">
        <v>550</v>
      </c>
      <c r="J7" s="237" t="s">
        <v>648</v>
      </c>
      <c r="K7" s="237" t="s">
        <v>550</v>
      </c>
      <c r="L7" s="237" t="s">
        <v>648</v>
      </c>
      <c r="M7" s="238" t="s">
        <v>550</v>
      </c>
    </row>
    <row r="8" spans="1:18" x14ac:dyDescent="0.35">
      <c r="A8" s="205" t="s">
        <v>565</v>
      </c>
      <c r="B8" s="207">
        <v>10697.3</v>
      </c>
      <c r="C8" s="206">
        <v>65.7</v>
      </c>
      <c r="D8" s="207">
        <v>2644.9</v>
      </c>
      <c r="E8" s="206">
        <v>16.2</v>
      </c>
      <c r="F8" s="207">
        <v>547.4</v>
      </c>
      <c r="G8" s="206">
        <v>3.4</v>
      </c>
      <c r="H8" s="207">
        <v>2126.5</v>
      </c>
      <c r="I8" s="206">
        <v>13.1</v>
      </c>
      <c r="J8" s="207">
        <v>277</v>
      </c>
      <c r="K8" s="206">
        <v>1.7</v>
      </c>
      <c r="L8" s="207">
        <v>16293.1</v>
      </c>
      <c r="M8" s="218">
        <v>100</v>
      </c>
    </row>
    <row r="9" spans="1:18" x14ac:dyDescent="0.35">
      <c r="A9" s="205" t="s">
        <v>566</v>
      </c>
      <c r="B9" s="207">
        <v>8679.7000000000007</v>
      </c>
      <c r="C9" s="206">
        <v>55.3</v>
      </c>
      <c r="D9" s="207">
        <v>2719.5</v>
      </c>
      <c r="E9" s="206">
        <v>17.3</v>
      </c>
      <c r="F9" s="207">
        <v>374.1</v>
      </c>
      <c r="G9" s="206">
        <v>2.4</v>
      </c>
      <c r="H9" s="207">
        <v>3077.9</v>
      </c>
      <c r="I9" s="206">
        <v>19.600000000000001</v>
      </c>
      <c r="J9" s="207">
        <v>833.7</v>
      </c>
      <c r="K9" s="206">
        <v>5.3</v>
      </c>
      <c r="L9" s="207">
        <v>15684.9</v>
      </c>
      <c r="M9" s="218">
        <v>100</v>
      </c>
    </row>
    <row r="10" spans="1:18" x14ac:dyDescent="0.35">
      <c r="A10" s="205" t="s">
        <v>567</v>
      </c>
      <c r="B10" s="207">
        <v>11322</v>
      </c>
      <c r="C10" s="206">
        <v>49.2</v>
      </c>
      <c r="D10" s="207">
        <v>6696.3</v>
      </c>
      <c r="E10" s="206">
        <v>29.1</v>
      </c>
      <c r="F10" s="207">
        <v>223.6</v>
      </c>
      <c r="G10" s="206">
        <v>1</v>
      </c>
      <c r="H10" s="207">
        <v>4595.6000000000004</v>
      </c>
      <c r="I10" s="206">
        <v>20</v>
      </c>
      <c r="J10" s="207">
        <v>173</v>
      </c>
      <c r="K10" s="206">
        <v>0.8</v>
      </c>
      <c r="L10" s="207">
        <v>23010.400000000001</v>
      </c>
      <c r="M10" s="218">
        <v>100</v>
      </c>
    </row>
    <row r="11" spans="1:18" x14ac:dyDescent="0.35">
      <c r="A11" s="205" t="s">
        <v>568</v>
      </c>
      <c r="B11" s="207">
        <v>14381.3</v>
      </c>
      <c r="C11" s="206">
        <v>61</v>
      </c>
      <c r="D11" s="207">
        <v>2276.3000000000002</v>
      </c>
      <c r="E11" s="206">
        <v>9.6999999999999993</v>
      </c>
      <c r="F11" s="207">
        <v>631.79999999999995</v>
      </c>
      <c r="G11" s="206">
        <v>2.7</v>
      </c>
      <c r="H11" s="207">
        <v>5711.2</v>
      </c>
      <c r="I11" s="206">
        <v>24.2</v>
      </c>
      <c r="J11" s="207">
        <v>576.4</v>
      </c>
      <c r="K11" s="206">
        <v>2.4</v>
      </c>
      <c r="L11" s="207">
        <v>23577</v>
      </c>
      <c r="M11" s="218">
        <v>100</v>
      </c>
    </row>
    <row r="12" spans="1:18" x14ac:dyDescent="0.35">
      <c r="A12" s="205" t="s">
        <v>569</v>
      </c>
      <c r="B12" s="207">
        <v>14338.9</v>
      </c>
      <c r="C12" s="206">
        <v>64</v>
      </c>
      <c r="D12" s="207">
        <v>2657.7</v>
      </c>
      <c r="E12" s="206">
        <v>11.9</v>
      </c>
      <c r="F12" s="207">
        <v>438.1</v>
      </c>
      <c r="G12" s="206">
        <v>2</v>
      </c>
      <c r="H12" s="207">
        <v>4538.6000000000004</v>
      </c>
      <c r="I12" s="206">
        <v>20.2</v>
      </c>
      <c r="J12" s="207">
        <v>447.5</v>
      </c>
      <c r="K12" s="206">
        <v>2</v>
      </c>
      <c r="L12" s="207">
        <v>22420.9</v>
      </c>
      <c r="M12" s="218">
        <v>100</v>
      </c>
    </row>
    <row r="13" spans="1:18" x14ac:dyDescent="0.35">
      <c r="A13" s="205" t="s">
        <v>570</v>
      </c>
      <c r="B13" s="207">
        <v>17582.7</v>
      </c>
      <c r="C13" s="206">
        <v>52.3</v>
      </c>
      <c r="D13" s="207">
        <v>4340.2</v>
      </c>
      <c r="E13" s="206">
        <v>12.9</v>
      </c>
      <c r="F13" s="207">
        <v>995.5</v>
      </c>
      <c r="G13" s="206">
        <v>3</v>
      </c>
      <c r="H13" s="207">
        <v>9112.7999999999993</v>
      </c>
      <c r="I13" s="206">
        <v>27.1</v>
      </c>
      <c r="J13" s="207">
        <v>1587.2</v>
      </c>
      <c r="K13" s="206">
        <v>4.7</v>
      </c>
      <c r="L13" s="207">
        <v>33618.5</v>
      </c>
      <c r="M13" s="218">
        <v>100</v>
      </c>
    </row>
    <row r="14" spans="1:18" x14ac:dyDescent="0.35">
      <c r="A14" s="205" t="s">
        <v>571</v>
      </c>
      <c r="B14" s="207">
        <v>20576.099999999999</v>
      </c>
      <c r="C14" s="206">
        <v>55</v>
      </c>
      <c r="D14" s="207">
        <v>5259.5</v>
      </c>
      <c r="E14" s="206">
        <v>14.1</v>
      </c>
      <c r="F14" s="207">
        <v>1273.3</v>
      </c>
      <c r="G14" s="206">
        <v>3.4</v>
      </c>
      <c r="H14" s="207">
        <v>9760.7000000000007</v>
      </c>
      <c r="I14" s="206">
        <v>26.1</v>
      </c>
      <c r="J14" s="207">
        <v>533.70000000000005</v>
      </c>
      <c r="K14" s="206">
        <v>1.4</v>
      </c>
      <c r="L14" s="207">
        <v>37403.300000000003</v>
      </c>
      <c r="M14" s="218">
        <v>100</v>
      </c>
    </row>
    <row r="15" spans="1:18" x14ac:dyDescent="0.35">
      <c r="A15" s="205" t="s">
        <v>572</v>
      </c>
      <c r="B15" s="207">
        <v>22072.7</v>
      </c>
      <c r="C15" s="206">
        <v>56.5</v>
      </c>
      <c r="D15" s="207">
        <v>4342</v>
      </c>
      <c r="E15" s="206">
        <v>11.1</v>
      </c>
      <c r="F15" s="207">
        <v>989.2</v>
      </c>
      <c r="G15" s="206">
        <v>2.5</v>
      </c>
      <c r="H15" s="207">
        <v>10732.6</v>
      </c>
      <c r="I15" s="206">
        <v>27.5</v>
      </c>
      <c r="J15" s="207">
        <v>930.2</v>
      </c>
      <c r="K15" s="206">
        <v>2.4</v>
      </c>
      <c r="L15" s="207">
        <v>39066.699999999997</v>
      </c>
      <c r="M15" s="218">
        <v>100</v>
      </c>
    </row>
    <row r="16" spans="1:18" x14ac:dyDescent="0.35">
      <c r="A16" s="205" t="s">
        <v>573</v>
      </c>
      <c r="B16" s="207">
        <v>26110.6</v>
      </c>
      <c r="C16" s="206">
        <v>51.3</v>
      </c>
      <c r="D16" s="207">
        <v>5170.8999999999996</v>
      </c>
      <c r="E16" s="206">
        <v>10.199999999999999</v>
      </c>
      <c r="F16" s="207">
        <v>1939.3</v>
      </c>
      <c r="G16" s="206">
        <v>3.8</v>
      </c>
      <c r="H16" s="207">
        <v>16535.599999999999</v>
      </c>
      <c r="I16" s="206">
        <v>32.5</v>
      </c>
      <c r="J16" s="207">
        <v>1158.7</v>
      </c>
      <c r="K16" s="206">
        <v>2.2999999999999998</v>
      </c>
      <c r="L16" s="207">
        <v>50915.199999999997</v>
      </c>
      <c r="M16" s="218">
        <v>100</v>
      </c>
    </row>
    <row r="17" spans="1:13" x14ac:dyDescent="0.35">
      <c r="A17" s="205" t="s">
        <v>574</v>
      </c>
      <c r="B17" s="207">
        <v>29797.1</v>
      </c>
      <c r="C17" s="206">
        <v>38.9</v>
      </c>
      <c r="D17" s="207">
        <v>10468.4</v>
      </c>
      <c r="E17" s="206">
        <v>13.7</v>
      </c>
      <c r="F17" s="207">
        <v>668.3</v>
      </c>
      <c r="G17" s="206">
        <v>0.9</v>
      </c>
      <c r="H17" s="207">
        <v>34950.800000000003</v>
      </c>
      <c r="I17" s="206">
        <v>45.6</v>
      </c>
      <c r="J17" s="207">
        <v>690.8</v>
      </c>
      <c r="K17" s="206">
        <v>0.9</v>
      </c>
      <c r="L17" s="207">
        <v>76575.399999999994</v>
      </c>
      <c r="M17" s="218">
        <v>100</v>
      </c>
    </row>
    <row r="18" spans="1:13" ht="16" thickBot="1" x14ac:dyDescent="0.4">
      <c r="A18" s="209" t="s">
        <v>7</v>
      </c>
      <c r="B18" s="211">
        <v>175558.39999999999</v>
      </c>
      <c r="C18" s="210">
        <v>51.9</v>
      </c>
      <c r="D18" s="211">
        <v>46575.7</v>
      </c>
      <c r="E18" s="210">
        <v>13.8</v>
      </c>
      <c r="F18" s="211">
        <v>8080.7</v>
      </c>
      <c r="G18" s="210">
        <v>2.4</v>
      </c>
      <c r="H18" s="211">
        <v>101142.3</v>
      </c>
      <c r="I18" s="210">
        <v>29.9</v>
      </c>
      <c r="J18" s="211">
        <v>7208.4</v>
      </c>
      <c r="K18" s="210">
        <v>2.1</v>
      </c>
      <c r="L18" s="211">
        <v>338565.5</v>
      </c>
      <c r="M18" s="239">
        <v>100</v>
      </c>
    </row>
    <row r="21" spans="1:13" ht="16" thickBot="1" x14ac:dyDescent="0.4">
      <c r="A21" s="240"/>
      <c r="B21" s="240"/>
      <c r="C21" s="240"/>
      <c r="D21" s="240"/>
      <c r="E21" s="240"/>
      <c r="F21" s="240"/>
      <c r="G21" s="240"/>
      <c r="H21" s="240"/>
      <c r="I21" s="240"/>
      <c r="J21" s="240"/>
      <c r="K21" s="240"/>
      <c r="L21" s="240"/>
      <c r="M21" s="240"/>
    </row>
    <row r="22" spans="1:13" ht="16" thickTop="1" x14ac:dyDescent="0.35"/>
    <row r="23" spans="1:13" ht="12.75" customHeight="1" x14ac:dyDescent="0.35">
      <c r="A23" s="469" t="s">
        <v>649</v>
      </c>
      <c r="B23" s="497"/>
      <c r="C23" s="497"/>
      <c r="D23" s="497"/>
      <c r="E23" s="497"/>
      <c r="F23" s="497"/>
      <c r="G23" s="497"/>
      <c r="H23" s="497"/>
      <c r="I23" s="497"/>
      <c r="J23" s="497"/>
      <c r="K23" s="497"/>
      <c r="L23" s="497"/>
      <c r="M23" s="497"/>
    </row>
    <row r="24" spans="1:13" ht="16" thickBot="1" x14ac:dyDescent="0.4"/>
    <row r="25" spans="1:13" ht="12.75" customHeight="1" x14ac:dyDescent="0.35">
      <c r="A25" s="498" t="s">
        <v>564</v>
      </c>
      <c r="B25" s="473" t="s">
        <v>642</v>
      </c>
      <c r="C25" s="501"/>
      <c r="D25" s="501"/>
      <c r="E25" s="501"/>
      <c r="F25" s="501"/>
      <c r="G25" s="501"/>
      <c r="H25" s="501"/>
      <c r="I25" s="501"/>
      <c r="J25" s="501"/>
      <c r="K25" s="501"/>
      <c r="L25" s="502" t="s">
        <v>7</v>
      </c>
      <c r="M25" s="503"/>
    </row>
    <row r="26" spans="1:13" ht="12.75" customHeight="1" x14ac:dyDescent="0.35">
      <c r="A26" s="499"/>
      <c r="B26" s="506" t="s">
        <v>643</v>
      </c>
      <c r="C26" s="507"/>
      <c r="D26" s="506" t="s">
        <v>644</v>
      </c>
      <c r="E26" s="507"/>
      <c r="F26" s="506" t="s">
        <v>645</v>
      </c>
      <c r="G26" s="507"/>
      <c r="H26" s="506" t="s">
        <v>646</v>
      </c>
      <c r="I26" s="507"/>
      <c r="J26" s="506" t="s">
        <v>647</v>
      </c>
      <c r="K26" s="507"/>
      <c r="L26" s="504"/>
      <c r="M26" s="505"/>
    </row>
    <row r="27" spans="1:13" x14ac:dyDescent="0.35">
      <c r="A27" s="500"/>
      <c r="B27" s="237" t="s">
        <v>648</v>
      </c>
      <c r="C27" s="237" t="s">
        <v>550</v>
      </c>
      <c r="D27" s="237" t="s">
        <v>648</v>
      </c>
      <c r="E27" s="237" t="s">
        <v>550</v>
      </c>
      <c r="F27" s="237" t="s">
        <v>648</v>
      </c>
      <c r="G27" s="237" t="s">
        <v>550</v>
      </c>
      <c r="H27" s="237" t="s">
        <v>648</v>
      </c>
      <c r="I27" s="237" t="s">
        <v>550</v>
      </c>
      <c r="J27" s="237" t="s">
        <v>648</v>
      </c>
      <c r="K27" s="237" t="s">
        <v>550</v>
      </c>
      <c r="L27" s="237" t="s">
        <v>648</v>
      </c>
      <c r="M27" s="238" t="s">
        <v>550</v>
      </c>
    </row>
    <row r="28" spans="1:13" x14ac:dyDescent="0.35">
      <c r="A28" s="205" t="s">
        <v>565</v>
      </c>
      <c r="B28" s="207">
        <v>10372.700000000001</v>
      </c>
      <c r="C28" s="206">
        <v>67.400000000000006</v>
      </c>
      <c r="D28" s="207">
        <v>2440</v>
      </c>
      <c r="E28" s="206">
        <v>15.9</v>
      </c>
      <c r="F28" s="207">
        <v>547.4</v>
      </c>
      <c r="G28" s="206">
        <v>3.6</v>
      </c>
      <c r="H28" s="207">
        <v>1744.9</v>
      </c>
      <c r="I28" s="206">
        <v>11.3</v>
      </c>
      <c r="J28" s="207">
        <v>274.39999999999998</v>
      </c>
      <c r="K28" s="206">
        <v>1.8</v>
      </c>
      <c r="L28" s="207">
        <v>15379.3</v>
      </c>
      <c r="M28" s="218">
        <v>100</v>
      </c>
    </row>
    <row r="29" spans="1:13" x14ac:dyDescent="0.35">
      <c r="A29" s="205" t="s">
        <v>566</v>
      </c>
      <c r="B29" s="207">
        <v>7848.3</v>
      </c>
      <c r="C29" s="206">
        <v>53.7</v>
      </c>
      <c r="D29" s="207">
        <v>2514.6999999999998</v>
      </c>
      <c r="E29" s="206">
        <v>17.2</v>
      </c>
      <c r="F29" s="207">
        <v>374.1</v>
      </c>
      <c r="G29" s="206">
        <v>2.6</v>
      </c>
      <c r="H29" s="207">
        <v>3077.9</v>
      </c>
      <c r="I29" s="206">
        <v>21.1</v>
      </c>
      <c r="J29" s="207">
        <v>804.4</v>
      </c>
      <c r="K29" s="206">
        <v>5.5</v>
      </c>
      <c r="L29" s="207">
        <v>14619.5</v>
      </c>
      <c r="M29" s="218">
        <v>100</v>
      </c>
    </row>
    <row r="30" spans="1:13" x14ac:dyDescent="0.35">
      <c r="A30" s="205" t="s">
        <v>567</v>
      </c>
      <c r="B30" s="207">
        <v>11008.8</v>
      </c>
      <c r="C30" s="206">
        <v>57.3</v>
      </c>
      <c r="D30" s="207">
        <v>3302.8</v>
      </c>
      <c r="E30" s="206">
        <v>17.2</v>
      </c>
      <c r="F30" s="207">
        <v>223.6</v>
      </c>
      <c r="G30" s="206">
        <v>1.2</v>
      </c>
      <c r="H30" s="207">
        <v>4515.8</v>
      </c>
      <c r="I30" s="206">
        <v>23.5</v>
      </c>
      <c r="J30" s="207">
        <v>173</v>
      </c>
      <c r="K30" s="206">
        <v>0.9</v>
      </c>
      <c r="L30" s="207">
        <v>19224</v>
      </c>
      <c r="M30" s="218">
        <v>100</v>
      </c>
    </row>
    <row r="31" spans="1:13" x14ac:dyDescent="0.35">
      <c r="A31" s="205" t="s">
        <v>568</v>
      </c>
      <c r="B31" s="207">
        <v>12840.7</v>
      </c>
      <c r="C31" s="206">
        <v>61.9</v>
      </c>
      <c r="D31" s="207">
        <v>1080.2</v>
      </c>
      <c r="E31" s="206">
        <v>5.2</v>
      </c>
      <c r="F31" s="207">
        <v>631.79999999999995</v>
      </c>
      <c r="G31" s="206">
        <v>3</v>
      </c>
      <c r="H31" s="207">
        <v>5654.1</v>
      </c>
      <c r="I31" s="206">
        <v>27.3</v>
      </c>
      <c r="J31" s="207">
        <v>525.9</v>
      </c>
      <c r="K31" s="206">
        <v>2.5</v>
      </c>
      <c r="L31" s="207">
        <v>20732.7</v>
      </c>
      <c r="M31" s="218">
        <v>100</v>
      </c>
    </row>
    <row r="32" spans="1:13" x14ac:dyDescent="0.35">
      <c r="A32" s="205" t="s">
        <v>569</v>
      </c>
      <c r="B32" s="207">
        <v>13638.6</v>
      </c>
      <c r="C32" s="206">
        <v>66</v>
      </c>
      <c r="D32" s="207">
        <v>1799.4</v>
      </c>
      <c r="E32" s="206">
        <v>8.6999999999999993</v>
      </c>
      <c r="F32" s="207">
        <v>437.7</v>
      </c>
      <c r="G32" s="206">
        <v>2.1</v>
      </c>
      <c r="H32" s="207">
        <v>4406.5</v>
      </c>
      <c r="I32" s="206">
        <v>21.3</v>
      </c>
      <c r="J32" s="207">
        <v>388.2</v>
      </c>
      <c r="K32" s="206">
        <v>1.9</v>
      </c>
      <c r="L32" s="207">
        <v>20670.3</v>
      </c>
      <c r="M32" s="218">
        <v>100</v>
      </c>
    </row>
    <row r="33" spans="1:13" x14ac:dyDescent="0.35">
      <c r="A33" s="205" t="s">
        <v>570</v>
      </c>
      <c r="B33" s="207">
        <v>16195.3</v>
      </c>
      <c r="C33" s="206">
        <v>57.5</v>
      </c>
      <c r="D33" s="207">
        <v>2190.1</v>
      </c>
      <c r="E33" s="206">
        <v>7.8</v>
      </c>
      <c r="F33" s="207">
        <v>962</v>
      </c>
      <c r="G33" s="206">
        <v>3.4</v>
      </c>
      <c r="H33" s="207">
        <v>8380.4</v>
      </c>
      <c r="I33" s="206">
        <v>29.8</v>
      </c>
      <c r="J33" s="207">
        <v>416.9</v>
      </c>
      <c r="K33" s="206">
        <v>1.5</v>
      </c>
      <c r="L33" s="207">
        <v>28144.7</v>
      </c>
      <c r="M33" s="218">
        <v>100</v>
      </c>
    </row>
    <row r="34" spans="1:13" x14ac:dyDescent="0.35">
      <c r="A34" s="205" t="s">
        <v>571</v>
      </c>
      <c r="B34" s="207">
        <v>18556.7</v>
      </c>
      <c r="C34" s="206">
        <v>58.5</v>
      </c>
      <c r="D34" s="207">
        <v>3008.1</v>
      </c>
      <c r="E34" s="206">
        <v>9.5</v>
      </c>
      <c r="F34" s="207">
        <v>1241.9000000000001</v>
      </c>
      <c r="G34" s="206">
        <v>3.9</v>
      </c>
      <c r="H34" s="207">
        <v>8366</v>
      </c>
      <c r="I34" s="206">
        <v>26.4</v>
      </c>
      <c r="J34" s="207">
        <v>532.5</v>
      </c>
      <c r="K34" s="206">
        <v>1.7</v>
      </c>
      <c r="L34" s="207">
        <v>31705.1</v>
      </c>
      <c r="M34" s="218">
        <v>100</v>
      </c>
    </row>
    <row r="35" spans="1:13" x14ac:dyDescent="0.35">
      <c r="A35" s="205" t="s">
        <v>572</v>
      </c>
      <c r="B35" s="207">
        <v>19783.900000000001</v>
      </c>
      <c r="C35" s="206">
        <v>58.7</v>
      </c>
      <c r="D35" s="207">
        <v>3520.9</v>
      </c>
      <c r="E35" s="206">
        <v>10.4</v>
      </c>
      <c r="F35" s="207">
        <v>984.5</v>
      </c>
      <c r="G35" s="206">
        <v>2.9</v>
      </c>
      <c r="H35" s="207">
        <v>8712.5</v>
      </c>
      <c r="I35" s="206">
        <v>25.8</v>
      </c>
      <c r="J35" s="207">
        <v>718.8</v>
      </c>
      <c r="K35" s="206">
        <v>2.1</v>
      </c>
      <c r="L35" s="207">
        <v>33720.6</v>
      </c>
      <c r="M35" s="218">
        <v>100</v>
      </c>
    </row>
    <row r="36" spans="1:13" x14ac:dyDescent="0.35">
      <c r="A36" s="205" t="s">
        <v>573</v>
      </c>
      <c r="B36" s="207">
        <v>24023.3</v>
      </c>
      <c r="C36" s="206">
        <v>53.8</v>
      </c>
      <c r="D36" s="207">
        <v>3929.7</v>
      </c>
      <c r="E36" s="206">
        <v>8.8000000000000007</v>
      </c>
      <c r="F36" s="207">
        <v>1522.4</v>
      </c>
      <c r="G36" s="206">
        <v>3.4</v>
      </c>
      <c r="H36" s="207">
        <v>14456.4</v>
      </c>
      <c r="I36" s="206">
        <v>32.4</v>
      </c>
      <c r="J36" s="207">
        <v>734.1</v>
      </c>
      <c r="K36" s="206">
        <v>1.6</v>
      </c>
      <c r="L36" s="207">
        <v>44665.9</v>
      </c>
      <c r="M36" s="218">
        <v>100</v>
      </c>
    </row>
    <row r="37" spans="1:13" x14ac:dyDescent="0.35">
      <c r="A37" s="205" t="s">
        <v>574</v>
      </c>
      <c r="B37" s="207">
        <v>25381.5</v>
      </c>
      <c r="C37" s="206">
        <v>45.6</v>
      </c>
      <c r="D37" s="207">
        <v>6284.8</v>
      </c>
      <c r="E37" s="206">
        <v>11.3</v>
      </c>
      <c r="F37" s="207">
        <v>658.4</v>
      </c>
      <c r="G37" s="206">
        <v>1.2</v>
      </c>
      <c r="H37" s="207">
        <v>22805.4</v>
      </c>
      <c r="I37" s="206">
        <v>40.9</v>
      </c>
      <c r="J37" s="207">
        <v>577</v>
      </c>
      <c r="K37" s="206">
        <v>1</v>
      </c>
      <c r="L37" s="207">
        <v>55707.199999999997</v>
      </c>
      <c r="M37" s="218">
        <v>100</v>
      </c>
    </row>
    <row r="38" spans="1:13" ht="16" thickBot="1" x14ac:dyDescent="0.4">
      <c r="A38" s="209" t="s">
        <v>7</v>
      </c>
      <c r="B38" s="211">
        <v>159649.9</v>
      </c>
      <c r="C38" s="210">
        <v>56.1</v>
      </c>
      <c r="D38" s="211">
        <v>30070.799999999999</v>
      </c>
      <c r="E38" s="210">
        <v>10.6</v>
      </c>
      <c r="F38" s="211">
        <v>7583.7</v>
      </c>
      <c r="G38" s="210">
        <v>2.7</v>
      </c>
      <c r="H38" s="211">
        <v>82119.8</v>
      </c>
      <c r="I38" s="210">
        <v>28.9</v>
      </c>
      <c r="J38" s="211">
        <v>5145.1000000000004</v>
      </c>
      <c r="K38" s="210">
        <v>1.8</v>
      </c>
      <c r="L38" s="211">
        <v>284569.3</v>
      </c>
      <c r="M38" s="239">
        <v>100</v>
      </c>
    </row>
    <row r="41" spans="1:13" ht="16" thickBot="1" x14ac:dyDescent="0.4">
      <c r="A41" s="240"/>
      <c r="B41" s="240"/>
      <c r="C41" s="240"/>
      <c r="D41" s="240"/>
      <c r="E41" s="240"/>
      <c r="F41" s="240"/>
      <c r="G41" s="240"/>
      <c r="H41" s="240"/>
      <c r="I41" s="240"/>
      <c r="J41" s="240"/>
      <c r="K41" s="240"/>
      <c r="L41" s="240"/>
      <c r="M41" s="240"/>
    </row>
    <row r="42" spans="1:13" ht="16" thickTop="1" x14ac:dyDescent="0.35"/>
    <row r="43" spans="1:13" ht="12.75" customHeight="1" x14ac:dyDescent="0.35">
      <c r="A43" s="469" t="s">
        <v>650</v>
      </c>
      <c r="B43" s="497"/>
      <c r="C43" s="497"/>
      <c r="D43" s="497"/>
      <c r="E43" s="497"/>
      <c r="F43" s="497"/>
      <c r="G43" s="497"/>
      <c r="H43" s="497"/>
      <c r="I43" s="497"/>
      <c r="J43" s="497"/>
      <c r="K43" s="497"/>
      <c r="L43" s="497"/>
      <c r="M43" s="497"/>
    </row>
    <row r="44" spans="1:13" ht="16" thickBot="1" x14ac:dyDescent="0.4"/>
    <row r="45" spans="1:13" ht="12.75" customHeight="1" x14ac:dyDescent="0.35">
      <c r="A45" s="498" t="s">
        <v>564</v>
      </c>
      <c r="B45" s="473" t="s">
        <v>642</v>
      </c>
      <c r="C45" s="501"/>
      <c r="D45" s="501"/>
      <c r="E45" s="501"/>
      <c r="F45" s="501"/>
      <c r="G45" s="501"/>
      <c r="H45" s="501"/>
      <c r="I45" s="501"/>
      <c r="J45" s="501"/>
      <c r="K45" s="501"/>
      <c r="L45" s="502" t="s">
        <v>7</v>
      </c>
      <c r="M45" s="503"/>
    </row>
    <row r="46" spans="1:13" ht="12.75" customHeight="1" x14ac:dyDescent="0.35">
      <c r="A46" s="499"/>
      <c r="B46" s="506" t="s">
        <v>643</v>
      </c>
      <c r="C46" s="507"/>
      <c r="D46" s="506" t="s">
        <v>644</v>
      </c>
      <c r="E46" s="507"/>
      <c r="F46" s="506" t="s">
        <v>645</v>
      </c>
      <c r="G46" s="507"/>
      <c r="H46" s="506" t="s">
        <v>646</v>
      </c>
      <c r="I46" s="507"/>
      <c r="J46" s="506" t="s">
        <v>647</v>
      </c>
      <c r="K46" s="507"/>
      <c r="L46" s="504"/>
      <c r="M46" s="505"/>
    </row>
    <row r="47" spans="1:13" x14ac:dyDescent="0.35">
      <c r="A47" s="500"/>
      <c r="B47" s="237" t="s">
        <v>648</v>
      </c>
      <c r="C47" s="237" t="s">
        <v>550</v>
      </c>
      <c r="D47" s="237" t="s">
        <v>648</v>
      </c>
      <c r="E47" s="237" t="s">
        <v>550</v>
      </c>
      <c r="F47" s="237" t="s">
        <v>648</v>
      </c>
      <c r="G47" s="237" t="s">
        <v>550</v>
      </c>
      <c r="H47" s="237" t="s">
        <v>648</v>
      </c>
      <c r="I47" s="237" t="s">
        <v>550</v>
      </c>
      <c r="J47" s="237" t="s">
        <v>648</v>
      </c>
      <c r="K47" s="237" t="s">
        <v>550</v>
      </c>
      <c r="L47" s="237" t="s">
        <v>648</v>
      </c>
      <c r="M47" s="238" t="s">
        <v>550</v>
      </c>
    </row>
    <row r="48" spans="1:13" x14ac:dyDescent="0.35">
      <c r="A48" s="205" t="s">
        <v>565</v>
      </c>
      <c r="B48" s="207">
        <v>324.7</v>
      </c>
      <c r="C48" s="206">
        <v>36.6</v>
      </c>
      <c r="D48" s="207">
        <v>178.7</v>
      </c>
      <c r="E48" s="206">
        <v>20.100000000000001</v>
      </c>
      <c r="F48" s="206">
        <v>0</v>
      </c>
      <c r="G48" s="206">
        <v>0</v>
      </c>
      <c r="H48" s="207">
        <v>381.6</v>
      </c>
      <c r="I48" s="206">
        <v>43</v>
      </c>
      <c r="J48" s="206">
        <v>2.6</v>
      </c>
      <c r="K48" s="206">
        <v>0.3</v>
      </c>
      <c r="L48" s="207">
        <v>887.7</v>
      </c>
      <c r="M48" s="218">
        <v>100</v>
      </c>
    </row>
    <row r="49" spans="1:13" x14ac:dyDescent="0.35">
      <c r="A49" s="205" t="s">
        <v>566</v>
      </c>
      <c r="B49" s="207">
        <v>831.5</v>
      </c>
      <c r="C49" s="206">
        <v>78</v>
      </c>
      <c r="D49" s="207">
        <v>204.8</v>
      </c>
      <c r="E49" s="206">
        <v>19.2</v>
      </c>
      <c r="F49" s="206">
        <v>0</v>
      </c>
      <c r="G49" s="206">
        <v>0</v>
      </c>
      <c r="H49" s="206">
        <v>0</v>
      </c>
      <c r="I49" s="206">
        <v>0</v>
      </c>
      <c r="J49" s="206">
        <v>29.3</v>
      </c>
      <c r="K49" s="206">
        <v>2.7</v>
      </c>
      <c r="L49" s="207">
        <v>1065.5</v>
      </c>
      <c r="M49" s="218">
        <v>100</v>
      </c>
    </row>
    <row r="50" spans="1:13" x14ac:dyDescent="0.35">
      <c r="A50" s="205" t="s">
        <v>567</v>
      </c>
      <c r="B50" s="207">
        <v>285.8</v>
      </c>
      <c r="C50" s="206">
        <v>7.6</v>
      </c>
      <c r="D50" s="207">
        <v>3393.4</v>
      </c>
      <c r="E50" s="206">
        <v>90.3</v>
      </c>
      <c r="F50" s="206">
        <v>0</v>
      </c>
      <c r="G50" s="206">
        <v>0</v>
      </c>
      <c r="H50" s="206">
        <v>79.8</v>
      </c>
      <c r="I50" s="206">
        <v>2.1</v>
      </c>
      <c r="J50" s="206">
        <v>0</v>
      </c>
      <c r="K50" s="206">
        <v>0</v>
      </c>
      <c r="L50" s="207">
        <v>3759.1</v>
      </c>
      <c r="M50" s="218">
        <v>100</v>
      </c>
    </row>
    <row r="51" spans="1:13" x14ac:dyDescent="0.35">
      <c r="A51" s="205" t="s">
        <v>568</v>
      </c>
      <c r="B51" s="207">
        <v>1540.6</v>
      </c>
      <c r="C51" s="206">
        <v>54.2</v>
      </c>
      <c r="D51" s="207">
        <v>1196.2</v>
      </c>
      <c r="E51" s="206">
        <v>42.1</v>
      </c>
      <c r="F51" s="206">
        <v>0</v>
      </c>
      <c r="G51" s="206">
        <v>0</v>
      </c>
      <c r="H51" s="206">
        <v>57</v>
      </c>
      <c r="I51" s="206">
        <v>2</v>
      </c>
      <c r="J51" s="206">
        <v>50.5</v>
      </c>
      <c r="K51" s="206">
        <v>1.8</v>
      </c>
      <c r="L51" s="207">
        <v>2844.3</v>
      </c>
      <c r="M51" s="218">
        <v>100</v>
      </c>
    </row>
    <row r="52" spans="1:13" x14ac:dyDescent="0.35">
      <c r="A52" s="205" t="s">
        <v>569</v>
      </c>
      <c r="B52" s="207">
        <v>619.1</v>
      </c>
      <c r="C52" s="206">
        <v>37.1</v>
      </c>
      <c r="D52" s="207">
        <v>858.3</v>
      </c>
      <c r="E52" s="206">
        <v>51.4</v>
      </c>
      <c r="F52" s="206">
        <v>0.4</v>
      </c>
      <c r="G52" s="206">
        <v>0</v>
      </c>
      <c r="H52" s="207">
        <v>132.1</v>
      </c>
      <c r="I52" s="206">
        <v>7.9</v>
      </c>
      <c r="J52" s="206">
        <v>59.3</v>
      </c>
      <c r="K52" s="206">
        <v>3.6</v>
      </c>
      <c r="L52" s="207">
        <v>1669.2</v>
      </c>
      <c r="M52" s="218">
        <v>100</v>
      </c>
    </row>
    <row r="53" spans="1:13" x14ac:dyDescent="0.35">
      <c r="A53" s="205" t="s">
        <v>570</v>
      </c>
      <c r="B53" s="207">
        <v>1338.5</v>
      </c>
      <c r="C53" s="206">
        <v>24.7</v>
      </c>
      <c r="D53" s="207">
        <v>2150.1</v>
      </c>
      <c r="E53" s="206">
        <v>39.6</v>
      </c>
      <c r="F53" s="206">
        <v>33.6</v>
      </c>
      <c r="G53" s="206">
        <v>0.6</v>
      </c>
      <c r="H53" s="207">
        <v>732.4</v>
      </c>
      <c r="I53" s="206">
        <v>13.5</v>
      </c>
      <c r="J53" s="207">
        <v>1170.4000000000001</v>
      </c>
      <c r="K53" s="206">
        <v>21.6</v>
      </c>
      <c r="L53" s="207">
        <v>5425</v>
      </c>
      <c r="M53" s="218">
        <v>100</v>
      </c>
    </row>
    <row r="54" spans="1:13" x14ac:dyDescent="0.35">
      <c r="A54" s="205" t="s">
        <v>571</v>
      </c>
      <c r="B54" s="207">
        <v>1875.7</v>
      </c>
      <c r="C54" s="206">
        <v>33.799999999999997</v>
      </c>
      <c r="D54" s="207">
        <v>2251.4</v>
      </c>
      <c r="E54" s="206">
        <v>40.5</v>
      </c>
      <c r="F54" s="206">
        <v>31.4</v>
      </c>
      <c r="G54" s="206">
        <v>0.6</v>
      </c>
      <c r="H54" s="207">
        <v>1394.8</v>
      </c>
      <c r="I54" s="206">
        <v>25.1</v>
      </c>
      <c r="J54" s="206">
        <v>1.2</v>
      </c>
      <c r="K54" s="206">
        <v>0</v>
      </c>
      <c r="L54" s="207">
        <v>5554.5</v>
      </c>
      <c r="M54" s="218">
        <v>100</v>
      </c>
    </row>
    <row r="55" spans="1:13" x14ac:dyDescent="0.35">
      <c r="A55" s="205" t="s">
        <v>572</v>
      </c>
      <c r="B55" s="207">
        <v>2276.6999999999998</v>
      </c>
      <c r="C55" s="206">
        <v>42.9</v>
      </c>
      <c r="D55" s="207">
        <v>821.1</v>
      </c>
      <c r="E55" s="206">
        <v>15.5</v>
      </c>
      <c r="F55" s="206">
        <v>4.7</v>
      </c>
      <c r="G55" s="206">
        <v>0.1</v>
      </c>
      <c r="H55" s="207">
        <v>2017.3</v>
      </c>
      <c r="I55" s="206">
        <v>38</v>
      </c>
      <c r="J55" s="207">
        <v>192.7</v>
      </c>
      <c r="K55" s="206">
        <v>3.6</v>
      </c>
      <c r="L55" s="207">
        <v>5312.6</v>
      </c>
      <c r="M55" s="218">
        <v>100</v>
      </c>
    </row>
    <row r="56" spans="1:13" x14ac:dyDescent="0.35">
      <c r="A56" s="205" t="s">
        <v>573</v>
      </c>
      <c r="B56" s="207">
        <v>2080.6</v>
      </c>
      <c r="C56" s="206">
        <v>33.5</v>
      </c>
      <c r="D56" s="207">
        <v>1241.2</v>
      </c>
      <c r="E56" s="206">
        <v>20</v>
      </c>
      <c r="F56" s="207">
        <v>416.9</v>
      </c>
      <c r="G56" s="206">
        <v>6.7</v>
      </c>
      <c r="H56" s="207">
        <v>2054.6999999999998</v>
      </c>
      <c r="I56" s="206">
        <v>33</v>
      </c>
      <c r="J56" s="207">
        <v>424.6</v>
      </c>
      <c r="K56" s="206">
        <v>6.8</v>
      </c>
      <c r="L56" s="207">
        <v>6218.1</v>
      </c>
      <c r="M56" s="218">
        <v>100</v>
      </c>
    </row>
    <row r="57" spans="1:13" x14ac:dyDescent="0.35">
      <c r="A57" s="205" t="s">
        <v>574</v>
      </c>
      <c r="B57" s="207">
        <v>4415.5</v>
      </c>
      <c r="C57" s="206">
        <v>21.2</v>
      </c>
      <c r="D57" s="207">
        <v>4183.7</v>
      </c>
      <c r="E57" s="206">
        <v>20.100000000000001</v>
      </c>
      <c r="F57" s="206">
        <v>9.9</v>
      </c>
      <c r="G57" s="206">
        <v>0</v>
      </c>
      <c r="H57" s="207">
        <v>12132.5</v>
      </c>
      <c r="I57" s="206">
        <v>58.2</v>
      </c>
      <c r="J57" s="207">
        <v>113.8</v>
      </c>
      <c r="K57" s="206">
        <v>0.5</v>
      </c>
      <c r="L57" s="207">
        <v>20855.400000000001</v>
      </c>
      <c r="M57" s="218">
        <v>100</v>
      </c>
    </row>
    <row r="58" spans="1:13" ht="16" thickBot="1" x14ac:dyDescent="0.4">
      <c r="A58" s="209" t="s">
        <v>7</v>
      </c>
      <c r="B58" s="211">
        <v>15588.7</v>
      </c>
      <c r="C58" s="210">
        <v>29.1</v>
      </c>
      <c r="D58" s="211">
        <v>16478.900000000001</v>
      </c>
      <c r="E58" s="210">
        <v>30.7</v>
      </c>
      <c r="F58" s="211">
        <v>497</v>
      </c>
      <c r="G58" s="210">
        <v>0.9</v>
      </c>
      <c r="H58" s="211">
        <v>18982.400000000001</v>
      </c>
      <c r="I58" s="210">
        <v>35.4</v>
      </c>
      <c r="J58" s="211">
        <v>2044.5</v>
      </c>
      <c r="K58" s="210">
        <v>3.8</v>
      </c>
      <c r="L58" s="211">
        <v>53591.4</v>
      </c>
      <c r="M58" s="239">
        <v>100</v>
      </c>
    </row>
    <row r="60" spans="1:13" x14ac:dyDescent="0.35">
      <c r="A60" s="241" t="s">
        <v>651</v>
      </c>
    </row>
  </sheetData>
  <mergeCells count="28">
    <mergeCell ref="A1:M1"/>
    <mergeCell ref="A3:M3"/>
    <mergeCell ref="A5:A7"/>
    <mergeCell ref="B5:K5"/>
    <mergeCell ref="L5:M6"/>
    <mergeCell ref="B6:C6"/>
    <mergeCell ref="D6:E6"/>
    <mergeCell ref="F6:G6"/>
    <mergeCell ref="H6:I6"/>
    <mergeCell ref="J6:K6"/>
    <mergeCell ref="A23:M23"/>
    <mergeCell ref="A25:A27"/>
    <mergeCell ref="B25:K25"/>
    <mergeCell ref="L25:M26"/>
    <mergeCell ref="B26:C26"/>
    <mergeCell ref="D26:E26"/>
    <mergeCell ref="F26:G26"/>
    <mergeCell ref="H26:I26"/>
    <mergeCell ref="J26:K26"/>
    <mergeCell ref="A43:M43"/>
    <mergeCell ref="A45:A47"/>
    <mergeCell ref="B45:K45"/>
    <mergeCell ref="L45:M46"/>
    <mergeCell ref="B46:C46"/>
    <mergeCell ref="D46:E46"/>
    <mergeCell ref="F46:G46"/>
    <mergeCell ref="H46:I46"/>
    <mergeCell ref="J46:K46"/>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AK58"/>
  <sheetViews>
    <sheetView topLeftCell="A37" zoomScale="70" zoomScaleNormal="70" workbookViewId="0">
      <selection activeCell="H22" sqref="H22"/>
    </sheetView>
  </sheetViews>
  <sheetFormatPr baseColWidth="10" defaultColWidth="11.453125" defaultRowHeight="14.5" x14ac:dyDescent="0.35"/>
  <cols>
    <col min="1" max="1" width="16.6328125" customWidth="1"/>
    <col min="2" max="3" width="11.54296875" customWidth="1"/>
    <col min="9" max="9" width="12.36328125" bestFit="1" customWidth="1"/>
  </cols>
  <sheetData>
    <row r="1" spans="1:37" s="163" customFormat="1" ht="14.4" x14ac:dyDescent="0.3">
      <c r="A1" s="163">
        <v>1</v>
      </c>
      <c r="B1" s="163">
        <v>2</v>
      </c>
      <c r="C1" s="163">
        <v>3</v>
      </c>
      <c r="D1" s="163">
        <v>4</v>
      </c>
      <c r="E1" s="163">
        <v>5</v>
      </c>
      <c r="F1" s="163">
        <v>6</v>
      </c>
      <c r="G1" s="163">
        <v>7</v>
      </c>
      <c r="H1" s="163">
        <v>8</v>
      </c>
      <c r="I1" s="163">
        <v>9</v>
      </c>
      <c r="J1" s="163">
        <v>10</v>
      </c>
      <c r="K1" s="163">
        <v>11</v>
      </c>
      <c r="L1" s="163">
        <v>12</v>
      </c>
      <c r="M1" s="163">
        <v>13</v>
      </c>
      <c r="N1" s="163">
        <v>14</v>
      </c>
      <c r="O1" s="163">
        <v>15</v>
      </c>
      <c r="P1" s="163">
        <v>16</v>
      </c>
      <c r="Q1" s="163">
        <v>17</v>
      </c>
      <c r="R1" s="163">
        <v>18</v>
      </c>
      <c r="S1" s="163">
        <v>19</v>
      </c>
      <c r="T1" s="163">
        <v>20</v>
      </c>
      <c r="U1" s="163">
        <v>21</v>
      </c>
      <c r="V1" s="163">
        <v>22</v>
      </c>
      <c r="W1" s="163">
        <v>23</v>
      </c>
      <c r="X1" s="163">
        <v>24</v>
      </c>
      <c r="Y1" s="163">
        <v>25</v>
      </c>
      <c r="Z1" s="163">
        <v>26</v>
      </c>
      <c r="AA1" s="163">
        <v>27</v>
      </c>
      <c r="AB1" s="163">
        <v>28</v>
      </c>
      <c r="AC1" s="163">
        <v>29</v>
      </c>
      <c r="AD1" s="163">
        <v>30</v>
      </c>
      <c r="AE1" s="163">
        <v>31</v>
      </c>
      <c r="AF1" s="163">
        <v>32</v>
      </c>
      <c r="AG1" s="163">
        <v>33</v>
      </c>
      <c r="AH1" s="163">
        <v>34</v>
      </c>
      <c r="AI1" s="163">
        <v>35</v>
      </c>
      <c r="AJ1" s="163">
        <v>36</v>
      </c>
      <c r="AK1" s="163">
        <v>37</v>
      </c>
    </row>
    <row r="2" spans="1:37" s="163" customFormat="1" ht="34.25" customHeight="1" x14ac:dyDescent="0.25">
      <c r="A2" s="133"/>
      <c r="B2" s="133"/>
      <c r="C2" s="133" t="s">
        <v>0</v>
      </c>
      <c r="D2" s="133" t="s">
        <v>1</v>
      </c>
      <c r="E2" s="133" t="s">
        <v>2</v>
      </c>
      <c r="F2" s="133" t="s">
        <v>3</v>
      </c>
      <c r="G2" s="133" t="s">
        <v>4</v>
      </c>
      <c r="H2" s="133" t="s">
        <v>46</v>
      </c>
      <c r="I2" s="133"/>
      <c r="J2" s="133" t="s">
        <v>531</v>
      </c>
      <c r="K2" s="133"/>
      <c r="L2" s="172" t="s">
        <v>533</v>
      </c>
      <c r="M2" s="133"/>
      <c r="N2" s="133"/>
      <c r="O2" s="133" t="s">
        <v>0</v>
      </c>
      <c r="P2" s="133" t="s">
        <v>1</v>
      </c>
      <c r="Q2" s="133" t="s">
        <v>2</v>
      </c>
      <c r="R2" s="133" t="s">
        <v>3</v>
      </c>
      <c r="S2" s="133" t="s">
        <v>4</v>
      </c>
      <c r="T2" s="133" t="s">
        <v>46</v>
      </c>
      <c r="U2" s="133"/>
      <c r="V2" s="133" t="s">
        <v>653</v>
      </c>
      <c r="W2" s="133"/>
      <c r="X2" s="133"/>
      <c r="Y2" s="133"/>
      <c r="Z2" s="133"/>
      <c r="AA2" s="133"/>
      <c r="AB2" s="133"/>
      <c r="AC2" s="133"/>
      <c r="AD2" s="133"/>
      <c r="AE2" s="133"/>
      <c r="AF2" s="133"/>
      <c r="AG2" s="133"/>
      <c r="AH2" s="133"/>
      <c r="AI2" s="133"/>
      <c r="AJ2" s="133"/>
      <c r="AK2" s="133"/>
    </row>
    <row r="3" spans="1:37" s="163" customFormat="1" ht="14.4" x14ac:dyDescent="0.3">
      <c r="A3" s="182" t="s">
        <v>538</v>
      </c>
      <c r="B3" s="134"/>
      <c r="D3" s="134"/>
      <c r="E3" s="134"/>
      <c r="F3" s="134"/>
      <c r="G3" s="134"/>
      <c r="H3" s="134"/>
      <c r="I3" s="250"/>
      <c r="J3" s="134"/>
      <c r="N3" s="134"/>
      <c r="O3" s="134"/>
      <c r="P3" s="134"/>
      <c r="Q3" s="134"/>
      <c r="R3" s="134"/>
      <c r="S3" s="134"/>
      <c r="T3" s="134"/>
      <c r="U3" s="132"/>
    </row>
    <row r="4" spans="1:37" s="163" customFormat="1" ht="14.4" x14ac:dyDescent="0.3">
      <c r="A4" s="133"/>
      <c r="B4" s="135" t="s">
        <v>79</v>
      </c>
      <c r="C4" s="247">
        <f t="shared" ref="C4:G10" si="0">O4*$U4*O$12</f>
        <v>0</v>
      </c>
      <c r="D4" s="247">
        <f t="shared" si="0"/>
        <v>15154.377297489415</v>
      </c>
      <c r="E4" s="247">
        <f t="shared" si="0"/>
        <v>44830.133721289014</v>
      </c>
      <c r="F4" s="247">
        <f t="shared" si="0"/>
        <v>64921.094727700205</v>
      </c>
      <c r="G4" s="247">
        <f t="shared" si="0"/>
        <v>85834.843253521336</v>
      </c>
      <c r="H4" s="134">
        <f t="shared" ref="H4:H11" si="1">SUM(C4:G4)</f>
        <v>210740.44899999996</v>
      </c>
      <c r="I4" s="252">
        <f>J4-H4</f>
        <v>0</v>
      </c>
      <c r="J4" s="269">
        <f>210740449/1000</f>
        <v>210740.44899999999</v>
      </c>
      <c r="N4" s="135" t="s">
        <v>79</v>
      </c>
      <c r="O4" s="246">
        <f>$J4*X4</f>
        <v>0</v>
      </c>
      <c r="P4" s="246">
        <f t="shared" ref="P4:S10" si="2">$J4*Y4</f>
        <v>21074.044900000001</v>
      </c>
      <c r="Q4" s="246">
        <f t="shared" si="2"/>
        <v>42148.089800000002</v>
      </c>
      <c r="R4" s="246">
        <f t="shared" si="2"/>
        <v>63222.134699999995</v>
      </c>
      <c r="S4" s="246">
        <f t="shared" si="2"/>
        <v>84296.179600000003</v>
      </c>
      <c r="T4" s="134">
        <f>SUM(O4:S4)</f>
        <v>210740.44899999999</v>
      </c>
      <c r="U4" s="258">
        <v>0.92002905680292024</v>
      </c>
      <c r="V4" s="173"/>
      <c r="W4" s="135" t="s">
        <v>79</v>
      </c>
      <c r="X4" s="246">
        <v>0</v>
      </c>
      <c r="Y4" s="246">
        <v>0.1</v>
      </c>
      <c r="Z4" s="264">
        <v>0.2</v>
      </c>
      <c r="AA4" s="246">
        <v>0.3</v>
      </c>
      <c r="AB4" s="246">
        <v>0.4</v>
      </c>
      <c r="AC4" s="262">
        <f>SUM(X4:AB4)</f>
        <v>1</v>
      </c>
      <c r="AE4" s="135" t="s">
        <v>79</v>
      </c>
      <c r="AF4" s="246">
        <f>C4/$J4</f>
        <v>0</v>
      </c>
      <c r="AG4" s="246">
        <f t="shared" ref="AG4:AJ10" si="3">D4/$J4</f>
        <v>7.1910149994457939E-2</v>
      </c>
      <c r="AH4" s="246">
        <f t="shared" si="3"/>
        <v>0.21272676381784217</v>
      </c>
      <c r="AI4" s="246">
        <f t="shared" si="3"/>
        <v>0.30806186014959192</v>
      </c>
      <c r="AJ4" s="246">
        <f>G4/$J4</f>
        <v>0.40730122603810787</v>
      </c>
      <c r="AK4" s="262">
        <f>SUM(AF4:AJ4)</f>
        <v>1</v>
      </c>
    </row>
    <row r="5" spans="1:37" s="163" customFormat="1" ht="14.4" x14ac:dyDescent="0.3">
      <c r="A5" s="133"/>
      <c r="B5" s="135" t="s">
        <v>80</v>
      </c>
      <c r="C5" s="247">
        <f t="shared" si="0"/>
        <v>18946.708247610608</v>
      </c>
      <c r="D5" s="247">
        <f t="shared" si="0"/>
        <v>39760.172664838523</v>
      </c>
      <c r="E5" s="247">
        <f t="shared" si="0"/>
        <v>88214.802018368617</v>
      </c>
      <c r="F5" s="247">
        <f t="shared" si="0"/>
        <v>113554.6025324019</v>
      </c>
      <c r="G5" s="247">
        <f t="shared" si="0"/>
        <v>140751.74953678029</v>
      </c>
      <c r="H5" s="134">
        <f t="shared" si="1"/>
        <v>401228.03499999992</v>
      </c>
      <c r="I5" s="252">
        <f t="shared" ref="I5:I10" si="4">J5-H5</f>
        <v>0</v>
      </c>
      <c r="J5" s="270">
        <f>401228035/1000</f>
        <v>401228.03499999997</v>
      </c>
      <c r="N5" s="135" t="s">
        <v>80</v>
      </c>
      <c r="O5" s="246">
        <f t="shared" ref="O5:O10" si="5">$J5*X5</f>
        <v>26748.535666666663</v>
      </c>
      <c r="P5" s="246">
        <f t="shared" si="2"/>
        <v>53497.071333333326</v>
      </c>
      <c r="Q5" s="246">
        <f t="shared" si="2"/>
        <v>80245.607000000004</v>
      </c>
      <c r="R5" s="246">
        <f t="shared" si="2"/>
        <v>106994.14266666665</v>
      </c>
      <c r="S5" s="246">
        <f t="shared" si="2"/>
        <v>133742.67833333334</v>
      </c>
      <c r="T5" s="134">
        <f t="shared" ref="T5:T10" si="6">SUM(O5:S5)</f>
        <v>401228.03499999997</v>
      </c>
      <c r="U5" s="258">
        <v>0.95088851793085227</v>
      </c>
      <c r="V5" s="173"/>
      <c r="W5" s="135" t="s">
        <v>80</v>
      </c>
      <c r="X5" s="266">
        <f>X4+(X$7-X$4)/3</f>
        <v>6.6666666666666666E-2</v>
      </c>
      <c r="Y5" s="266">
        <f t="shared" ref="Y5:AB6" si="7">Y4+(Y$7-Y$4)/3</f>
        <v>0.13333333333333333</v>
      </c>
      <c r="Z5" s="266">
        <f t="shared" si="7"/>
        <v>0.2</v>
      </c>
      <c r="AA5" s="266">
        <f t="shared" si="7"/>
        <v>0.26666666666666666</v>
      </c>
      <c r="AB5" s="266">
        <f t="shared" si="7"/>
        <v>0.33333333333333337</v>
      </c>
      <c r="AC5" s="262">
        <f t="shared" ref="AC5:AC10" si="8">SUM(X5:AB5)</f>
        <v>1</v>
      </c>
      <c r="AE5" s="135" t="s">
        <v>80</v>
      </c>
      <c r="AF5" s="246">
        <f t="shared" ref="AF5:AF10" si="9">C5/$J5</f>
        <v>4.7221795574705065E-2</v>
      </c>
      <c r="AG5" s="246">
        <f t="shared" si="3"/>
        <v>9.9096197664349461E-2</v>
      </c>
      <c r="AH5" s="246">
        <f t="shared" si="3"/>
        <v>0.21986200943901796</v>
      </c>
      <c r="AI5" s="246">
        <f t="shared" si="3"/>
        <v>0.28301761748129567</v>
      </c>
      <c r="AJ5" s="246">
        <f t="shared" si="3"/>
        <v>0.35080237984063178</v>
      </c>
      <c r="AK5" s="262">
        <f t="shared" ref="AK5:AK10" si="10">SUM(AF5:AJ5)</f>
        <v>0.99999999999999989</v>
      </c>
    </row>
    <row r="6" spans="1:37" s="163" customFormat="1" ht="16.25" customHeight="1" x14ac:dyDescent="0.3">
      <c r="A6" s="133"/>
      <c r="B6" s="135" t="s">
        <v>81</v>
      </c>
      <c r="C6" s="247">
        <f t="shared" si="0"/>
        <v>52591.925029857091</v>
      </c>
      <c r="D6" s="247">
        <f t="shared" si="0"/>
        <v>68978.473484538772</v>
      </c>
      <c r="E6" s="247">
        <f t="shared" si="0"/>
        <v>122432.51422997992</v>
      </c>
      <c r="F6" s="247">
        <f t="shared" si="0"/>
        <v>137901.21698160653</v>
      </c>
      <c r="G6" s="247">
        <f t="shared" si="0"/>
        <v>156278.4492740178</v>
      </c>
      <c r="H6" s="134">
        <f t="shared" si="1"/>
        <v>538182.57900000014</v>
      </c>
      <c r="I6" s="252">
        <f t="shared" si="4"/>
        <v>0</v>
      </c>
      <c r="J6" s="269">
        <f>538182579/1000</f>
        <v>538182.57900000003</v>
      </c>
      <c r="K6" s="163" t="s">
        <v>656</v>
      </c>
      <c r="L6" s="163" t="e">
        <f>SUM(I4:I10,C12:G12)</f>
        <v>#REF!</v>
      </c>
      <c r="N6" s="135" t="s">
        <v>81</v>
      </c>
      <c r="O6" s="246">
        <f t="shared" si="5"/>
        <v>71757.677200000006</v>
      </c>
      <c r="P6" s="246">
        <f t="shared" si="2"/>
        <v>89697.0965</v>
      </c>
      <c r="Q6" s="246">
        <f t="shared" si="2"/>
        <v>107636.51580000001</v>
      </c>
      <c r="R6" s="246">
        <f t="shared" si="2"/>
        <v>125575.9351</v>
      </c>
      <c r="S6" s="246">
        <f t="shared" si="2"/>
        <v>143515.35440000004</v>
      </c>
      <c r="T6" s="134">
        <f t="shared" si="6"/>
        <v>538182.57900000003</v>
      </c>
      <c r="U6" s="258">
        <v>0.98388999188904414</v>
      </c>
      <c r="V6" s="173"/>
      <c r="W6" s="135" t="s">
        <v>81</v>
      </c>
      <c r="X6" s="266">
        <f>X5+(X$7-X$4)/3</f>
        <v>0.13333333333333333</v>
      </c>
      <c r="Y6" s="266">
        <f t="shared" si="7"/>
        <v>0.16666666666666666</v>
      </c>
      <c r="Z6" s="266">
        <f t="shared" si="7"/>
        <v>0.2</v>
      </c>
      <c r="AA6" s="266">
        <f t="shared" si="7"/>
        <v>0.23333333333333334</v>
      </c>
      <c r="AB6" s="266">
        <f t="shared" si="7"/>
        <v>0.26666666666666672</v>
      </c>
      <c r="AC6" s="262">
        <f t="shared" si="8"/>
        <v>1</v>
      </c>
      <c r="AE6" s="135" t="s">
        <v>81</v>
      </c>
      <c r="AF6" s="246">
        <f t="shared" si="9"/>
        <v>9.7721344172043687E-2</v>
      </c>
      <c r="AG6" s="246">
        <f t="shared" si="3"/>
        <v>0.12816927967588257</v>
      </c>
      <c r="AH6" s="246">
        <f t="shared" si="3"/>
        <v>0.2274925257845998</v>
      </c>
      <c r="AI6" s="246">
        <f t="shared" si="3"/>
        <v>0.25623500715657044</v>
      </c>
      <c r="AJ6" s="246">
        <f t="shared" si="3"/>
        <v>0.29038184321090371</v>
      </c>
      <c r="AK6" s="262">
        <f t="shared" si="10"/>
        <v>1.0000000000000002</v>
      </c>
    </row>
    <row r="7" spans="1:37" s="163" customFormat="1" ht="14.4" x14ac:dyDescent="0.3">
      <c r="A7" s="133"/>
      <c r="B7" s="135" t="s">
        <v>82</v>
      </c>
      <c r="C7" s="247">
        <f t="shared" si="0"/>
        <v>117849.88921105616</v>
      </c>
      <c r="D7" s="247">
        <f t="shared" si="0"/>
        <v>123655.56808937</v>
      </c>
      <c r="E7" s="247">
        <f t="shared" si="0"/>
        <v>182900.80628211601</v>
      </c>
      <c r="F7" s="247">
        <f t="shared" si="0"/>
        <v>176579.450543035</v>
      </c>
      <c r="G7" s="247">
        <f t="shared" si="0"/>
        <v>175097.20287442289</v>
      </c>
      <c r="H7" s="134">
        <f t="shared" si="1"/>
        <v>776082.91700000002</v>
      </c>
      <c r="I7" s="252">
        <f t="shared" si="4"/>
        <v>0</v>
      </c>
      <c r="J7" s="270">
        <f>776082917/1000</f>
        <v>776082.91700000002</v>
      </c>
      <c r="K7" s="163" t="s">
        <v>655</v>
      </c>
      <c r="L7" s="163" t="e">
        <f>STDEVPA(I4:I10,C12:G12)</f>
        <v>#REF!</v>
      </c>
      <c r="N7" s="135" t="s">
        <v>82</v>
      </c>
      <c r="O7" s="246">
        <f t="shared" si="5"/>
        <v>155216.5834</v>
      </c>
      <c r="P7" s="246">
        <f t="shared" si="2"/>
        <v>155216.5834</v>
      </c>
      <c r="Q7" s="246">
        <f t="shared" si="2"/>
        <v>155216.5834</v>
      </c>
      <c r="R7" s="246">
        <f t="shared" si="2"/>
        <v>155216.5834</v>
      </c>
      <c r="S7" s="246">
        <f t="shared" si="2"/>
        <v>155216.5834</v>
      </c>
      <c r="T7" s="134">
        <f t="shared" si="6"/>
        <v>776082.91700000002</v>
      </c>
      <c r="U7" s="258">
        <v>1.0192645188074336</v>
      </c>
      <c r="V7" s="173"/>
      <c r="W7" s="135" t="s">
        <v>82</v>
      </c>
      <c r="X7" s="263">
        <v>0.2</v>
      </c>
      <c r="Y7" s="263">
        <v>0.2</v>
      </c>
      <c r="Z7" s="263">
        <v>0.2</v>
      </c>
      <c r="AA7" s="263">
        <v>0.2</v>
      </c>
      <c r="AB7" s="263">
        <v>0.2</v>
      </c>
      <c r="AC7" s="262">
        <f t="shared" si="8"/>
        <v>1</v>
      </c>
      <c r="AE7" s="135" t="s">
        <v>82</v>
      </c>
      <c r="AF7" s="246">
        <f t="shared" si="9"/>
        <v>0.1518521882514986</v>
      </c>
      <c r="AG7" s="246">
        <f t="shared" si="3"/>
        <v>0.15933293386661415</v>
      </c>
      <c r="AH7" s="246">
        <f t="shared" si="3"/>
        <v>0.23567173336211447</v>
      </c>
      <c r="AI7" s="246">
        <f t="shared" si="3"/>
        <v>0.22752652670878851</v>
      </c>
      <c r="AJ7" s="246">
        <f t="shared" si="3"/>
        <v>0.22561661781098435</v>
      </c>
      <c r="AK7" s="262">
        <f t="shared" si="10"/>
        <v>1</v>
      </c>
    </row>
    <row r="8" spans="1:37" s="163" customFormat="1" ht="14.4" x14ac:dyDescent="0.3">
      <c r="A8" s="133" t="s">
        <v>657</v>
      </c>
      <c r="B8" s="135" t="s">
        <v>83</v>
      </c>
      <c r="C8" s="247">
        <f t="shared" si="0"/>
        <v>65691.647819846257</v>
      </c>
      <c r="D8" s="247">
        <f t="shared" si="0"/>
        <v>60311.857938402361</v>
      </c>
      <c r="E8" s="247">
        <f t="shared" si="0"/>
        <v>76464.149219943589</v>
      </c>
      <c r="F8" s="247">
        <f t="shared" si="0"/>
        <v>61517.850986908146</v>
      </c>
      <c r="G8" s="247">
        <f t="shared" si="0"/>
        <v>48801.165034899575</v>
      </c>
      <c r="H8" s="134">
        <f t="shared" si="1"/>
        <v>312786.67099999997</v>
      </c>
      <c r="I8" s="252">
        <f t="shared" si="4"/>
        <v>0</v>
      </c>
      <c r="J8" s="269">
        <f>312786671/1000</f>
        <v>312786.67099999997</v>
      </c>
      <c r="N8" s="135" t="s">
        <v>83</v>
      </c>
      <c r="O8" s="246">
        <f t="shared" si="5"/>
        <v>83409.77893333332</v>
      </c>
      <c r="P8" s="246">
        <f t="shared" si="2"/>
        <v>72983.556566666666</v>
      </c>
      <c r="Q8" s="246">
        <f t="shared" si="2"/>
        <v>62557.334199999998</v>
      </c>
      <c r="R8" s="246">
        <f t="shared" si="2"/>
        <v>52131.111833333336</v>
      </c>
      <c r="S8" s="246">
        <f t="shared" si="2"/>
        <v>41704.889466666675</v>
      </c>
      <c r="T8" s="134">
        <f t="shared" si="6"/>
        <v>312786.67099999997</v>
      </c>
      <c r="U8" s="258">
        <v>1.0572776050343704</v>
      </c>
      <c r="V8" s="173"/>
      <c r="W8" s="135" t="s">
        <v>83</v>
      </c>
      <c r="X8" s="267">
        <f>X7+(X$10-X$7)/3</f>
        <v>0.26666666666666666</v>
      </c>
      <c r="Y8" s="267">
        <f t="shared" ref="Y8:AB9" si="11">Y7+(Y$10-Y$7)/3</f>
        <v>0.23333333333333334</v>
      </c>
      <c r="Z8" s="267">
        <f t="shared" si="11"/>
        <v>0.2</v>
      </c>
      <c r="AA8" s="267">
        <f t="shared" si="11"/>
        <v>0.16666666666666669</v>
      </c>
      <c r="AB8" s="267">
        <f>AB7+(AB$10-AB$7)/3</f>
        <v>0.13333333333333336</v>
      </c>
      <c r="AC8" s="262">
        <f t="shared" si="8"/>
        <v>1</v>
      </c>
      <c r="AE8" s="135" t="s">
        <v>83</v>
      </c>
      <c r="AF8" s="246">
        <f t="shared" si="9"/>
        <v>0.21002061120387788</v>
      </c>
      <c r="AG8" s="246">
        <f t="shared" si="3"/>
        <v>0.192821061541981</v>
      </c>
      <c r="AH8" s="246">
        <f t="shared" si="3"/>
        <v>0.24446102186989802</v>
      </c>
      <c r="AI8" s="246">
        <f t="shared" si="3"/>
        <v>0.196676702335913</v>
      </c>
      <c r="AJ8" s="246">
        <f t="shared" si="3"/>
        <v>0.15602060304832996</v>
      </c>
      <c r="AK8" s="262">
        <f t="shared" si="10"/>
        <v>1</v>
      </c>
    </row>
    <row r="9" spans="1:37" s="163" customFormat="1" ht="14.4" x14ac:dyDescent="0.3">
      <c r="A9" s="133"/>
      <c r="B9" s="135" t="s">
        <v>84</v>
      </c>
      <c r="C9" s="247">
        <f t="shared" si="0"/>
        <v>27000.834003405897</v>
      </c>
      <c r="D9" s="247">
        <f t="shared" si="0"/>
        <v>22664.788163515408</v>
      </c>
      <c r="E9" s="247">
        <f t="shared" si="0"/>
        <v>25142.871202882081</v>
      </c>
      <c r="F9" s="247">
        <f t="shared" si="0"/>
        <v>16182.594534260508</v>
      </c>
      <c r="G9" s="247">
        <f t="shared" si="0"/>
        <v>8023.3770959361091</v>
      </c>
      <c r="H9" s="134">
        <f t="shared" si="1"/>
        <v>99014.465000000011</v>
      </c>
      <c r="I9" s="252">
        <f t="shared" si="4"/>
        <v>0</v>
      </c>
      <c r="J9" s="270">
        <f>99014465/1000</f>
        <v>99014.464999999997</v>
      </c>
      <c r="N9" s="135" t="s">
        <v>84</v>
      </c>
      <c r="O9" s="246">
        <f t="shared" si="5"/>
        <v>33004.821666666663</v>
      </c>
      <c r="P9" s="246">
        <f t="shared" si="2"/>
        <v>26403.857333333333</v>
      </c>
      <c r="Q9" s="246">
        <f t="shared" si="2"/>
        <v>19802.893</v>
      </c>
      <c r="R9" s="246">
        <f t="shared" si="2"/>
        <v>13201.928666666669</v>
      </c>
      <c r="S9" s="246">
        <f t="shared" si="2"/>
        <v>6600.9643333333361</v>
      </c>
      <c r="T9" s="134">
        <f t="shared" si="6"/>
        <v>99014.465000000011</v>
      </c>
      <c r="U9" s="258">
        <v>1.0982358991387555</v>
      </c>
      <c r="V9" s="173"/>
      <c r="W9" s="135" t="s">
        <v>84</v>
      </c>
      <c r="X9" s="266">
        <f>X8+(X$10-X$7)/3</f>
        <v>0.33333333333333331</v>
      </c>
      <c r="Y9" s="266">
        <f t="shared" si="11"/>
        <v>0.26666666666666666</v>
      </c>
      <c r="Z9" s="266">
        <f t="shared" si="11"/>
        <v>0.2</v>
      </c>
      <c r="AA9" s="266">
        <f t="shared" si="11"/>
        <v>0.13333333333333336</v>
      </c>
      <c r="AB9" s="266">
        <f t="shared" si="11"/>
        <v>6.6666666666666693E-2</v>
      </c>
      <c r="AC9" s="262">
        <f t="shared" si="8"/>
        <v>1</v>
      </c>
      <c r="AE9" s="135" t="s">
        <v>84</v>
      </c>
      <c r="AF9" s="246">
        <f t="shared" si="9"/>
        <v>0.27269585311000666</v>
      </c>
      <c r="AG9" s="246">
        <f t="shared" si="3"/>
        <v>0.22890380878708388</v>
      </c>
      <c r="AH9" s="246">
        <f t="shared" si="3"/>
        <v>0.25393129380522411</v>
      </c>
      <c r="AI9" s="246">
        <f t="shared" si="3"/>
        <v>0.16343667093752925</v>
      </c>
      <c r="AJ9" s="246">
        <f t="shared" si="3"/>
        <v>8.1032373360156104E-2</v>
      </c>
      <c r="AK9" s="262">
        <f t="shared" si="10"/>
        <v>1</v>
      </c>
    </row>
    <row r="10" spans="1:37" s="163" customFormat="1" ht="14.4" x14ac:dyDescent="0.3">
      <c r="A10" s="133"/>
      <c r="B10" s="135" t="s">
        <v>85</v>
      </c>
      <c r="C10" s="247">
        <f t="shared" si="0"/>
        <v>18773.692562593071</v>
      </c>
      <c r="D10" s="247">
        <f t="shared" si="0"/>
        <v>14773.91048797547</v>
      </c>
      <c r="E10" s="247">
        <f t="shared" si="0"/>
        <v>14568.208462383096</v>
      </c>
      <c r="F10" s="247">
        <f t="shared" si="0"/>
        <v>7032.3534870483863</v>
      </c>
      <c r="G10" s="247">
        <f t="shared" si="0"/>
        <v>0</v>
      </c>
      <c r="H10" s="134">
        <f t="shared" si="1"/>
        <v>55148.165000000023</v>
      </c>
      <c r="I10" s="252">
        <f t="shared" si="4"/>
        <v>0</v>
      </c>
      <c r="J10" s="269">
        <f>55148165/1000</f>
        <v>55148.165000000001</v>
      </c>
      <c r="N10" s="135" t="s">
        <v>85</v>
      </c>
      <c r="O10" s="246">
        <f t="shared" si="5"/>
        <v>22059.266000000003</v>
      </c>
      <c r="P10" s="246">
        <f t="shared" si="2"/>
        <v>16544.449499999999</v>
      </c>
      <c r="Q10" s="246">
        <f t="shared" si="2"/>
        <v>11029.633000000002</v>
      </c>
      <c r="R10" s="246">
        <f t="shared" si="2"/>
        <v>5514.8165000000008</v>
      </c>
      <c r="S10" s="246">
        <f t="shared" si="2"/>
        <v>0</v>
      </c>
      <c r="T10" s="134">
        <f t="shared" si="6"/>
        <v>55148.165000000008</v>
      </c>
      <c r="U10" s="258">
        <v>1.142495482194162</v>
      </c>
      <c r="V10" s="173"/>
      <c r="W10" s="135" t="s">
        <v>85</v>
      </c>
      <c r="X10" s="265">
        <f>AB4</f>
        <v>0.4</v>
      </c>
      <c r="Y10" s="265">
        <f>AA4</f>
        <v>0.3</v>
      </c>
      <c r="Z10" s="265">
        <f>Z4</f>
        <v>0.2</v>
      </c>
      <c r="AA10" s="265">
        <f>Y4</f>
        <v>0.1</v>
      </c>
      <c r="AB10" s="265">
        <f>X4</f>
        <v>0</v>
      </c>
      <c r="AC10" s="262">
        <f t="shared" si="8"/>
        <v>0.99999999999999989</v>
      </c>
      <c r="AE10" s="135" t="s">
        <v>85</v>
      </c>
      <c r="AF10" s="246">
        <f t="shared" si="9"/>
        <v>0.3404227967076161</v>
      </c>
      <c r="AG10" s="246">
        <f t="shared" si="3"/>
        <v>0.26789486990139144</v>
      </c>
      <c r="AH10" s="246">
        <f t="shared" si="3"/>
        <v>0.26416488132258065</v>
      </c>
      <c r="AI10" s="246">
        <f t="shared" si="3"/>
        <v>0.12751745206841217</v>
      </c>
      <c r="AJ10" s="246">
        <f t="shared" si="3"/>
        <v>0</v>
      </c>
      <c r="AK10" s="262">
        <f t="shared" si="10"/>
        <v>1.0000000000000004</v>
      </c>
    </row>
    <row r="11" spans="1:37" s="163" customFormat="1" ht="14.4" x14ac:dyDescent="0.3">
      <c r="A11" s="133" t="s">
        <v>46</v>
      </c>
      <c r="B11" s="166"/>
      <c r="C11" s="132">
        <f>SUM(C4:C10)</f>
        <v>300854.69687436911</v>
      </c>
      <c r="D11" s="132">
        <f>SUM(D4:D10)</f>
        <v>345299.14812612993</v>
      </c>
      <c r="E11" s="132">
        <f>SUM(E4:E10)</f>
        <v>554553.48513696226</v>
      </c>
      <c r="F11" s="132">
        <f>SUM(F4:F10)</f>
        <v>577689.16379296069</v>
      </c>
      <c r="G11" s="132">
        <f>SUM(G4:G10)</f>
        <v>614786.78706957807</v>
      </c>
      <c r="H11" s="132">
        <f t="shared" si="1"/>
        <v>2393183.2810000004</v>
      </c>
      <c r="I11" s="251">
        <f>J11-H11</f>
        <v>0</v>
      </c>
      <c r="J11" s="271">
        <f>SUM(J4:J10)</f>
        <v>2393183.281</v>
      </c>
      <c r="N11" s="134"/>
      <c r="O11" s="152"/>
      <c r="P11" s="152"/>
      <c r="Q11" s="152"/>
      <c r="R11" s="152"/>
      <c r="S11" s="152"/>
      <c r="T11" s="152"/>
      <c r="U11" s="166"/>
    </row>
    <row r="12" spans="1:37" s="163" customFormat="1" ht="14.4" x14ac:dyDescent="0.3">
      <c r="A12" s="133"/>
      <c r="B12" s="248"/>
      <c r="C12" s="249" t="e">
        <f t="shared" ref="C12:H12" si="12">C11-C13</f>
        <v>#REF!</v>
      </c>
      <c r="D12" s="249" t="e">
        <f t="shared" si="12"/>
        <v>#REF!</v>
      </c>
      <c r="E12" s="249" t="e">
        <f t="shared" si="12"/>
        <v>#REF!</v>
      </c>
      <c r="F12" s="249" t="e">
        <f t="shared" si="12"/>
        <v>#REF!</v>
      </c>
      <c r="G12" s="249" t="e">
        <f t="shared" si="12"/>
        <v>#REF!</v>
      </c>
      <c r="H12" s="249" t="e">
        <f t="shared" si="12"/>
        <v>#REF!</v>
      </c>
      <c r="I12" s="251"/>
      <c r="J12" s="132"/>
      <c r="N12" s="134"/>
      <c r="O12" s="259">
        <v>0.74491059705075213</v>
      </c>
      <c r="P12" s="259">
        <v>0.78160737927499868</v>
      </c>
      <c r="Q12" s="259">
        <v>1.1560872031425984</v>
      </c>
      <c r="R12" s="259">
        <v>1.1161309086624567</v>
      </c>
      <c r="S12" s="259">
        <v>1.1067618544936781</v>
      </c>
      <c r="T12" s="152"/>
      <c r="U12" s="166"/>
    </row>
    <row r="13" spans="1:37" s="163" customFormat="1" ht="14.4" x14ac:dyDescent="0.3">
      <c r="A13" s="151" t="s">
        <v>654</v>
      </c>
      <c r="B13" s="134"/>
      <c r="C13" s="268" t="e">
        <f>Matrice!$BN89</f>
        <v>#REF!</v>
      </c>
      <c r="D13" s="268" t="e">
        <f>Matrice!$BN90</f>
        <v>#REF!</v>
      </c>
      <c r="E13" s="268" t="e">
        <f>Matrice!$BN91</f>
        <v>#REF!</v>
      </c>
      <c r="F13" s="268" t="e">
        <f>Matrice!$BN92</f>
        <v>#REF!</v>
      </c>
      <c r="G13" s="268" t="e">
        <f>Matrice!$BN93</f>
        <v>#REF!</v>
      </c>
      <c r="H13" s="268" t="e">
        <f>SUM(C13:G13)</f>
        <v>#REF!</v>
      </c>
      <c r="I13" s="135" t="e">
        <f>J13-H13</f>
        <v>#REF!</v>
      </c>
      <c r="J13" s="152">
        <f>J22+J33</f>
        <v>2393183.281</v>
      </c>
      <c r="K13" s="166" t="e">
        <f>SUM(C13:G13)</f>
        <v>#REF!</v>
      </c>
      <c r="N13" s="134"/>
      <c r="O13" s="152"/>
      <c r="P13" s="152"/>
      <c r="Q13" s="152"/>
      <c r="R13" s="152"/>
      <c r="S13" s="152"/>
      <c r="T13" s="152"/>
      <c r="U13" s="166"/>
    </row>
    <row r="14" spans="1:37" s="163" customFormat="1" ht="14.4" x14ac:dyDescent="0.3">
      <c r="A14" s="151"/>
      <c r="B14" s="151"/>
      <c r="C14" s="151"/>
      <c r="D14" s="151"/>
      <c r="E14" s="151"/>
      <c r="F14" s="151"/>
      <c r="G14" s="151"/>
      <c r="H14" s="151"/>
      <c r="I14" s="151"/>
      <c r="J14" s="151"/>
      <c r="K14" s="166"/>
      <c r="N14" s="134"/>
      <c r="O14" s="152">
        <v>0</v>
      </c>
      <c r="P14" s="152">
        <v>0</v>
      </c>
      <c r="Q14" s="152">
        <v>0</v>
      </c>
      <c r="R14" s="152">
        <v>0</v>
      </c>
      <c r="S14" s="152">
        <v>0</v>
      </c>
      <c r="T14" s="152"/>
      <c r="U14" s="166"/>
    </row>
    <row r="15" spans="1:37" s="163" customFormat="1" ht="14.4" x14ac:dyDescent="0.3">
      <c r="A15" s="151"/>
      <c r="B15" s="135" t="s">
        <v>79</v>
      </c>
      <c r="C15" s="247">
        <f t="shared" ref="C15:G21" si="13">O15*$U15*O$23</f>
        <v>0</v>
      </c>
      <c r="D15" s="247">
        <f t="shared" si="13"/>
        <v>17807.519296520073</v>
      </c>
      <c r="E15" s="247">
        <f t="shared" si="13"/>
        <v>34399.651584198626</v>
      </c>
      <c r="F15" s="247">
        <f t="shared" si="13"/>
        <v>39374.781757898701</v>
      </c>
      <c r="G15" s="247">
        <f t="shared" si="13"/>
        <v>37038.592361382594</v>
      </c>
      <c r="H15" s="134">
        <f t="shared" ref="H15:H22" si="14">SUM(C15:G15)</f>
        <v>128620.54499999998</v>
      </c>
      <c r="I15" s="252">
        <f>J15-H15</f>
        <v>0</v>
      </c>
      <c r="J15" s="270">
        <f>128620545/1000</f>
        <v>128620.545</v>
      </c>
      <c r="N15" s="135" t="s">
        <v>79</v>
      </c>
      <c r="O15" s="246">
        <f>$J15*X15</f>
        <v>0</v>
      </c>
      <c r="P15" s="246">
        <f t="shared" ref="P15:S21" si="15">$J15*Y15</f>
        <v>12862.0545</v>
      </c>
      <c r="Q15" s="246">
        <f t="shared" si="15"/>
        <v>25724.109</v>
      </c>
      <c r="R15" s="246">
        <f t="shared" si="15"/>
        <v>38586.163499999995</v>
      </c>
      <c r="S15" s="246">
        <f t="shared" si="15"/>
        <v>51448.218000000001</v>
      </c>
      <c r="T15" s="134">
        <f>SUM(O15:S15)</f>
        <v>128620.54499999998</v>
      </c>
      <c r="U15" s="258">
        <v>1.2045948324690268</v>
      </c>
      <c r="W15" s="135" t="s">
        <v>79</v>
      </c>
      <c r="X15" s="246">
        <v>0</v>
      </c>
      <c r="Y15" s="246">
        <v>0.1</v>
      </c>
      <c r="Z15" s="264">
        <v>0.2</v>
      </c>
      <c r="AA15" s="246">
        <v>0.3</v>
      </c>
      <c r="AB15" s="246">
        <v>0.4</v>
      </c>
      <c r="AC15" s="262">
        <f>SUM(X15:AB15)</f>
        <v>1</v>
      </c>
      <c r="AE15" s="135" t="s">
        <v>79</v>
      </c>
      <c r="AF15" s="246">
        <f>X15</f>
        <v>0</v>
      </c>
      <c r="AG15" s="246">
        <f>Y15</f>
        <v>0.1</v>
      </c>
      <c r="AH15" s="246">
        <f>Z15</f>
        <v>0.2</v>
      </c>
      <c r="AI15" s="246">
        <f>AA15</f>
        <v>0.3</v>
      </c>
      <c r="AJ15" s="246">
        <f>AB15</f>
        <v>0.4</v>
      </c>
      <c r="AK15" s="262">
        <f>SUM(AF15:AJ15)</f>
        <v>1</v>
      </c>
    </row>
    <row r="16" spans="1:37" s="163" customFormat="1" ht="14.4" x14ac:dyDescent="0.3">
      <c r="A16" s="151"/>
      <c r="B16" s="135" t="s">
        <v>80</v>
      </c>
      <c r="C16" s="247">
        <f t="shared" si="13"/>
        <v>22483.497586327241</v>
      </c>
      <c r="D16" s="247">
        <f t="shared" si="13"/>
        <v>32518.288174475758</v>
      </c>
      <c r="E16" s="247">
        <f t="shared" si="13"/>
        <v>47112.869766837699</v>
      </c>
      <c r="F16" s="247">
        <f t="shared" si="13"/>
        <v>47934.825683839292</v>
      </c>
      <c r="G16" s="247">
        <f t="shared" si="13"/>
        <v>42272.57878851999</v>
      </c>
      <c r="H16" s="134">
        <f t="shared" si="14"/>
        <v>192322.05999999997</v>
      </c>
      <c r="I16" s="252">
        <f t="shared" ref="I16:I21" si="16">J16-H16</f>
        <v>0</v>
      </c>
      <c r="J16" s="269">
        <f>192322060/1000</f>
        <v>192322.06</v>
      </c>
      <c r="N16" s="135" t="s">
        <v>80</v>
      </c>
      <c r="O16" s="246">
        <f t="shared" ref="O16:O21" si="17">$J16*X16</f>
        <v>12821.470666666666</v>
      </c>
      <c r="P16" s="246">
        <f t="shared" si="15"/>
        <v>25642.941333333332</v>
      </c>
      <c r="Q16" s="246">
        <f t="shared" si="15"/>
        <v>38464.412000000004</v>
      </c>
      <c r="R16" s="246">
        <f t="shared" si="15"/>
        <v>51285.882666666665</v>
      </c>
      <c r="S16" s="246">
        <f t="shared" si="15"/>
        <v>64107.35333333334</v>
      </c>
      <c r="T16" s="134">
        <f t="shared" ref="T16:T21" si="18">SUM(O16:S16)</f>
        <v>192322.06</v>
      </c>
      <c r="U16" s="258">
        <v>1.1033359125342441</v>
      </c>
      <c r="W16" s="135" t="s">
        <v>80</v>
      </c>
      <c r="X16" s="266">
        <f>X15+(X$7-X$4)/3</f>
        <v>6.6666666666666666E-2</v>
      </c>
      <c r="Y16" s="266">
        <f t="shared" ref="Y16:AB17" si="19">Y15+(Y$7-Y$4)/3</f>
        <v>0.13333333333333333</v>
      </c>
      <c r="Z16" s="266">
        <f t="shared" si="19"/>
        <v>0.2</v>
      </c>
      <c r="AA16" s="266">
        <f t="shared" si="19"/>
        <v>0.26666666666666666</v>
      </c>
      <c r="AB16" s="266">
        <f t="shared" si="19"/>
        <v>0.33333333333333337</v>
      </c>
      <c r="AC16" s="262">
        <f t="shared" ref="AC16:AC21" si="20">SUM(X16:AB16)</f>
        <v>1</v>
      </c>
      <c r="AE16" s="135" t="s">
        <v>80</v>
      </c>
      <c r="AF16" s="246">
        <f t="shared" ref="AF16:AF21" si="21">C16/$J16</f>
        <v>0.11690545320868152</v>
      </c>
      <c r="AG16" s="246">
        <f t="shared" ref="AG16:AJ21" si="22">D16/$J16</f>
        <v>0.16908246601807281</v>
      </c>
      <c r="AH16" s="246">
        <f t="shared" si="22"/>
        <v>0.2449686206919669</v>
      </c>
      <c r="AI16" s="246">
        <f t="shared" si="22"/>
        <v>0.24924247215238488</v>
      </c>
      <c r="AJ16" s="246">
        <f t="shared" si="22"/>
        <v>0.2198009879288938</v>
      </c>
      <c r="AK16" s="262">
        <f t="shared" ref="AK16:AK21" si="23">SUM(AF16:AJ16)</f>
        <v>1</v>
      </c>
    </row>
    <row r="17" spans="1:37" s="163" customFormat="1" ht="14.4" x14ac:dyDescent="0.3">
      <c r="A17" s="151"/>
      <c r="B17" s="135" t="s">
        <v>81</v>
      </c>
      <c r="C17" s="247">
        <f t="shared" si="13"/>
        <v>35393.965659731584</v>
      </c>
      <c r="D17" s="247">
        <f t="shared" si="13"/>
        <v>31994.331913369981</v>
      </c>
      <c r="E17" s="247">
        <f t="shared" si="13"/>
        <v>37083.004729497996</v>
      </c>
      <c r="F17" s="247">
        <f t="shared" si="13"/>
        <v>33013.727550377364</v>
      </c>
      <c r="G17" s="247">
        <f t="shared" si="13"/>
        <v>26618.531147023074</v>
      </c>
      <c r="H17" s="134">
        <f t="shared" si="14"/>
        <v>164103.56100000002</v>
      </c>
      <c r="I17" s="252">
        <f t="shared" si="16"/>
        <v>0</v>
      </c>
      <c r="J17" s="270">
        <f>164103561/1000</f>
        <v>164103.56099999999</v>
      </c>
      <c r="K17" s="163" t="s">
        <v>656</v>
      </c>
      <c r="L17" s="163" t="e">
        <f>SUM(I15:I21,C23:G23)</f>
        <v>#REF!</v>
      </c>
      <c r="N17" s="135" t="s">
        <v>81</v>
      </c>
      <c r="O17" s="246">
        <f t="shared" si="17"/>
        <v>21880.474799999996</v>
      </c>
      <c r="P17" s="246">
        <f t="shared" si="15"/>
        <v>27350.593499999995</v>
      </c>
      <c r="Q17" s="246">
        <f t="shared" si="15"/>
        <v>32820.712200000002</v>
      </c>
      <c r="R17" s="246">
        <f t="shared" si="15"/>
        <v>38290.830900000001</v>
      </c>
      <c r="S17" s="246">
        <f t="shared" si="15"/>
        <v>43760.949600000007</v>
      </c>
      <c r="T17" s="134">
        <f t="shared" si="18"/>
        <v>164103.56099999999</v>
      </c>
      <c r="U17" s="258">
        <v>1.0177806942543897</v>
      </c>
      <c r="W17" s="135" t="s">
        <v>81</v>
      </c>
      <c r="X17" s="266">
        <f>X16+(X$7-X$4)/3</f>
        <v>0.13333333333333333</v>
      </c>
      <c r="Y17" s="266">
        <f t="shared" si="19"/>
        <v>0.16666666666666666</v>
      </c>
      <c r="Z17" s="266">
        <f t="shared" si="19"/>
        <v>0.2</v>
      </c>
      <c r="AA17" s="266">
        <f t="shared" si="19"/>
        <v>0.23333333333333334</v>
      </c>
      <c r="AB17" s="266">
        <f t="shared" si="19"/>
        <v>0.26666666666666672</v>
      </c>
      <c r="AC17" s="262">
        <f t="shared" si="20"/>
        <v>1</v>
      </c>
      <c r="AE17" s="135" t="s">
        <v>81</v>
      </c>
      <c r="AF17" s="246">
        <f t="shared" si="21"/>
        <v>0.21568066801263128</v>
      </c>
      <c r="AG17" s="246">
        <f t="shared" si="22"/>
        <v>0.19496427571958649</v>
      </c>
      <c r="AH17" s="246">
        <f t="shared" si="22"/>
        <v>0.22597318731857377</v>
      </c>
      <c r="AI17" s="246">
        <f t="shared" si="22"/>
        <v>0.20117618014625147</v>
      </c>
      <c r="AJ17" s="246">
        <f t="shared" si="22"/>
        <v>0.16220568880295702</v>
      </c>
      <c r="AK17" s="262">
        <f t="shared" si="23"/>
        <v>1</v>
      </c>
    </row>
    <row r="18" spans="1:37" s="163" customFormat="1" ht="14.4" x14ac:dyDescent="0.3">
      <c r="A18" s="136"/>
      <c r="B18" s="135" t="s">
        <v>82</v>
      </c>
      <c r="C18" s="247">
        <f t="shared" si="13"/>
        <v>51503.074096362012</v>
      </c>
      <c r="D18" s="247">
        <f t="shared" si="13"/>
        <v>37244.912605487123</v>
      </c>
      <c r="E18" s="247">
        <f t="shared" si="13"/>
        <v>35973.905056024778</v>
      </c>
      <c r="F18" s="247">
        <f t="shared" si="13"/>
        <v>27451.143549973109</v>
      </c>
      <c r="G18" s="247">
        <f t="shared" si="13"/>
        <v>19366.806692153041</v>
      </c>
      <c r="H18" s="134">
        <f t="shared" si="14"/>
        <v>171539.84200000006</v>
      </c>
      <c r="I18" s="252">
        <f t="shared" si="16"/>
        <v>0</v>
      </c>
      <c r="J18" s="269">
        <f>171539842/1000</f>
        <v>171539.842</v>
      </c>
      <c r="K18" s="163" t="s">
        <v>655</v>
      </c>
      <c r="L18" s="163" t="e">
        <f>STDEVPA(I15:I21,C23:G23)</f>
        <v>#REF!</v>
      </c>
      <c r="N18" s="135" t="s">
        <v>82</v>
      </c>
      <c r="O18" s="246">
        <f t="shared" si="17"/>
        <v>34307.968400000005</v>
      </c>
      <c r="P18" s="246">
        <f t="shared" si="15"/>
        <v>34307.968400000005</v>
      </c>
      <c r="Q18" s="246">
        <f t="shared" si="15"/>
        <v>34307.968400000005</v>
      </c>
      <c r="R18" s="246">
        <f t="shared" si="15"/>
        <v>34307.968400000005</v>
      </c>
      <c r="S18" s="246">
        <f t="shared" si="15"/>
        <v>34307.968400000005</v>
      </c>
      <c r="T18" s="134">
        <f t="shared" si="18"/>
        <v>171539.84200000003</v>
      </c>
      <c r="U18" s="258">
        <v>0.94453895899278484</v>
      </c>
      <c r="W18" s="135" t="s">
        <v>82</v>
      </c>
      <c r="X18" s="263">
        <v>0.2</v>
      </c>
      <c r="Y18" s="263">
        <v>0.2</v>
      </c>
      <c r="Z18" s="263">
        <v>0.2</v>
      </c>
      <c r="AA18" s="263">
        <v>0.2</v>
      </c>
      <c r="AB18" s="263">
        <v>0.2</v>
      </c>
      <c r="AC18" s="262">
        <f t="shared" si="20"/>
        <v>1</v>
      </c>
      <c r="AE18" s="135" t="s">
        <v>82</v>
      </c>
      <c r="AF18" s="246">
        <f t="shared" si="21"/>
        <v>0.30023971979851777</v>
      </c>
      <c r="AG18" s="246">
        <f t="shared" si="22"/>
        <v>0.21712106162186579</v>
      </c>
      <c r="AH18" s="246">
        <f t="shared" si="22"/>
        <v>0.20971166019859561</v>
      </c>
      <c r="AI18" s="246">
        <f t="shared" si="22"/>
        <v>0.16002780013038084</v>
      </c>
      <c r="AJ18" s="246">
        <f t="shared" si="22"/>
        <v>0.11289975825064034</v>
      </c>
      <c r="AK18" s="262">
        <f t="shared" si="23"/>
        <v>1.0000000000000002</v>
      </c>
    </row>
    <row r="19" spans="1:37" s="163" customFormat="1" ht="14.4" x14ac:dyDescent="0.3">
      <c r="A19" s="133" t="s">
        <v>658</v>
      </c>
      <c r="B19" s="135" t="s">
        <v>83</v>
      </c>
      <c r="C19" s="247">
        <f t="shared" si="13"/>
        <v>22156.544981955642</v>
      </c>
      <c r="D19" s="247">
        <f t="shared" si="13"/>
        <v>14019.867191906627</v>
      </c>
      <c r="E19" s="247">
        <f t="shared" si="13"/>
        <v>11606.939870120039</v>
      </c>
      <c r="F19" s="247">
        <f t="shared" si="13"/>
        <v>7380.9004067058131</v>
      </c>
      <c r="G19" s="247">
        <f t="shared" si="13"/>
        <v>4165.7855493118868</v>
      </c>
      <c r="H19" s="134">
        <f t="shared" si="14"/>
        <v>59330.038000000008</v>
      </c>
      <c r="I19" s="252">
        <f t="shared" si="16"/>
        <v>0</v>
      </c>
      <c r="J19" s="270">
        <f>59330038/1000</f>
        <v>59330.038</v>
      </c>
      <c r="N19" s="135" t="s">
        <v>83</v>
      </c>
      <c r="O19" s="246">
        <f t="shared" si="17"/>
        <v>15821.343466666667</v>
      </c>
      <c r="P19" s="246">
        <f t="shared" si="15"/>
        <v>13843.675533333333</v>
      </c>
      <c r="Q19" s="246">
        <f t="shared" si="15"/>
        <v>11866.007600000001</v>
      </c>
      <c r="R19" s="246">
        <f t="shared" si="15"/>
        <v>9888.3396666666686</v>
      </c>
      <c r="S19" s="246">
        <f t="shared" si="15"/>
        <v>7910.6717333333345</v>
      </c>
      <c r="T19" s="134">
        <f t="shared" si="18"/>
        <v>59330.038</v>
      </c>
      <c r="U19" s="258">
        <v>0.88113084701701971</v>
      </c>
      <c r="W19" s="135" t="s">
        <v>83</v>
      </c>
      <c r="X19" s="267">
        <f>X18+(X$10-X$7)/3</f>
        <v>0.26666666666666666</v>
      </c>
      <c r="Y19" s="267">
        <f t="shared" ref="Y19:AB20" si="24">Y18+(Y$10-Y$7)/3</f>
        <v>0.23333333333333334</v>
      </c>
      <c r="Z19" s="267">
        <f t="shared" si="24"/>
        <v>0.2</v>
      </c>
      <c r="AA19" s="267">
        <f t="shared" si="24"/>
        <v>0.16666666666666669</v>
      </c>
      <c r="AB19" s="267">
        <f t="shared" si="24"/>
        <v>0.13333333333333336</v>
      </c>
      <c r="AC19" s="262">
        <f t="shared" si="20"/>
        <v>1</v>
      </c>
      <c r="AE19" s="135" t="s">
        <v>83</v>
      </c>
      <c r="AF19" s="246">
        <f t="shared" si="21"/>
        <v>0.37344565634621102</v>
      </c>
      <c r="AG19" s="246">
        <f t="shared" si="22"/>
        <v>0.23630302060326722</v>
      </c>
      <c r="AH19" s="246">
        <f t="shared" si="22"/>
        <v>0.19563344743045738</v>
      </c>
      <c r="AI19" s="246">
        <f t="shared" si="22"/>
        <v>0.12440410718607349</v>
      </c>
      <c r="AJ19" s="246">
        <f t="shared" si="22"/>
        <v>7.0213768433991006E-2</v>
      </c>
      <c r="AK19" s="262">
        <f t="shared" si="23"/>
        <v>1.0000000000000002</v>
      </c>
    </row>
    <row r="20" spans="1:37" s="163" customFormat="1" ht="14.4" x14ac:dyDescent="0.3">
      <c r="A20" s="151"/>
      <c r="B20" s="135" t="s">
        <v>84</v>
      </c>
      <c r="C20" s="247">
        <f t="shared" si="13"/>
        <v>9234.057244486321</v>
      </c>
      <c r="D20" s="247">
        <f t="shared" si="13"/>
        <v>5342.1534321851541</v>
      </c>
      <c r="E20" s="247">
        <f t="shared" si="13"/>
        <v>3869.8866553891357</v>
      </c>
      <c r="F20" s="247">
        <f t="shared" si="13"/>
        <v>1968.7013671672735</v>
      </c>
      <c r="G20" s="247">
        <f t="shared" si="13"/>
        <v>694.46030077212117</v>
      </c>
      <c r="H20" s="134">
        <f t="shared" si="14"/>
        <v>21109.259000000002</v>
      </c>
      <c r="I20" s="252">
        <f t="shared" si="16"/>
        <v>0</v>
      </c>
      <c r="J20" s="269">
        <f>21109259/1000</f>
        <v>21109.258999999998</v>
      </c>
      <c r="N20" s="135" t="s">
        <v>84</v>
      </c>
      <c r="O20" s="246">
        <f t="shared" si="17"/>
        <v>7036.4196666666658</v>
      </c>
      <c r="P20" s="246">
        <f t="shared" si="15"/>
        <v>5629.1357333333326</v>
      </c>
      <c r="Q20" s="246">
        <f t="shared" si="15"/>
        <v>4221.8517999999995</v>
      </c>
      <c r="R20" s="246">
        <f t="shared" si="15"/>
        <v>2814.5678666666668</v>
      </c>
      <c r="S20" s="246">
        <f t="shared" si="15"/>
        <v>1407.2839333333338</v>
      </c>
      <c r="T20" s="134">
        <f t="shared" si="18"/>
        <v>21109.258999999998</v>
      </c>
      <c r="U20" s="258">
        <v>0.82570051240702014</v>
      </c>
      <c r="W20" s="135" t="s">
        <v>84</v>
      </c>
      <c r="X20" s="266">
        <f>X19+(X$10-X$7)/3</f>
        <v>0.33333333333333331</v>
      </c>
      <c r="Y20" s="266">
        <f t="shared" si="24"/>
        <v>0.26666666666666666</v>
      </c>
      <c r="Z20" s="266">
        <f t="shared" si="24"/>
        <v>0.2</v>
      </c>
      <c r="AA20" s="266">
        <f t="shared" si="24"/>
        <v>0.13333333333333336</v>
      </c>
      <c r="AB20" s="266">
        <f t="shared" si="24"/>
        <v>6.6666666666666693E-2</v>
      </c>
      <c r="AC20" s="262">
        <f t="shared" si="20"/>
        <v>1</v>
      </c>
      <c r="AE20" s="135" t="s">
        <v>84</v>
      </c>
      <c r="AF20" s="246">
        <f t="shared" si="21"/>
        <v>0.43744108897836353</v>
      </c>
      <c r="AG20" s="246">
        <f t="shared" si="22"/>
        <v>0.25307157547241022</v>
      </c>
      <c r="AH20" s="246">
        <f t="shared" si="22"/>
        <v>0.18332650404209527</v>
      </c>
      <c r="AI20" s="246">
        <f t="shared" si="22"/>
        <v>9.3262457349510636E-2</v>
      </c>
      <c r="AJ20" s="246">
        <f t="shared" si="22"/>
        <v>3.2898374157620654E-2</v>
      </c>
      <c r="AK20" s="262">
        <f t="shared" si="23"/>
        <v>1.0000000000000004</v>
      </c>
    </row>
    <row r="21" spans="1:37" s="163" customFormat="1" ht="14.4" x14ac:dyDescent="0.3">
      <c r="A21" s="136"/>
      <c r="B21" s="135" t="s">
        <v>85</v>
      </c>
      <c r="C21" s="247">
        <f t="shared" si="13"/>
        <v>6989.7673889618109</v>
      </c>
      <c r="D21" s="247">
        <f t="shared" si="13"/>
        <v>3791.0350027963991</v>
      </c>
      <c r="E21" s="247">
        <f t="shared" si="13"/>
        <v>2441.108932097432</v>
      </c>
      <c r="F21" s="247">
        <f t="shared" si="13"/>
        <v>931.38667614437054</v>
      </c>
      <c r="G21" s="247">
        <f t="shared" si="13"/>
        <v>0</v>
      </c>
      <c r="H21" s="134">
        <f t="shared" si="14"/>
        <v>14153.298000000013</v>
      </c>
      <c r="I21" s="252">
        <f t="shared" si="16"/>
        <v>0</v>
      </c>
      <c r="J21" s="270">
        <f>14153298/1000</f>
        <v>14153.298000000001</v>
      </c>
      <c r="N21" s="135" t="s">
        <v>85</v>
      </c>
      <c r="O21" s="246">
        <f t="shared" si="17"/>
        <v>5661.3192000000008</v>
      </c>
      <c r="P21" s="246">
        <f t="shared" si="15"/>
        <v>4245.9894000000004</v>
      </c>
      <c r="Q21" s="246">
        <f t="shared" si="15"/>
        <v>2830.6596000000004</v>
      </c>
      <c r="R21" s="246">
        <f t="shared" si="15"/>
        <v>1415.3298000000002</v>
      </c>
      <c r="S21" s="246">
        <f t="shared" si="15"/>
        <v>0</v>
      </c>
      <c r="T21" s="134">
        <f t="shared" si="18"/>
        <v>14153.298000000001</v>
      </c>
      <c r="U21" s="258">
        <v>0.77683146189730512</v>
      </c>
      <c r="W21" s="135" t="s">
        <v>85</v>
      </c>
      <c r="X21" s="265">
        <f>AB15</f>
        <v>0.4</v>
      </c>
      <c r="Y21" s="265">
        <f>AA15</f>
        <v>0.3</v>
      </c>
      <c r="Z21" s="265">
        <f>Z15</f>
        <v>0.2</v>
      </c>
      <c r="AA21" s="265">
        <f>Y15</f>
        <v>0.1</v>
      </c>
      <c r="AB21" s="265">
        <f>X15</f>
        <v>0</v>
      </c>
      <c r="AC21" s="262">
        <f t="shared" si="20"/>
        <v>0.99999999999999989</v>
      </c>
      <c r="AE21" s="135" t="s">
        <v>85</v>
      </c>
      <c r="AF21" s="246">
        <f t="shared" si="21"/>
        <v>0.49386138756930087</v>
      </c>
      <c r="AG21" s="246">
        <f t="shared" si="22"/>
        <v>0.26785523789553495</v>
      </c>
      <c r="AH21" s="246">
        <f t="shared" si="22"/>
        <v>0.17247633251963124</v>
      </c>
      <c r="AI21" s="246">
        <f t="shared" si="22"/>
        <v>6.5807042015533807E-2</v>
      </c>
      <c r="AJ21" s="246">
        <f t="shared" si="22"/>
        <v>0</v>
      </c>
      <c r="AK21" s="262">
        <f t="shared" si="23"/>
        <v>1.0000000000000009</v>
      </c>
    </row>
    <row r="22" spans="1:37" s="163" customFormat="1" ht="14.4" x14ac:dyDescent="0.3">
      <c r="A22" s="133" t="s">
        <v>46</v>
      </c>
      <c r="B22" s="166"/>
      <c r="C22" s="174">
        <f>SUM(C15:C21)</f>
        <v>147760.9069578246</v>
      </c>
      <c r="D22" s="174">
        <f>SUM(D15:D21)</f>
        <v>142718.10761674112</v>
      </c>
      <c r="E22" s="174">
        <f>SUM(E15:E21)</f>
        <v>172487.36659416571</v>
      </c>
      <c r="F22" s="174">
        <f>SUM(F15:F21)</f>
        <v>158055.46699210594</v>
      </c>
      <c r="G22" s="174">
        <f>SUM(G15:G21)</f>
        <v>130156.75483916269</v>
      </c>
      <c r="H22" s="132">
        <f t="shared" si="14"/>
        <v>751178.603</v>
      </c>
      <c r="I22" s="252">
        <f>J22-H22</f>
        <v>0</v>
      </c>
      <c r="J22" s="132">
        <f>SUM(J15:J21)</f>
        <v>751178.60299999977</v>
      </c>
      <c r="L22" s="272"/>
      <c r="N22" s="135"/>
      <c r="O22" s="152"/>
      <c r="P22" s="152"/>
      <c r="Q22" s="152"/>
      <c r="R22" s="152"/>
      <c r="S22" s="152"/>
      <c r="T22" s="152"/>
      <c r="U22" s="166"/>
    </row>
    <row r="23" spans="1:37" s="163" customFormat="1" ht="14.4" x14ac:dyDescent="0.3">
      <c r="A23" s="133"/>
      <c r="B23" s="170"/>
      <c r="C23" s="253" t="e">
        <f t="shared" ref="C23:H23" si="25">C22-C24</f>
        <v>#REF!</v>
      </c>
      <c r="D23" s="253" t="e">
        <f t="shared" si="25"/>
        <v>#REF!</v>
      </c>
      <c r="E23" s="253" t="e">
        <f t="shared" si="25"/>
        <v>#REF!</v>
      </c>
      <c r="F23" s="253" t="e">
        <f t="shared" si="25"/>
        <v>#REF!</v>
      </c>
      <c r="G23" s="253" t="e">
        <f t="shared" si="25"/>
        <v>#REF!</v>
      </c>
      <c r="H23" s="261" t="e">
        <f t="shared" si="25"/>
        <v>#REF!</v>
      </c>
      <c r="I23" s="170"/>
      <c r="J23" s="170"/>
      <c r="L23" s="162"/>
      <c r="N23" s="135"/>
      <c r="O23" s="259">
        <v>1.5893453464253093</v>
      </c>
      <c r="P23" s="259">
        <v>1.1493494236245914</v>
      </c>
      <c r="Q23" s="259">
        <v>1.110127105938663</v>
      </c>
      <c r="R23" s="259">
        <v>0.84712122568786086</v>
      </c>
      <c r="S23" s="259">
        <v>0.59764479366225243</v>
      </c>
      <c r="T23" s="134"/>
      <c r="U23" s="166"/>
    </row>
    <row r="24" spans="1:37" s="163" customFormat="1" ht="14.4" x14ac:dyDescent="0.3">
      <c r="A24" s="151" t="s">
        <v>653</v>
      </c>
      <c r="B24" s="135"/>
      <c r="C24" s="282" t="e">
        <f>$D40</f>
        <v>#REF!</v>
      </c>
      <c r="D24" s="282" t="e">
        <f>$D41</f>
        <v>#REF!</v>
      </c>
      <c r="E24" s="282" t="e">
        <f>$D42</f>
        <v>#REF!</v>
      </c>
      <c r="F24" s="282" t="e">
        <f>$D43</f>
        <v>#REF!</v>
      </c>
      <c r="G24" s="282" t="e">
        <f>$D44</f>
        <v>#REF!</v>
      </c>
      <c r="H24" s="268" t="e">
        <f>SUM(C24:G24)</f>
        <v>#REF!</v>
      </c>
      <c r="I24" s="135" t="e">
        <f>J24-H24</f>
        <v>#REF!</v>
      </c>
      <c r="J24" s="152">
        <f>SUM(J15:J21)</f>
        <v>751178.60299999977</v>
      </c>
      <c r="K24" s="166" t="e">
        <f>SUM(C24:G24)</f>
        <v>#REF!</v>
      </c>
      <c r="N24" s="135"/>
      <c r="O24" s="134"/>
      <c r="P24" s="134"/>
      <c r="Q24" s="134"/>
      <c r="R24" s="134"/>
      <c r="S24" s="134"/>
      <c r="T24" s="134"/>
      <c r="U24" s="166"/>
    </row>
    <row r="25" spans="1:37" s="163" customFormat="1" ht="14.4" x14ac:dyDescent="0.3">
      <c r="A25" s="151"/>
      <c r="B25" s="151"/>
      <c r="C25" s="151"/>
      <c r="D25" s="151"/>
      <c r="E25" s="151"/>
      <c r="F25" s="151"/>
      <c r="G25" s="151"/>
      <c r="H25" s="151"/>
      <c r="I25" s="151"/>
      <c r="J25" s="151"/>
      <c r="K25" s="166"/>
      <c r="N25" s="135"/>
      <c r="O25" s="134"/>
      <c r="P25" s="134"/>
      <c r="Q25" s="134"/>
      <c r="R25" s="134"/>
      <c r="S25" s="134"/>
      <c r="T25" s="134"/>
      <c r="U25" s="166"/>
    </row>
    <row r="26" spans="1:37" s="163" customFormat="1" ht="14.4" x14ac:dyDescent="0.3">
      <c r="A26" s="151"/>
      <c r="B26" s="135" t="s">
        <v>79</v>
      </c>
      <c r="C26" s="247">
        <f t="shared" ref="C26:G32" si="26">O26*$U26*O$34</f>
        <v>0</v>
      </c>
      <c r="D26" s="247">
        <f t="shared" si="26"/>
        <v>3579.6277469656638</v>
      </c>
      <c r="E26" s="247">
        <f t="shared" si="26"/>
        <v>14229.681537264567</v>
      </c>
      <c r="F26" s="247">
        <f t="shared" si="26"/>
        <v>24441.808374187123</v>
      </c>
      <c r="G26" s="247">
        <f t="shared" si="26"/>
        <v>39868.786341582629</v>
      </c>
      <c r="H26" s="134">
        <f>SUM(C26:G26)</f>
        <v>82119.90399999998</v>
      </c>
      <c r="I26" s="252">
        <f>J26-H26</f>
        <v>0</v>
      </c>
      <c r="J26" s="270">
        <f>82119904/1000</f>
        <v>82119.903999999995</v>
      </c>
      <c r="N26" s="135" t="s">
        <v>79</v>
      </c>
      <c r="O26" s="246">
        <f>$J26*X26</f>
        <v>0</v>
      </c>
      <c r="P26" s="246">
        <f t="shared" ref="P26:S32" si="27">$J26*Y26</f>
        <v>8211.9904000000006</v>
      </c>
      <c r="Q26" s="246">
        <f t="shared" si="27"/>
        <v>16423.980800000001</v>
      </c>
      <c r="R26" s="246">
        <f t="shared" si="27"/>
        <v>24635.971199999996</v>
      </c>
      <c r="S26" s="246">
        <f t="shared" si="27"/>
        <v>32847.961600000002</v>
      </c>
      <c r="T26" s="134">
        <f>SUM(O26:S26)</f>
        <v>82119.90400000001</v>
      </c>
      <c r="U26" s="258">
        <v>0.78214865046724513</v>
      </c>
      <c r="W26" s="135" t="s">
        <v>79</v>
      </c>
      <c r="X26" s="246">
        <v>0</v>
      </c>
      <c r="Y26" s="246">
        <v>0.1</v>
      </c>
      <c r="Z26" s="264">
        <v>0.2</v>
      </c>
      <c r="AA26" s="246">
        <v>0.3</v>
      </c>
      <c r="AB26" s="246">
        <v>0.4</v>
      </c>
      <c r="AC26" s="262">
        <f>SUM(X26:AB26)</f>
        <v>1</v>
      </c>
      <c r="AE26" s="135" t="s">
        <v>79</v>
      </c>
      <c r="AF26" s="246">
        <f>X26</f>
        <v>0</v>
      </c>
      <c r="AG26" s="246">
        <f>Y26</f>
        <v>0.1</v>
      </c>
      <c r="AH26" s="246">
        <f>Z26</f>
        <v>0.2</v>
      </c>
      <c r="AI26" s="246">
        <f>AA26</f>
        <v>0.3</v>
      </c>
      <c r="AJ26" s="246">
        <f>AB26</f>
        <v>0.4</v>
      </c>
      <c r="AK26" s="262">
        <f t="shared" ref="AK26:AK32" si="28">SUM(AF26:AJ26)</f>
        <v>1</v>
      </c>
    </row>
    <row r="27" spans="1:37" s="163" customFormat="1" ht="14.4" x14ac:dyDescent="0.3">
      <c r="A27" s="151"/>
      <c r="B27" s="135" t="s">
        <v>80</v>
      </c>
      <c r="C27" s="247">
        <f t="shared" si="26"/>
        <v>4572.8070607170175</v>
      </c>
      <c r="D27" s="247">
        <f t="shared" si="26"/>
        <v>13187.493659576216</v>
      </c>
      <c r="E27" s="247">
        <f t="shared" si="26"/>
        <v>39317.042507324972</v>
      </c>
      <c r="F27" s="247">
        <f t="shared" si="26"/>
        <v>60029.741590941536</v>
      </c>
      <c r="G27" s="247">
        <f t="shared" si="26"/>
        <v>91798.890181440263</v>
      </c>
      <c r="H27" s="134">
        <f t="shared" ref="H27:H32" si="29">SUM(C27:G27)</f>
        <v>208905.97500000001</v>
      </c>
      <c r="I27" s="252">
        <f t="shared" ref="I27:I32" si="30">J27-H27</f>
        <v>0</v>
      </c>
      <c r="J27" s="269">
        <f>208905975/1000</f>
        <v>208905.97500000001</v>
      </c>
      <c r="N27" s="135" t="s">
        <v>80</v>
      </c>
      <c r="O27" s="246">
        <f t="shared" ref="O27:O32" si="31">$J27*X27</f>
        <v>13927.065000000001</v>
      </c>
      <c r="P27" s="246">
        <f t="shared" si="27"/>
        <v>27854.13</v>
      </c>
      <c r="Q27" s="246">
        <f t="shared" si="27"/>
        <v>41781.195000000007</v>
      </c>
      <c r="R27" s="246">
        <f t="shared" si="27"/>
        <v>55708.26</v>
      </c>
      <c r="S27" s="246">
        <f t="shared" si="27"/>
        <v>69635.325000000012</v>
      </c>
      <c r="T27" s="134">
        <f t="shared" ref="T27:T32" si="32">SUM(O27:S27)</f>
        <v>208905.97500000003</v>
      </c>
      <c r="U27" s="258">
        <v>0.84951789790983168</v>
      </c>
      <c r="W27" s="135" t="s">
        <v>80</v>
      </c>
      <c r="X27" s="266">
        <f>X26+(X$7-X$4)/3</f>
        <v>6.6666666666666666E-2</v>
      </c>
      <c r="Y27" s="266">
        <f t="shared" ref="Y27:AB28" si="33">Y26+(Y$7-Y$4)/3</f>
        <v>0.13333333333333333</v>
      </c>
      <c r="Z27" s="266">
        <f t="shared" si="33"/>
        <v>0.2</v>
      </c>
      <c r="AA27" s="266">
        <f t="shared" si="33"/>
        <v>0.26666666666666666</v>
      </c>
      <c r="AB27" s="266">
        <f t="shared" si="33"/>
        <v>0.33333333333333337</v>
      </c>
      <c r="AC27" s="262">
        <f t="shared" ref="AC27:AC32" si="34">SUM(X27:AB27)</f>
        <v>1</v>
      </c>
      <c r="AE27" s="135" t="s">
        <v>80</v>
      </c>
      <c r="AF27" s="246">
        <f t="shared" ref="AF27:AJ30" si="35">C27/$J27</f>
        <v>2.1889307190553153E-2</v>
      </c>
      <c r="AG27" s="246">
        <f t="shared" si="35"/>
        <v>6.3126455141248192E-2</v>
      </c>
      <c r="AH27" s="246">
        <f t="shared" si="35"/>
        <v>0.18820449011726434</v>
      </c>
      <c r="AI27" s="246">
        <f t="shared" si="35"/>
        <v>0.28735291841672567</v>
      </c>
      <c r="AJ27" s="246">
        <f t="shared" si="35"/>
        <v>0.43942682913420866</v>
      </c>
      <c r="AK27" s="262">
        <f t="shared" si="28"/>
        <v>1</v>
      </c>
    </row>
    <row r="28" spans="1:37" s="163" customFormat="1" ht="14.4" x14ac:dyDescent="0.3">
      <c r="A28" s="151"/>
      <c r="B28" s="135" t="s">
        <v>81</v>
      </c>
      <c r="C28" s="247">
        <f t="shared" si="26"/>
        <v>17920.190909809335</v>
      </c>
      <c r="D28" s="247">
        <f t="shared" si="26"/>
        <v>32299.963794619754</v>
      </c>
      <c r="E28" s="247">
        <f t="shared" si="26"/>
        <v>77038.993596842862</v>
      </c>
      <c r="F28" s="247">
        <f t="shared" si="26"/>
        <v>102921.06832641846</v>
      </c>
      <c r="G28" s="247">
        <f t="shared" si="26"/>
        <v>143898.80137230951</v>
      </c>
      <c r="H28" s="134">
        <f>SUM(C28:G28)</f>
        <v>374079.01799999992</v>
      </c>
      <c r="I28" s="252">
        <f t="shared" si="30"/>
        <v>0</v>
      </c>
      <c r="J28" s="270">
        <f>374079018/1000</f>
        <v>374079.01799999998</v>
      </c>
      <c r="K28" s="163" t="s">
        <v>656</v>
      </c>
      <c r="L28" s="40" t="e">
        <f>SUM(I26:I32,C34:G34)</f>
        <v>#REF!</v>
      </c>
      <c r="N28" s="135" t="s">
        <v>81</v>
      </c>
      <c r="O28" s="246">
        <f t="shared" si="31"/>
        <v>49877.202399999995</v>
      </c>
      <c r="P28" s="246">
        <f t="shared" si="27"/>
        <v>62346.502999999997</v>
      </c>
      <c r="Q28" s="246">
        <f t="shared" si="27"/>
        <v>74815.803599999999</v>
      </c>
      <c r="R28" s="246">
        <f t="shared" si="27"/>
        <v>87285.104200000002</v>
      </c>
      <c r="S28" s="246">
        <f t="shared" si="27"/>
        <v>99754.404800000018</v>
      </c>
      <c r="T28" s="134">
        <f t="shared" si="32"/>
        <v>374079.01800000004</v>
      </c>
      <c r="U28" s="258">
        <v>0.92958649142135863</v>
      </c>
      <c r="W28" s="135" t="s">
        <v>81</v>
      </c>
      <c r="X28" s="266">
        <f>X27+(X$7-X$4)/3</f>
        <v>0.13333333333333333</v>
      </c>
      <c r="Y28" s="266">
        <f t="shared" si="33"/>
        <v>0.16666666666666666</v>
      </c>
      <c r="Z28" s="266">
        <f t="shared" si="33"/>
        <v>0.2</v>
      </c>
      <c r="AA28" s="266">
        <f t="shared" si="33"/>
        <v>0.23333333333333334</v>
      </c>
      <c r="AB28" s="266">
        <f t="shared" si="33"/>
        <v>0.26666666666666672</v>
      </c>
      <c r="AC28" s="262">
        <f t="shared" si="34"/>
        <v>1</v>
      </c>
      <c r="AE28" s="135" t="s">
        <v>81</v>
      </c>
      <c r="AF28" s="246">
        <f t="shared" si="35"/>
        <v>4.7904827716932614E-2</v>
      </c>
      <c r="AG28" s="246">
        <f t="shared" si="35"/>
        <v>8.6345296689748469E-2</v>
      </c>
      <c r="AH28" s="246">
        <f t="shared" si="35"/>
        <v>0.20594310263304547</v>
      </c>
      <c r="AI28" s="246">
        <f t="shared" si="35"/>
        <v>0.27513189292647916</v>
      </c>
      <c r="AJ28" s="246">
        <f t="shared" si="35"/>
        <v>0.38467488003379413</v>
      </c>
      <c r="AK28" s="262">
        <f t="shared" si="28"/>
        <v>0.99999999999999989</v>
      </c>
    </row>
    <row r="29" spans="1:37" s="163" customFormat="1" ht="14.4" x14ac:dyDescent="0.3">
      <c r="A29" s="151"/>
      <c r="B29" s="135" t="s">
        <v>82</v>
      </c>
      <c r="C29" s="247">
        <f t="shared" si="26"/>
        <v>47961.230200872538</v>
      </c>
      <c r="D29" s="247">
        <f t="shared" si="26"/>
        <v>69157.566761662965</v>
      </c>
      <c r="E29" s="247">
        <f t="shared" si="26"/>
        <v>137457.05146921478</v>
      </c>
      <c r="F29" s="247">
        <f t="shared" si="26"/>
        <v>157403.3311002299</v>
      </c>
      <c r="G29" s="247">
        <f t="shared" si="26"/>
        <v>192563.89546801979</v>
      </c>
      <c r="H29" s="134">
        <f t="shared" si="29"/>
        <v>604543.07499999995</v>
      </c>
      <c r="I29" s="252">
        <f t="shared" si="30"/>
        <v>0</v>
      </c>
      <c r="J29" s="269">
        <f>604543075/1000</f>
        <v>604543.07499999995</v>
      </c>
      <c r="K29" s="163" t="s">
        <v>655</v>
      </c>
      <c r="L29" s="163" t="e">
        <f>STDEVPA(I26:I32,C34:G34)</f>
        <v>#REF!</v>
      </c>
      <c r="N29" s="135" t="s">
        <v>82</v>
      </c>
      <c r="O29" s="246">
        <f t="shared" si="31"/>
        <v>120908.61499999999</v>
      </c>
      <c r="P29" s="246">
        <f t="shared" si="27"/>
        <v>120908.61499999999</v>
      </c>
      <c r="Q29" s="246">
        <f t="shared" si="27"/>
        <v>120908.61499999999</v>
      </c>
      <c r="R29" s="246">
        <f t="shared" si="27"/>
        <v>120908.61499999999</v>
      </c>
      <c r="S29" s="246">
        <f t="shared" si="27"/>
        <v>120908.61499999999</v>
      </c>
      <c r="T29" s="134">
        <f t="shared" si="32"/>
        <v>604543.07499999995</v>
      </c>
      <c r="U29" s="258">
        <v>1.0263188979489428</v>
      </c>
      <c r="W29" s="135" t="s">
        <v>82</v>
      </c>
      <c r="X29" s="263">
        <v>0.2</v>
      </c>
      <c r="Y29" s="263">
        <v>0.2</v>
      </c>
      <c r="Z29" s="263">
        <v>0.2</v>
      </c>
      <c r="AA29" s="263">
        <v>0.2</v>
      </c>
      <c r="AB29" s="263">
        <v>0.2</v>
      </c>
      <c r="AC29" s="262">
        <f t="shared" si="34"/>
        <v>1</v>
      </c>
      <c r="AE29" s="135" t="s">
        <v>82</v>
      </c>
      <c r="AF29" s="246">
        <f t="shared" si="35"/>
        <v>7.9334678014254881E-2</v>
      </c>
      <c r="AG29" s="246">
        <f t="shared" si="35"/>
        <v>0.11439642536913183</v>
      </c>
      <c r="AH29" s="246">
        <f t="shared" si="35"/>
        <v>0.22737346130251312</v>
      </c>
      <c r="AI29" s="246">
        <f t="shared" si="35"/>
        <v>0.2603674371759695</v>
      </c>
      <c r="AJ29" s="246">
        <f t="shared" si="35"/>
        <v>0.31852799813813071</v>
      </c>
      <c r="AK29" s="262">
        <f t="shared" si="28"/>
        <v>1</v>
      </c>
    </row>
    <row r="30" spans="1:37" s="163" customFormat="1" ht="14.4" x14ac:dyDescent="0.3">
      <c r="A30" s="133" t="s">
        <v>659</v>
      </c>
      <c r="B30" s="135" t="s">
        <v>83</v>
      </c>
      <c r="C30" s="247">
        <f t="shared" si="26"/>
        <v>29924.461588955932</v>
      </c>
      <c r="D30" s="247">
        <f t="shared" si="26"/>
        <v>37755.809719492259</v>
      </c>
      <c r="E30" s="247">
        <f t="shared" si="26"/>
        <v>64322.707730714515</v>
      </c>
      <c r="F30" s="247">
        <f t="shared" si="26"/>
        <v>61380.435767534436</v>
      </c>
      <c r="G30" s="247">
        <f t="shared" si="26"/>
        <v>60073.218193302855</v>
      </c>
      <c r="H30" s="134">
        <f t="shared" si="29"/>
        <v>253456.63300000003</v>
      </c>
      <c r="I30" s="252">
        <f t="shared" si="30"/>
        <v>0</v>
      </c>
      <c r="J30" s="270">
        <f>253456633/1000</f>
        <v>253456.633</v>
      </c>
      <c r="N30" s="135" t="s">
        <v>83</v>
      </c>
      <c r="O30" s="246">
        <f t="shared" si="31"/>
        <v>67588.435466666662</v>
      </c>
      <c r="P30" s="246">
        <f t="shared" si="27"/>
        <v>59139.881033333331</v>
      </c>
      <c r="Q30" s="246">
        <f t="shared" si="27"/>
        <v>50691.3266</v>
      </c>
      <c r="R30" s="246">
        <f t="shared" si="27"/>
        <v>42242.772166666669</v>
      </c>
      <c r="S30" s="246">
        <f t="shared" si="27"/>
        <v>33794.217733333338</v>
      </c>
      <c r="T30" s="134">
        <f t="shared" si="32"/>
        <v>253456.63299999997</v>
      </c>
      <c r="U30" s="258">
        <v>1.1455214073248814</v>
      </c>
      <c r="W30" s="135" t="s">
        <v>83</v>
      </c>
      <c r="X30" s="267">
        <f>X29+(X$10-X$7)/3</f>
        <v>0.26666666666666666</v>
      </c>
      <c r="Y30" s="267">
        <f t="shared" ref="Y30:AB31" si="36">Y29+(Y$10-Y$7)/3</f>
        <v>0.23333333333333334</v>
      </c>
      <c r="Z30" s="267">
        <f t="shared" si="36"/>
        <v>0.2</v>
      </c>
      <c r="AA30" s="267">
        <f t="shared" si="36"/>
        <v>0.16666666666666669</v>
      </c>
      <c r="AB30" s="267">
        <f t="shared" si="36"/>
        <v>0.13333333333333336</v>
      </c>
      <c r="AC30" s="262">
        <f t="shared" si="34"/>
        <v>1</v>
      </c>
      <c r="AE30" s="135" t="s">
        <v>83</v>
      </c>
      <c r="AF30" s="246">
        <f t="shared" si="35"/>
        <v>0.118065411170186</v>
      </c>
      <c r="AG30" s="246">
        <f t="shared" si="35"/>
        <v>0.14896358904717344</v>
      </c>
      <c r="AH30" s="246">
        <f t="shared" si="35"/>
        <v>0.25378190726109157</v>
      </c>
      <c r="AI30" s="246">
        <f t="shared" si="35"/>
        <v>0.24217332583098913</v>
      </c>
      <c r="AJ30" s="246">
        <f t="shared" si="35"/>
        <v>0.23701576669055985</v>
      </c>
      <c r="AK30" s="262">
        <f t="shared" si="28"/>
        <v>1</v>
      </c>
    </row>
    <row r="31" spans="1:37" s="163" customFormat="1" ht="14.4" x14ac:dyDescent="0.3">
      <c r="A31" s="151"/>
      <c r="B31" s="135" t="s">
        <v>84</v>
      </c>
      <c r="C31" s="247">
        <f t="shared" si="26"/>
        <v>13008.238464408407</v>
      </c>
      <c r="D31" s="247">
        <f t="shared" si="26"/>
        <v>15005.755545237706</v>
      </c>
      <c r="E31" s="247">
        <f t="shared" si="26"/>
        <v>22368.99383068964</v>
      </c>
      <c r="F31" s="247">
        <f t="shared" si="26"/>
        <v>17076.626745965103</v>
      </c>
      <c r="G31" s="247">
        <f t="shared" si="26"/>
        <v>10445.591413699163</v>
      </c>
      <c r="H31" s="134">
        <f t="shared" si="29"/>
        <v>77905.20600000002</v>
      </c>
      <c r="I31" s="252">
        <f t="shared" si="30"/>
        <v>0</v>
      </c>
      <c r="J31" s="269">
        <f>77905206/1000</f>
        <v>77905.206000000006</v>
      </c>
      <c r="N31" s="135" t="s">
        <v>84</v>
      </c>
      <c r="O31" s="246">
        <f t="shared" si="31"/>
        <v>25968.402000000002</v>
      </c>
      <c r="P31" s="246">
        <f t="shared" si="27"/>
        <v>20774.721600000001</v>
      </c>
      <c r="Q31" s="246">
        <f t="shared" si="27"/>
        <v>15581.041200000001</v>
      </c>
      <c r="R31" s="246">
        <f t="shared" si="27"/>
        <v>10387.360800000002</v>
      </c>
      <c r="S31" s="246">
        <f t="shared" si="27"/>
        <v>5193.680400000002</v>
      </c>
      <c r="T31" s="134">
        <f t="shared" si="32"/>
        <v>77905.206000000006</v>
      </c>
      <c r="U31" s="258">
        <v>1.2960522851891758</v>
      </c>
      <c r="W31" s="135" t="s">
        <v>84</v>
      </c>
      <c r="X31" s="266">
        <f>X30+(X$10-X$7)/3</f>
        <v>0.33333333333333331</v>
      </c>
      <c r="Y31" s="266">
        <f t="shared" si="36"/>
        <v>0.26666666666666666</v>
      </c>
      <c r="Z31" s="266">
        <f t="shared" si="36"/>
        <v>0.2</v>
      </c>
      <c r="AA31" s="266">
        <f t="shared" si="36"/>
        <v>0.13333333333333336</v>
      </c>
      <c r="AB31" s="266">
        <f t="shared" si="36"/>
        <v>6.6666666666666693E-2</v>
      </c>
      <c r="AC31" s="262">
        <f t="shared" si="34"/>
        <v>1</v>
      </c>
      <c r="AE31" s="135" t="s">
        <v>84</v>
      </c>
      <c r="AF31" s="246">
        <f>X31</f>
        <v>0.33333333333333331</v>
      </c>
      <c r="AG31" s="246">
        <f t="shared" ref="AG31:AJ32" si="37">Y31</f>
        <v>0.26666666666666666</v>
      </c>
      <c r="AH31" s="246">
        <f t="shared" si="37"/>
        <v>0.2</v>
      </c>
      <c r="AI31" s="246">
        <f t="shared" si="37"/>
        <v>0.13333333333333336</v>
      </c>
      <c r="AJ31" s="246">
        <f t="shared" si="37"/>
        <v>6.6666666666666693E-2</v>
      </c>
      <c r="AK31" s="262">
        <f t="shared" si="28"/>
        <v>1</v>
      </c>
    </row>
    <row r="32" spans="1:37" s="163" customFormat="1" ht="14.4" x14ac:dyDescent="0.3">
      <c r="A32" s="151"/>
      <c r="B32" s="135" t="s">
        <v>85</v>
      </c>
      <c r="C32" s="247">
        <f t="shared" si="26"/>
        <v>9456.860872419913</v>
      </c>
      <c r="D32" s="247">
        <f t="shared" si="26"/>
        <v>10227.22130564074</v>
      </c>
      <c r="E32" s="247">
        <f t="shared" si="26"/>
        <v>13551.697967640732</v>
      </c>
      <c r="F32" s="247">
        <f t="shared" si="26"/>
        <v>7759.0868542986218</v>
      </c>
      <c r="G32" s="247">
        <f t="shared" si="26"/>
        <v>0</v>
      </c>
      <c r="H32" s="134">
        <f t="shared" si="29"/>
        <v>40994.867000000006</v>
      </c>
      <c r="I32" s="252">
        <f t="shared" si="30"/>
        <v>0</v>
      </c>
      <c r="J32" s="270">
        <f>40994867/1000</f>
        <v>40994.866999999998</v>
      </c>
      <c r="N32" s="135" t="s">
        <v>85</v>
      </c>
      <c r="O32" s="246">
        <f t="shared" si="31"/>
        <v>16397.946800000002</v>
      </c>
      <c r="P32" s="246">
        <f t="shared" si="27"/>
        <v>12298.460099999998</v>
      </c>
      <c r="Q32" s="246">
        <f t="shared" si="27"/>
        <v>8198.9734000000008</v>
      </c>
      <c r="R32" s="246">
        <f t="shared" si="27"/>
        <v>4099.4867000000004</v>
      </c>
      <c r="S32" s="246">
        <f t="shared" si="27"/>
        <v>0</v>
      </c>
      <c r="T32" s="134">
        <f t="shared" si="32"/>
        <v>40994.867000000006</v>
      </c>
      <c r="U32" s="258">
        <v>1.4921304210819046</v>
      </c>
      <c r="W32" s="135" t="s">
        <v>85</v>
      </c>
      <c r="X32" s="265">
        <f>AB26</f>
        <v>0.4</v>
      </c>
      <c r="Y32" s="265">
        <f>AA26</f>
        <v>0.3</v>
      </c>
      <c r="Z32" s="265">
        <f>Z26</f>
        <v>0.2</v>
      </c>
      <c r="AA32" s="265">
        <f>Y26</f>
        <v>0.1</v>
      </c>
      <c r="AB32" s="265">
        <f>X26</f>
        <v>0</v>
      </c>
      <c r="AC32" s="262">
        <f t="shared" si="34"/>
        <v>0.99999999999999989</v>
      </c>
      <c r="AE32" s="135" t="s">
        <v>85</v>
      </c>
      <c r="AF32" s="246">
        <f>X32</f>
        <v>0.4</v>
      </c>
      <c r="AG32" s="246">
        <f t="shared" si="37"/>
        <v>0.3</v>
      </c>
      <c r="AH32" s="246">
        <f t="shared" si="37"/>
        <v>0.2</v>
      </c>
      <c r="AI32" s="246">
        <f t="shared" si="37"/>
        <v>0.1</v>
      </c>
      <c r="AJ32" s="246">
        <f t="shared" si="37"/>
        <v>0</v>
      </c>
      <c r="AK32" s="262">
        <f t="shared" si="28"/>
        <v>0.99999999999999989</v>
      </c>
    </row>
    <row r="33" spans="1:22" s="163" customFormat="1" ht="17.399999999999999" customHeight="1" x14ac:dyDescent="0.3">
      <c r="A33" s="151" t="s">
        <v>46</v>
      </c>
      <c r="B33" s="164"/>
      <c r="C33" s="174">
        <f>SUM(C26:C32)</f>
        <v>122843.78909718315</v>
      </c>
      <c r="D33" s="174">
        <f>SUM(D26:D32)</f>
        <v>181213.43853319529</v>
      </c>
      <c r="E33" s="174">
        <f>SUM(E26:E32)</f>
        <v>368286.16863969201</v>
      </c>
      <c r="F33" s="174">
        <f>SUM(F26:F32)</f>
        <v>431012.09875957516</v>
      </c>
      <c r="G33" s="174">
        <f>SUM(G26:G32)</f>
        <v>538649.18297035422</v>
      </c>
      <c r="H33" s="132">
        <f>SUM(C33:G33)</f>
        <v>1642004.6779999998</v>
      </c>
      <c r="I33" s="252">
        <f>J33-H33</f>
        <v>0</v>
      </c>
      <c r="J33" s="132">
        <f>SUM(J26:J32)</f>
        <v>1642004.6780000001</v>
      </c>
      <c r="N33" s="135"/>
      <c r="O33" s="167"/>
      <c r="P33" s="167"/>
      <c r="Q33" s="167"/>
      <c r="R33" s="167"/>
      <c r="S33" s="167"/>
      <c r="T33" s="152"/>
      <c r="U33" s="166"/>
    </row>
    <row r="34" spans="1:22" s="163" customFormat="1" ht="15" customHeight="1" x14ac:dyDescent="0.3">
      <c r="A34" s="151"/>
      <c r="B34" s="164"/>
      <c r="C34" s="260" t="e">
        <f t="shared" ref="C34:H34" si="38">C33-C35</f>
        <v>#REF!</v>
      </c>
      <c r="D34" s="253" t="e">
        <f t="shared" si="38"/>
        <v>#REF!</v>
      </c>
      <c r="E34" s="253" t="e">
        <f t="shared" si="38"/>
        <v>#REF!</v>
      </c>
      <c r="F34" s="253" t="e">
        <f t="shared" si="38"/>
        <v>#REF!</v>
      </c>
      <c r="G34" s="253" t="e">
        <f t="shared" si="38"/>
        <v>#REF!</v>
      </c>
      <c r="H34" s="261" t="e">
        <f t="shared" si="38"/>
        <v>#REF!</v>
      </c>
      <c r="I34" s="135"/>
      <c r="J34" s="134"/>
      <c r="N34" s="135"/>
      <c r="O34" s="259">
        <v>0.38650110688209122</v>
      </c>
      <c r="P34" s="259">
        <v>0.55731423048795314</v>
      </c>
      <c r="Q34" s="259">
        <v>1.1077135077455451</v>
      </c>
      <c r="R34" s="259">
        <v>1.2684529033631915</v>
      </c>
      <c r="S34" s="259">
        <v>1.5517983678109024</v>
      </c>
      <c r="T34" s="152"/>
      <c r="U34" s="166"/>
    </row>
    <row r="35" spans="1:22" s="257" customFormat="1" ht="16.25" customHeight="1" x14ac:dyDescent="0.3">
      <c r="A35" s="151" t="s">
        <v>653</v>
      </c>
      <c r="B35" s="254"/>
      <c r="C35" s="283" t="e">
        <f>$G40</f>
        <v>#REF!</v>
      </c>
      <c r="D35" s="283" t="e">
        <f>$G41</f>
        <v>#REF!</v>
      </c>
      <c r="E35" s="283" t="e">
        <f>$G42</f>
        <v>#REF!</v>
      </c>
      <c r="F35" s="283" t="e">
        <f>$G43</f>
        <v>#REF!</v>
      </c>
      <c r="G35" s="283" t="e">
        <f>$G44</f>
        <v>#REF!</v>
      </c>
      <c r="H35" s="284" t="e">
        <f>SUM(C35:G35)</f>
        <v>#REF!</v>
      </c>
      <c r="I35" s="135" t="e">
        <f>J35-H35</f>
        <v>#REF!</v>
      </c>
      <c r="J35" s="255">
        <f>SUM(J26:J32)</f>
        <v>1642004.6780000001</v>
      </c>
      <c r="K35" s="256" t="e">
        <f>SUM(C35:G35)</f>
        <v>#REF!</v>
      </c>
      <c r="N35" s="135"/>
      <c r="O35" s="167"/>
      <c r="P35" s="167"/>
      <c r="Q35" s="167"/>
      <c r="R35" s="167"/>
      <c r="S35" s="167"/>
      <c r="T35" s="152"/>
      <c r="U35" s="166"/>
      <c r="V35" s="163"/>
    </row>
    <row r="36" spans="1:22" s="163" customFormat="1" ht="14.4" x14ac:dyDescent="0.3">
      <c r="A36" s="151"/>
      <c r="B36" s="151"/>
      <c r="C36" s="151"/>
      <c r="D36" s="151"/>
      <c r="E36" s="151"/>
      <c r="F36" s="151"/>
      <c r="G36" s="151"/>
      <c r="H36" s="151"/>
      <c r="I36" s="151"/>
      <c r="J36" s="151"/>
      <c r="N36" s="135"/>
      <c r="O36" s="134"/>
      <c r="P36" s="134"/>
      <c r="Q36" s="134"/>
      <c r="R36" s="134"/>
      <c r="S36" s="134"/>
      <c r="T36" s="134"/>
      <c r="U36" s="166"/>
    </row>
    <row r="39" spans="1:22" ht="57.65" x14ac:dyDescent="0.3">
      <c r="A39" s="287" t="s">
        <v>671</v>
      </c>
      <c r="B39" s="288" t="s">
        <v>665</v>
      </c>
      <c r="C39" s="288" t="s">
        <v>666</v>
      </c>
      <c r="D39" s="288" t="s">
        <v>667</v>
      </c>
      <c r="E39" s="288" t="s">
        <v>668</v>
      </c>
      <c r="F39" s="288" t="s">
        <v>669</v>
      </c>
      <c r="G39" s="288" t="s">
        <v>670</v>
      </c>
      <c r="H39" s="288" t="s">
        <v>46</v>
      </c>
    </row>
    <row r="40" spans="1:22" ht="14.4" x14ac:dyDescent="0.3">
      <c r="A40" s="134">
        <v>1</v>
      </c>
      <c r="B40" s="134">
        <v>46.768482675192956</v>
      </c>
      <c r="C40" s="134" t="e">
        <f>Matrice!#REF!</f>
        <v>#REF!</v>
      </c>
      <c r="D40" s="134" t="e">
        <f>B40*C40</f>
        <v>#REF!</v>
      </c>
      <c r="E40" s="134">
        <v>60.581689739814067</v>
      </c>
      <c r="F40" s="285" t="e">
        <f>Matrice!#REF!</f>
        <v>#REF!</v>
      </c>
      <c r="G40" s="134" t="e">
        <f>E40*F40</f>
        <v>#REF!</v>
      </c>
      <c r="H40" s="285" t="e">
        <f t="shared" ref="H40:H45" si="39">C40+F40</f>
        <v>#REF!</v>
      </c>
    </row>
    <row r="41" spans="1:22" ht="14.4" x14ac:dyDescent="0.3">
      <c r="A41" s="134">
        <v>2</v>
      </c>
      <c r="B41" s="134">
        <v>53.196887728255192</v>
      </c>
      <c r="C41" s="134" t="e">
        <f>Matrice!#REF!</f>
        <v>#REF!</v>
      </c>
      <c r="D41" s="134" t="e">
        <f>B41*C41</f>
        <v>#REF!</v>
      </c>
      <c r="E41" s="134">
        <v>69.454047688392237</v>
      </c>
      <c r="F41" s="285" t="e">
        <f>Matrice!#REF!</f>
        <v>#REF!</v>
      </c>
      <c r="G41" s="134" t="e">
        <f>E41*F41</f>
        <v>#REF!</v>
      </c>
      <c r="H41" s="285" t="e">
        <f t="shared" si="39"/>
        <v>#REF!</v>
      </c>
    </row>
    <row r="42" spans="1:22" ht="14.4" x14ac:dyDescent="0.3">
      <c r="A42" s="134">
        <v>3</v>
      </c>
      <c r="B42" s="134">
        <v>82.103425010174675</v>
      </c>
      <c r="C42" s="134" t="e">
        <f>Matrice!#REF!</f>
        <v>#REF!</v>
      </c>
      <c r="D42" s="134" t="e">
        <f>B42*C42</f>
        <v>#REF!</v>
      </c>
      <c r="E42" s="134">
        <v>121.39035376668201</v>
      </c>
      <c r="F42" s="285" t="e">
        <f>Matrice!#REF!</f>
        <v>#REF!</v>
      </c>
      <c r="G42" s="134" t="e">
        <f>E42*F42</f>
        <v>#REF!</v>
      </c>
      <c r="H42" s="285" t="e">
        <f t="shared" si="39"/>
        <v>#REF!</v>
      </c>
    </row>
    <row r="43" spans="1:22" ht="14.4" x14ac:dyDescent="0.3">
      <c r="A43" s="134">
        <v>4</v>
      </c>
      <c r="B43" s="134">
        <v>87.790120386010329</v>
      </c>
      <c r="C43" s="134" t="e">
        <f>Matrice!#REF!</f>
        <v>#REF!</v>
      </c>
      <c r="D43" s="134" t="e">
        <f>B43*C43</f>
        <v>#REF!</v>
      </c>
      <c r="E43" s="134">
        <v>127.2634239274274</v>
      </c>
      <c r="F43" s="285" t="e">
        <f>Matrice!#REF!</f>
        <v>#REF!</v>
      </c>
      <c r="G43" s="134" t="e">
        <f>E43*F43</f>
        <v>#REF!</v>
      </c>
      <c r="H43" s="285" t="e">
        <f t="shared" si="39"/>
        <v>#REF!</v>
      </c>
    </row>
    <row r="44" spans="1:22" ht="14.4" x14ac:dyDescent="0.3">
      <c r="A44" s="134">
        <v>5</v>
      </c>
      <c r="B44" s="134">
        <v>95.009412581553818</v>
      </c>
      <c r="C44" s="134" t="e">
        <f>Matrice!#REF!</f>
        <v>#REF!</v>
      </c>
      <c r="D44" s="134" t="e">
        <f>B44*C44</f>
        <v>#REF!</v>
      </c>
      <c r="E44" s="134">
        <v>133.76618300015079</v>
      </c>
      <c r="F44" s="285" t="e">
        <f>Matrice!#REF!</f>
        <v>#REF!</v>
      </c>
      <c r="G44" s="134" t="e">
        <f>E44*F44</f>
        <v>#REF!</v>
      </c>
      <c r="H44" s="285" t="e">
        <f t="shared" si="39"/>
        <v>#REF!</v>
      </c>
    </row>
    <row r="45" spans="1:22" ht="14.4" x14ac:dyDescent="0.3">
      <c r="A45" s="134" t="s">
        <v>46</v>
      </c>
      <c r="B45" s="134" t="e">
        <f>SUMPRODUCT(B40:B44,C40:C44)/C45</f>
        <v>#REF!</v>
      </c>
      <c r="C45" s="134" t="e">
        <f>SUM(C40:C44)</f>
        <v>#REF!</v>
      </c>
      <c r="D45" s="134" t="e">
        <f>SUM(D40:D44)</f>
        <v>#REF!</v>
      </c>
      <c r="E45" s="134" t="e">
        <f>SUMPRODUCT(E40:E44,F40:F44)/F45</f>
        <v>#REF!</v>
      </c>
      <c r="F45" s="285" t="e">
        <f>SUM(F40:F44)</f>
        <v>#REF!</v>
      </c>
      <c r="G45" s="134" t="e">
        <f>SUM(G40:G44)</f>
        <v>#REF!</v>
      </c>
      <c r="H45" s="285" t="e">
        <f t="shared" si="39"/>
        <v>#REF!</v>
      </c>
    </row>
    <row r="46" spans="1:22" ht="14.4" x14ac:dyDescent="0.3">
      <c r="A46" s="134" t="s">
        <v>672</v>
      </c>
      <c r="B46" s="134"/>
      <c r="C46" s="134"/>
      <c r="D46" s="286">
        <f>J22</f>
        <v>751178.60299999977</v>
      </c>
      <c r="E46" s="134"/>
      <c r="F46" s="134"/>
      <c r="G46" s="286">
        <f>J33</f>
        <v>1642004.6780000001</v>
      </c>
      <c r="H46" s="285" t="e">
        <f>SUM(H40:H44)</f>
        <v>#REF!</v>
      </c>
    </row>
    <row r="47" spans="1:22" ht="14.4" x14ac:dyDescent="0.3">
      <c r="A47" s="134"/>
      <c r="B47" s="134"/>
      <c r="C47" s="134"/>
      <c r="D47" s="246" t="e">
        <f>D46-D45</f>
        <v>#REF!</v>
      </c>
      <c r="E47" s="134"/>
      <c r="F47" s="134"/>
      <c r="G47" s="246" t="e">
        <f>G46-G45</f>
        <v>#REF!</v>
      </c>
      <c r="H47" s="134"/>
    </row>
    <row r="49" spans="1:6" x14ac:dyDescent="0.35">
      <c r="A49" s="328" t="s">
        <v>713</v>
      </c>
      <c r="B49" s="328"/>
      <c r="C49" s="40"/>
      <c r="D49" s="329"/>
      <c r="E49" s="329"/>
      <c r="F49" s="163"/>
    </row>
    <row r="50" spans="1:6" ht="86.4" x14ac:dyDescent="0.3">
      <c r="A50" s="163" t="s">
        <v>714</v>
      </c>
      <c r="B50" s="163"/>
      <c r="C50" s="330" t="s">
        <v>715</v>
      </c>
      <c r="D50" s="324" t="s">
        <v>716</v>
      </c>
      <c r="E50" s="324" t="s">
        <v>717</v>
      </c>
      <c r="F50" s="163"/>
    </row>
    <row r="51" spans="1:6" ht="14.4" x14ac:dyDescent="0.3">
      <c r="A51" s="163" t="s">
        <v>718</v>
      </c>
      <c r="B51" s="163" t="s">
        <v>719</v>
      </c>
      <c r="C51" s="331" t="s">
        <v>720</v>
      </c>
      <c r="D51" s="171" t="s">
        <v>721</v>
      </c>
      <c r="E51" s="163" t="s">
        <v>722</v>
      </c>
      <c r="F51" s="332"/>
    </row>
    <row r="52" spans="1:6" x14ac:dyDescent="0.35">
      <c r="A52" s="163">
        <v>1</v>
      </c>
      <c r="B52" s="163">
        <v>19.8</v>
      </c>
      <c r="C52" s="331">
        <v>14387.070707070707</v>
      </c>
      <c r="D52" s="333">
        <v>13639.360953145051</v>
      </c>
      <c r="E52" s="268">
        <v>5187149.9460000005</v>
      </c>
      <c r="F52" s="334"/>
    </row>
    <row r="53" spans="1:6" x14ac:dyDescent="0.35">
      <c r="A53" s="163">
        <v>2</v>
      </c>
      <c r="B53" s="163">
        <v>20.2</v>
      </c>
      <c r="C53" s="331">
        <v>21688.267326732672</v>
      </c>
      <c r="D53" s="333">
        <v>20561.107437404033</v>
      </c>
      <c r="E53" s="268">
        <v>5291940.8539999994</v>
      </c>
      <c r="F53" s="334"/>
    </row>
    <row r="54" spans="1:6" x14ac:dyDescent="0.35">
      <c r="A54" s="163">
        <v>3</v>
      </c>
      <c r="B54" s="163">
        <v>19.600000000000001</v>
      </c>
      <c r="C54" s="331">
        <v>27782.412060301511</v>
      </c>
      <c r="D54" s="333">
        <v>26338.533670598456</v>
      </c>
      <c r="E54" s="268">
        <v>5134754.4920000006</v>
      </c>
      <c r="F54" s="334"/>
    </row>
    <row r="55" spans="1:6" x14ac:dyDescent="0.35">
      <c r="A55" s="163">
        <v>4</v>
      </c>
      <c r="B55" s="163">
        <v>19.8</v>
      </c>
      <c r="C55" s="331">
        <v>35687.208121827411</v>
      </c>
      <c r="D55" s="333">
        <v>33832.509959403615</v>
      </c>
      <c r="E55" s="268">
        <v>5187149.9460000005</v>
      </c>
      <c r="F55" s="334"/>
    </row>
    <row r="56" spans="1:6" x14ac:dyDescent="0.35">
      <c r="A56" s="163">
        <v>5</v>
      </c>
      <c r="B56" s="163">
        <v>20.6</v>
      </c>
      <c r="C56" s="331">
        <v>62211.707317073167</v>
      </c>
      <c r="D56" s="333">
        <v>58978.505693445732</v>
      </c>
      <c r="E56" s="268">
        <v>5396731.7620000001</v>
      </c>
      <c r="F56" s="334"/>
    </row>
    <row r="57" spans="1:6" x14ac:dyDescent="0.35">
      <c r="A57" s="129" t="s">
        <v>46</v>
      </c>
      <c r="B57" s="129">
        <v>100</v>
      </c>
      <c r="C57" s="335">
        <v>32550</v>
      </c>
      <c r="D57" s="333">
        <v>30858.345528717051</v>
      </c>
      <c r="E57" s="336">
        <v>26197727</v>
      </c>
      <c r="F57" s="334"/>
    </row>
    <row r="58" spans="1:6" x14ac:dyDescent="0.35">
      <c r="A58" s="163"/>
      <c r="B58" s="163">
        <v>0.94802904850129188</v>
      </c>
      <c r="C58" s="171">
        <v>32556.701679257993</v>
      </c>
      <c r="D58" s="333">
        <v>30858.345528717051</v>
      </c>
      <c r="E58" s="268">
        <v>26197727</v>
      </c>
      <c r="F58" s="33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EquilibreMatrice">
                <anchor moveWithCells="1" sizeWithCells="1">
                  <from>
                    <xdr:col>1</xdr:col>
                    <xdr:colOff>158750</xdr:colOff>
                    <xdr:row>0</xdr:row>
                    <xdr:rowOff>38100</xdr:rowOff>
                  </from>
                  <to>
                    <xdr:col>2</xdr:col>
                    <xdr:colOff>0</xdr:colOff>
                    <xdr:row>1</xdr:row>
                    <xdr:rowOff>425450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ColWidth="11.54296875"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15</vt:i4>
      </vt:variant>
    </vt:vector>
  </HeadingPairs>
  <TitlesOfParts>
    <vt:vector size="15" baseType="lpstr">
      <vt:lpstr>sources</vt:lpstr>
      <vt:lpstr>Auto_household</vt:lpstr>
      <vt:lpstr>RDB_household</vt:lpstr>
      <vt:lpstr>RDB</vt:lpstr>
      <vt:lpstr>Matrice</vt:lpstr>
      <vt:lpstr>logement et rev moyen</vt:lpstr>
      <vt:lpstr>repartition RD</vt:lpstr>
      <vt:lpstr>évolution men</vt:lpstr>
      <vt:lpstr>depense EBF 2006</vt:lpstr>
      <vt:lpstr>EL 2006-ANAH</vt:lpstr>
      <vt:lpstr>Km vehicule</vt:lpstr>
      <vt:lpstr>repart trajet selon </vt:lpstr>
      <vt:lpstr>km total longue distance</vt:lpstr>
      <vt:lpstr>en m2</vt:lpstr>
      <vt:lpstr>Feuil1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Gissela</dc:creator>
  <cp:lastModifiedBy>GISSELA LANDA RIVERA</cp:lastModifiedBy>
  <dcterms:created xsi:type="dcterms:W3CDTF">2012-05-29T09:28:04Z</dcterms:created>
  <dcterms:modified xsi:type="dcterms:W3CDTF">2014-09-22T14:44:05Z</dcterms:modified>
</cp:coreProperties>
</file>